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1 M1" sheetId="2" state="visible" r:id="rId2"/>
    <sheet name="A1 M1b" sheetId="3" state="visible" r:id="rId3"/>
    <sheet name="A1 control" sheetId="4" state="visible" r:id="rId4"/>
    <sheet name="A1 M2" sheetId="5" state="visible" r:id="rId5"/>
    <sheet name="A2 M1" sheetId="6" state="visible" r:id="rId6"/>
    <sheet name="A2 M1b" sheetId="7" state="visible" r:id="rId7"/>
    <sheet name="A2 control" sheetId="8" state="visible" r:id="rId8"/>
    <sheet name="A2 M2" sheetId="9" state="visible" r:id="rId9"/>
    <sheet name="A3 M1" sheetId="10" state="visible" r:id="rId10"/>
    <sheet name="A3 M1b" sheetId="11" state="visible" r:id="rId11"/>
    <sheet name="A3 control" sheetId="12" state="visible" r:id="rId12"/>
    <sheet name="A3 M2" sheetId="13" state="visible" r:id="rId13"/>
    <sheet name="A4 M1" sheetId="14" state="visible" r:id="rId14"/>
    <sheet name="A4 M1b" sheetId="15" state="visible" r:id="rId15"/>
    <sheet name="A4 control" sheetId="16" state="visible" r:id="rId16"/>
    <sheet name="A4 M2" sheetId="17" state="visible" r:id="rId17"/>
    <sheet name="A5 M1" sheetId="18" state="visible" r:id="rId18"/>
    <sheet name="A5 M1b" sheetId="19" state="visible" r:id="rId19"/>
    <sheet name="A5 control" sheetId="20" state="visible" r:id="rId20"/>
    <sheet name="A5 M2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-mmm-yyyy"/>
    <numFmt numFmtId="166" formatCode="0.000"/>
    <numFmt numFmtId="167" formatCode="0.000000"/>
    <numFmt numFmtId="168" formatCode="0.0"/>
    <numFmt numFmtId="169" formatCode="0.00000000"/>
    <numFmt numFmtId="170" formatCode="0.000E+00"/>
    <numFmt numFmtId="171" formatCode="0.000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b val="1"/>
      <color rgb="00FFFFFF"/>
    </font>
    <font>
      <name val="Arial"/>
      <b val="1"/>
      <sz val="12"/>
    </font>
    <font>
      <name val="Arial"/>
      <b val="1"/>
    </font>
    <font>
      <name val="Arial"/>
      <color rgb="000000FF"/>
    </font>
    <font>
      <name val="Arial"/>
      <color rgb="00000000"/>
    </font>
    <font>
      <name val="Arial"/>
      <color rgb="00008000"/>
    </font>
  </fonts>
  <fills count="4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165" fontId="2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0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7" fontId="7" fillId="0" borderId="0" pivotButton="0" quotePrefix="0" xfId="0"/>
    <xf numFmtId="169" fontId="7" fillId="0" borderId="0" pivotButton="0" quotePrefix="0" xfId="0"/>
    <xf numFmtId="169" fontId="6" fillId="0" borderId="0" pivotButton="0" quotePrefix="0" xfId="0"/>
    <xf numFmtId="170" fontId="7" fillId="0" borderId="0" pivotButton="0" quotePrefix="0" xfId="0"/>
    <xf numFmtId="166" fontId="7" fillId="3" borderId="0" pivotButton="0" quotePrefix="0" xfId="0"/>
    <xf numFmtId="166" fontId="7" fillId="0" borderId="0" pivotButton="0" quotePrefix="0" xfId="0"/>
    <xf numFmtId="1" fontId="7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1" fontId="8" fillId="0" borderId="0" pivotButton="0" quotePrefix="0" xfId="0"/>
    <xf numFmtId="171" fontId="7" fillId="3" borderId="0" pivotButton="0" quotePrefix="0" xfId="0"/>
    <xf numFmtId="171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build</author>
  </authors>
  <commentList>
    <comment ref="B34" authorId="0" shapeId="0">
      <text>
        <t>Solved in Python: the semi-annual GRY at which gilt_price() reproduces the curve dirty price (brentq). The two rows below re-price it here with the GRY formula to show it does.</t>
      </text>
    </comment>
  </commentList>
</comments>
</file>

<file path=xl/comments/comment2.xml><?xml version="1.0" encoding="utf-8"?>
<comments xmlns="http://schemas.openxmlformats.org/spreadsheetml/2006/main">
  <authors>
    <author>build</author>
  </authors>
  <commentList>
    <comment ref="B44" authorId="0" shapeId="0">
      <text>
        <t>Solved in Python: the semi-annual GRY at which gilt_price() reproduces the curve dirty price (brentq). The two rows below re-price it here with the GRY formula to show it does.</t>
      </text>
    </comment>
  </commentList>
</comments>
</file>

<file path=xl/comments/comment3.xml><?xml version="1.0" encoding="utf-8"?>
<comments xmlns="http://schemas.openxmlformats.org/spreadsheetml/2006/main">
  <authors>
    <author>build</author>
  </authors>
  <commentList>
    <comment ref="B64" authorId="0" shapeId="0">
      <text>
        <t>Solved in Python: the semi-annual GRY at which gilt_price() reproduces the curve dirty price (brentq). The two rows below re-price it here with the GRY formula to show it does.</t>
      </text>
    </comment>
  </commentList>
</comments>
</file>

<file path=xl/comments/comment4.xml><?xml version="1.0" encoding="utf-8"?>
<comments xmlns="http://schemas.openxmlformats.org/spreadsheetml/2006/main">
  <authors>
    <author>build</author>
  </authors>
  <commentList>
    <comment ref="B46" authorId="0" shapeId="0">
      <text>
        <t>Solved in Python: the semi-annual GRY at which gilt_price() reproduces the curve dirty price (brentq). The two rows below re-price it here with the GRY formula to show it does.</t>
      </text>
    </comment>
  </commentList>
</comments>
</file>

<file path=xl/comments/comment5.xml><?xml version="1.0" encoding="utf-8"?>
<comments xmlns="http://schemas.openxmlformats.org/spreadsheetml/2006/main">
  <authors>
    <author>build</author>
  </authors>
  <commentList>
    <comment ref="B103" authorId="0" shapeId="0">
      <text>
        <t>Solved in Python: the semi-annual GRY at which gilt_price() reproduces the curve dirty price (brentq). The two rows below re-price it here with the GRY formula to show it does.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32" customWidth="1" min="3" max="3"/>
    <col width="9" customWidth="1" min="4" max="4"/>
    <col width="12" customWidth="1" min="5" max="5"/>
    <col width="10" customWidth="1" min="6" max="6"/>
    <col width="30" customWidth="1" min="7" max="7"/>
  </cols>
  <sheetData>
    <row r="1">
      <c r="A1" s="1" t="inlineStr">
        <is>
          <t>Stage 4 hand check: five auctions, every intermediate value of M1, M1b and M2</t>
        </is>
      </c>
    </row>
    <row r="3">
      <c r="A3" s="2" t="inlineStr">
        <is>
          <t>Blue cells: inputs from the build (cash flows, spline z(t), model yields, DMO yields, BoE curve points).</t>
        </is>
      </c>
    </row>
    <row r="4">
      <c r="A4" s="2" t="inlineStr">
        <is>
          <t>Black cells: live formulas. Green cells: links to another sheet. Yellow: the results to check.</t>
        </is>
      </c>
    </row>
    <row r="5">
      <c r="A5" s="2" t="inlineStr">
        <is>
          <t>Each sheet ends with the Python result next to the spreadsheet's own, so the two can be compared.</t>
        </is>
      </c>
    </row>
    <row r="6">
      <c r="A6" s="2" t="inlineStr">
        <is>
          <t>Definitions: build spec §7 and src/gilt_study/measures.py. Event days k are UK business days (= BoE curve dates).</t>
        </is>
      </c>
    </row>
    <row r="7">
      <c r="A7" s="2" t="inlineStr">
        <is>
          <t>M1 = 100·(AAY - model yield off the T-1 curve, for the auction settlement date).</t>
        </is>
      </c>
    </row>
    <row r="8">
      <c r="A8" s="2" t="inlineStr">
        <is>
          <t>M1b = M1 - mean residual over T-25..T-6 (days within 5 business days of an earlier auction of the gilt excluded; ≥ 10 days).</t>
        </is>
      </c>
    </row>
    <row r="9">
      <c r="A9" s="2" t="inlineStr">
        <is>
          <t>M2: AR = Δy - β·Δc with β = SLOPE over k = -120..-21; CAR = 0 at T-6.</t>
        </is>
      </c>
    </row>
    <row r="11">
      <c r="A11" s="3" t="inlineStr">
        <is>
          <t>Slot</t>
        </is>
      </c>
      <c r="B11" s="3" t="inlineStr">
        <is>
          <t>Auction</t>
        </is>
      </c>
      <c r="C11" s="3" t="inlineStr">
        <is>
          <t>Gilt</t>
        </is>
      </c>
      <c r="D11" s="3" t="inlineStr">
        <is>
          <t>Bucket</t>
        </is>
      </c>
      <c r="E11" s="3" t="inlineStr">
        <is>
          <t>Regime</t>
        </is>
      </c>
      <c r="F11" s="3" t="inlineStr">
        <is>
          <t>New issue</t>
        </is>
      </c>
      <c r="G11" s="3" t="inlineStr">
        <is>
          <t>Sheets</t>
        </is>
      </c>
    </row>
    <row r="12">
      <c r="A12" s="2" t="inlineStr">
        <is>
          <t>short</t>
        </is>
      </c>
      <c r="B12" s="4" t="n">
        <v>41492</v>
      </c>
      <c r="C12" s="2" t="inlineStr">
        <is>
          <t>1¼% Treasury Gilt 2018</t>
        </is>
      </c>
      <c r="D12" s="2" t="inlineStr">
        <is>
          <t>short</t>
        </is>
      </c>
      <c r="E12" s="2" t="inlineStr">
        <is>
          <t>QE</t>
        </is>
      </c>
      <c r="F12" s="2" t="b">
        <v>0</v>
      </c>
      <c r="G12" s="2" t="inlineStr">
        <is>
          <t>A1 M1 / M1b / M2 / control</t>
        </is>
      </c>
    </row>
    <row r="13">
      <c r="A13" s="2" t="inlineStr">
        <is>
          <t>medium</t>
        </is>
      </c>
      <c r="B13" s="4" t="n">
        <v>40472</v>
      </c>
      <c r="C13" s="2" t="inlineStr">
        <is>
          <t>3¾% Treasury Gilt 2020</t>
        </is>
      </c>
      <c r="D13" s="2" t="inlineStr">
        <is>
          <t>medium</t>
        </is>
      </c>
      <c r="E13" s="2" t="inlineStr">
        <is>
          <t>QE</t>
        </is>
      </c>
      <c r="F13" s="2" t="b">
        <v>0</v>
      </c>
      <c r="G13" s="2" t="inlineStr">
        <is>
          <t>A2 M1 / M1b / M2 / control</t>
        </is>
      </c>
    </row>
    <row r="14">
      <c r="A14" s="2" t="inlineStr">
        <is>
          <t>long</t>
        </is>
      </c>
      <c r="B14" s="4" t="n">
        <v>41191</v>
      </c>
      <c r="C14" s="2" t="inlineStr">
        <is>
          <t>4¼% Treasury Stock 2032</t>
        </is>
      </c>
      <c r="D14" s="2" t="inlineStr">
        <is>
          <t>long</t>
        </is>
      </c>
      <c r="E14" s="2" t="inlineStr">
        <is>
          <t>QE</t>
        </is>
      </c>
      <c r="F14" s="2" t="b">
        <v>0</v>
      </c>
      <c r="G14" s="2" t="inlineStr">
        <is>
          <t>A3 M1 / M1b / M2 / control</t>
        </is>
      </c>
    </row>
    <row r="15">
      <c r="A15" s="2" t="inlineStr">
        <is>
          <t>new issue</t>
        </is>
      </c>
      <c r="B15" s="4" t="n">
        <v>43174</v>
      </c>
      <c r="C15" s="2" t="inlineStr">
        <is>
          <t>1 5/8% Treasury Gilt 2028</t>
        </is>
      </c>
      <c r="D15" s="2" t="inlineStr">
        <is>
          <t>medium</t>
        </is>
      </c>
      <c r="E15" s="2" t="inlineStr">
        <is>
          <t>QE</t>
        </is>
      </c>
      <c r="F15" s="2" t="b">
        <v>1</v>
      </c>
      <c r="G15" s="2" t="inlineStr">
        <is>
          <t>A4 M1 / M1b / M2 / control</t>
        </is>
      </c>
    </row>
    <row r="16">
      <c r="A16" s="2" t="inlineStr">
        <is>
          <t>Sept-Oct 2022</t>
        </is>
      </c>
      <c r="B16" s="4" t="n">
        <v>44838</v>
      </c>
      <c r="C16" s="2" t="inlineStr">
        <is>
          <t>0½% Treasury Gilt 2061</t>
        </is>
      </c>
      <c r="D16" s="2" t="inlineStr">
        <is>
          <t>long</t>
        </is>
      </c>
      <c r="E16" s="2" t="inlineStr">
        <is>
          <t>LDI stress</t>
        </is>
      </c>
      <c r="F16" s="2" t="b">
        <v>0</v>
      </c>
      <c r="G16" s="2" t="inlineStr">
        <is>
          <t>A5 M1 / M1b / M2 / control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5" t="inlineStr">
        <is>
          <t>A1: 1¼% Treasury Gilt 2018, auction 06 Aug 2013 - M1 (spec §7)</t>
        </is>
      </c>
    </row>
    <row r="3">
      <c r="A3" s="6" t="inlineStr">
        <is>
          <t>Auction date</t>
        </is>
      </c>
      <c r="B3" s="7" t="n">
        <v>41492</v>
      </c>
    </row>
    <row r="4">
      <c r="A4" s="6" t="inlineStr">
        <is>
          <t>Settlement date (DMO issue date)</t>
        </is>
      </c>
      <c r="B4" s="7" t="n">
        <v>41493</v>
      </c>
    </row>
    <row r="5">
      <c r="A5" s="6" t="inlineStr">
        <is>
          <t>Effective settlement (first issue date if later, decision #10)</t>
        </is>
      </c>
      <c r="B5" s="7" t="n">
        <v>41493</v>
      </c>
    </row>
    <row r="6">
      <c r="A6" s="6" t="inlineStr">
        <is>
          <t>Curve date (T-1 close)</t>
        </is>
      </c>
      <c r="B6" s="7" t="n">
        <v>41491</v>
      </c>
    </row>
    <row r="7">
      <c r="A7" s="6" t="inlineStr">
        <is>
          <t>Coupon (% p.a.)</t>
        </is>
      </c>
      <c r="B7" s="8" t="n">
        <v>1.25</v>
      </c>
    </row>
    <row r="8">
      <c r="A8" s="6" t="inlineStr">
        <is>
          <t>Maturity</t>
        </is>
      </c>
      <c r="B8" s="7" t="n">
        <v>43303</v>
      </c>
    </row>
    <row r="9">
      <c r="A9" s="6" t="inlineStr">
        <is>
          <t>First issue date</t>
        </is>
      </c>
      <c r="B9" s="7" t="n">
        <v>41320</v>
      </c>
    </row>
    <row r="10">
      <c r="A10" s="6" t="inlineStr">
        <is>
          <t>First coupon date (source below)</t>
        </is>
      </c>
      <c r="B10" s="7" t="n">
        <v>41477</v>
      </c>
    </row>
    <row r="11">
      <c r="A11" s="6" t="inlineStr">
        <is>
          <t>First coupon source</t>
        </is>
      </c>
      <c r="B11" s="9" t="inlineStr">
        <is>
          <t>DMO reference prices (accrued interest)</t>
        </is>
      </c>
    </row>
    <row r="12">
      <c r="A12" s="6" t="inlineStr">
        <is>
          <t>Accrued interest at settlement (cash_flows)</t>
        </is>
      </c>
      <c r="B12" s="10" t="n">
        <v>0.05434782608695652</v>
      </c>
    </row>
    <row r="13">
      <c r="A13" s="6" t="inlineStr">
        <is>
          <t>Average accepted yield, AAY (% , D2.1A)</t>
        </is>
      </c>
      <c r="B13" s="10" t="n">
        <v>1.405044</v>
      </c>
    </row>
    <row r="14">
      <c r="A14" s="6" t="inlineStr">
        <is>
          <t>Curve: last maturity T (y)</t>
        </is>
      </c>
      <c r="B14" s="11" t="n">
        <v>25</v>
      </c>
    </row>
    <row r="15">
      <c r="A15" s="6" t="inlineStr">
        <is>
          <t>Curve: z(T) (%)</t>
        </is>
      </c>
      <c r="B15" s="10" t="n">
        <v>3.717268631631169</v>
      </c>
    </row>
    <row r="16">
      <c r="A16" s="6" t="inlineStr">
        <is>
          <t>Curve: BoE forward f(T) (%)</t>
        </is>
      </c>
      <c r="B16" s="10" t="n">
        <v>4.117365907860158</v>
      </c>
    </row>
    <row r="19">
      <c r="A19" s="3" t="inlineStr">
        <is>
          <t>Cash flow date</t>
        </is>
      </c>
      <c r="B19" s="3" t="inlineStr">
        <is>
          <t>Amount per £100</t>
        </is>
      </c>
      <c r="C19" s="3" t="inlineStr">
        <is>
          <t>t = days/365.25</t>
        </is>
      </c>
      <c r="D19" s="3" t="inlineStr">
        <is>
          <t>z(t) % (spline; flat fwd beyond T)</t>
        </is>
      </c>
      <c r="E19" s="3" t="inlineStr">
        <is>
          <t>DF = exp(-z/100·t)</t>
        </is>
      </c>
      <c r="F19" s="3" t="inlineStr">
        <is>
          <t>PV = amount·DF</t>
        </is>
      </c>
      <c r="G19" s="3" t="inlineStr">
        <is>
          <t>Exponent (semi-annual periods)</t>
        </is>
      </c>
      <c r="H19" s="3" t="inlineStr">
        <is>
          <t>v^exponent at model yield</t>
        </is>
      </c>
      <c r="I19" s="3" t="inlineStr">
        <is>
          <t>PV at model yield</t>
        </is>
      </c>
      <c r="J19" s="3" t="inlineStr">
        <is>
          <t>BoE point below</t>
        </is>
      </c>
      <c r="K19" s="3" t="inlineStr">
        <is>
          <t>z below</t>
        </is>
      </c>
      <c r="L19" s="3" t="inlineStr">
        <is>
          <t>BoE point above</t>
        </is>
      </c>
      <c r="M19" s="3" t="inlineStr">
        <is>
          <t>z above</t>
        </is>
      </c>
      <c r="N19" s="3" t="inlineStr">
        <is>
          <t>Linear interp. of z (check)</t>
        </is>
      </c>
    </row>
    <row r="20">
      <c r="A20" s="7" t="n">
        <v>41661</v>
      </c>
      <c r="B20" s="10" t="n">
        <v>0.625</v>
      </c>
      <c r="C20" s="12">
        <f>(A20-$B$5)/365.25</f>
        <v/>
      </c>
      <c r="D20" s="10" t="n">
        <v>0.3353085963310496</v>
      </c>
      <c r="E20" s="13">
        <f>EXP(-D20/100*C20)</f>
        <v/>
      </c>
      <c r="F20" s="12">
        <f>B20*E20</f>
        <v/>
      </c>
      <c r="G20" s="10" t="n">
        <v>0.9130434782608695</v>
      </c>
      <c r="H20" s="13">
        <f>(1/(1+$B$34/200))^G20</f>
        <v/>
      </c>
      <c r="I20" s="12">
        <f>B20*H20</f>
        <v/>
      </c>
    </row>
    <row r="21">
      <c r="A21" s="7" t="n">
        <v>41842</v>
      </c>
      <c r="B21" s="10" t="n">
        <v>0.625</v>
      </c>
      <c r="C21" s="12">
        <f>(A21-$B$5)/365.25</f>
        <v/>
      </c>
      <c r="D21" s="10" t="n">
        <v>0.2978616125661712</v>
      </c>
      <c r="E21" s="13">
        <f>EXP(-D21/100*C21)</f>
        <v/>
      </c>
      <c r="F21" s="12">
        <f>B21*E21</f>
        <v/>
      </c>
      <c r="G21" s="10" t="n">
        <v>1.91304347826087</v>
      </c>
      <c r="H21" s="13">
        <f>(1/(1+$B$34/200))^G21</f>
        <v/>
      </c>
      <c r="I21" s="12">
        <f>B21*H21</f>
        <v/>
      </c>
      <c r="J21" s="8" t="n">
        <v>0.916667</v>
      </c>
      <c r="K21" s="10" t="n">
        <v>0.3007541714001163</v>
      </c>
      <c r="L21" s="8" t="n">
        <v>1</v>
      </c>
      <c r="M21" s="10" t="n">
        <v>0.2953316572140152</v>
      </c>
      <c r="N21" s="12">
        <f>IF(L21=J21,K21,K21+(M21-K21)*(C21-J21)/(L21-J21))</f>
        <v/>
      </c>
    </row>
    <row r="22">
      <c r="A22" s="7" t="n">
        <v>42026</v>
      </c>
      <c r="B22" s="10" t="n">
        <v>0.625</v>
      </c>
      <c r="C22" s="12">
        <f>(A22-$B$5)/365.25</f>
        <v/>
      </c>
      <c r="D22" s="10" t="n">
        <v>0.3128256160432761</v>
      </c>
      <c r="E22" s="13">
        <f>EXP(-D22/100*C22)</f>
        <v/>
      </c>
      <c r="F22" s="12">
        <f>B22*E22</f>
        <v/>
      </c>
      <c r="G22" s="10" t="n">
        <v>2.91304347826087</v>
      </c>
      <c r="H22" s="13">
        <f>(1/(1+$B$34/200))^G22</f>
        <v/>
      </c>
      <c r="I22" s="12">
        <f>B22*H22</f>
        <v/>
      </c>
      <c r="J22" s="8" t="n">
        <v>1.416667</v>
      </c>
      <c r="K22" s="10" t="n">
        <v>0.3081926454679809</v>
      </c>
      <c r="L22" s="8" t="n">
        <v>1.5</v>
      </c>
      <c r="M22" s="10" t="n">
        <v>0.3177544921818339</v>
      </c>
      <c r="N22" s="12">
        <f>IF(L22=J22,K22,K22+(M22-K22)*(C22-J22)/(L22-J22))</f>
        <v/>
      </c>
    </row>
    <row r="23">
      <c r="A23" s="7" t="n">
        <v>42207</v>
      </c>
      <c r="B23" s="10" t="n">
        <v>0.625</v>
      </c>
      <c r="C23" s="12">
        <f>(A23-$B$5)/365.25</f>
        <v/>
      </c>
      <c r="D23" s="10" t="n">
        <v>0.4009697217694895</v>
      </c>
      <c r="E23" s="13">
        <f>EXP(-D23/100*C23)</f>
        <v/>
      </c>
      <c r="F23" s="12">
        <f>B23*E23</f>
        <v/>
      </c>
      <c r="G23" s="10" t="n">
        <v>3.91304347826087</v>
      </c>
      <c r="H23" s="13">
        <f>(1/(1+$B$34/200))^G23</f>
        <v/>
      </c>
      <c r="I23" s="12">
        <f>B23*H23</f>
        <v/>
      </c>
      <c r="J23" s="8" t="n">
        <v>1.916667</v>
      </c>
      <c r="K23" s="10" t="n">
        <v>0.3922814814562669</v>
      </c>
      <c r="L23" s="8" t="n">
        <v>2</v>
      </c>
      <c r="M23" s="10" t="n">
        <v>0.4115917787762509</v>
      </c>
      <c r="N23" s="12">
        <f>IF(L23=J23,K23,K23+(M23-K23)*(C23-J23)/(L23-J23))</f>
        <v/>
      </c>
    </row>
    <row r="24">
      <c r="A24" s="7" t="n">
        <v>42391</v>
      </c>
      <c r="B24" s="10" t="n">
        <v>0.625</v>
      </c>
      <c r="C24" s="12">
        <f>(A24-$B$5)/365.25</f>
        <v/>
      </c>
      <c r="D24" s="10" t="n">
        <v>0.5360141329031165</v>
      </c>
      <c r="E24" s="13">
        <f>EXP(-D24/100*C24)</f>
        <v/>
      </c>
      <c r="F24" s="12">
        <f>B24*E24</f>
        <v/>
      </c>
      <c r="G24" s="10" t="n">
        <v>4.913043478260869</v>
      </c>
      <c r="H24" s="13">
        <f>(1/(1+$B$34/200))^G24</f>
        <v/>
      </c>
      <c r="I24" s="12">
        <f>B24*H24</f>
        <v/>
      </c>
      <c r="J24" s="8" t="n">
        <v>2.416667</v>
      </c>
      <c r="K24" s="10" t="n">
        <v>0.5236189901406046</v>
      </c>
      <c r="L24" s="8" t="n">
        <v>2.5</v>
      </c>
      <c r="M24" s="10" t="n">
        <v>0.5484156859636382</v>
      </c>
      <c r="N24" s="12">
        <f>IF(L24=J24,K24,K24+(M24-K24)*(C24-J24)/(L24-J24))</f>
        <v/>
      </c>
    </row>
    <row r="25">
      <c r="A25" s="7" t="n">
        <v>42573</v>
      </c>
      <c r="B25" s="10" t="n">
        <v>0.625</v>
      </c>
      <c r="C25" s="12">
        <f>(A25-$B$5)/365.25</f>
        <v/>
      </c>
      <c r="D25" s="10" t="n">
        <v>0.6932493515263811</v>
      </c>
      <c r="E25" s="13">
        <f>EXP(-D25/100*C25)</f>
        <v/>
      </c>
      <c r="F25" s="12">
        <f>B25*E25</f>
        <v/>
      </c>
      <c r="G25" s="10" t="n">
        <v>5.913043478260869</v>
      </c>
      <c r="H25" s="13">
        <f>(1/(1+$B$34/200))^G25</f>
        <v/>
      </c>
      <c r="I25" s="12">
        <f>B25*H25</f>
        <v/>
      </c>
      <c r="J25" s="8" t="n">
        <v>2.916667</v>
      </c>
      <c r="K25" s="10" t="n">
        <v>0.6800415093672966</v>
      </c>
      <c r="L25" s="8" t="n">
        <v>3</v>
      </c>
      <c r="M25" s="10" t="n">
        <v>0.7074858902848182</v>
      </c>
      <c r="N25" s="12">
        <f>IF(L25=J25,K25,K25+(M25-K25)*(C25-J25)/(L25-J25))</f>
        <v/>
      </c>
    </row>
    <row r="26">
      <c r="A26" s="7" t="n">
        <v>42757</v>
      </c>
      <c r="B26" s="10" t="n">
        <v>0.625</v>
      </c>
      <c r="C26" s="12">
        <f>(A26-$B$5)/365.25</f>
        <v/>
      </c>
      <c r="D26" s="10" t="n">
        <v>0.8628838848482682</v>
      </c>
      <c r="E26" s="13">
        <f>EXP(-D26/100*C26)</f>
        <v/>
      </c>
      <c r="F26" s="12">
        <f>B26*E26</f>
        <v/>
      </c>
      <c r="G26" s="10" t="n">
        <v>6.913043478260869</v>
      </c>
      <c r="H26" s="13">
        <f>(1/(1+$B$34/200))^G26</f>
        <v/>
      </c>
      <c r="I26" s="12">
        <f>B26*H26</f>
        <v/>
      </c>
      <c r="J26" s="8" t="n">
        <v>3.416667</v>
      </c>
      <c r="K26" s="10" t="n">
        <v>0.8478675584060552</v>
      </c>
      <c r="L26" s="8" t="n">
        <v>3.5</v>
      </c>
      <c r="M26" s="10" t="n">
        <v>0.8763417647274463</v>
      </c>
      <c r="N26" s="12">
        <f>IF(L26=J26,K26,K26+(M26-K26)*(C26-J26)/(L26-J26))</f>
        <v/>
      </c>
    </row>
    <row r="27">
      <c r="A27" s="7" t="n">
        <v>42938</v>
      </c>
      <c r="B27" s="10" t="n">
        <v>0.625</v>
      </c>
      <c r="C27" s="12">
        <f>(A27-$B$5)/365.25</f>
        <v/>
      </c>
      <c r="D27" s="10" t="n">
        <v>1.032883156864898</v>
      </c>
      <c r="E27" s="13">
        <f>EXP(-D27/100*C27)</f>
        <v/>
      </c>
      <c r="F27" s="12">
        <f>B27*E27</f>
        <v/>
      </c>
      <c r="G27" s="10" t="n">
        <v>7.913043478260869</v>
      </c>
      <c r="H27" s="13">
        <f>(1/(1+$B$34/200))^G27</f>
        <v/>
      </c>
      <c r="I27" s="12">
        <f>B27*H27</f>
        <v/>
      </c>
      <c r="J27" s="8" t="n">
        <v>3.916667</v>
      </c>
      <c r="K27" s="10" t="n">
        <v>1.019320026163274</v>
      </c>
      <c r="L27" s="8" t="n">
        <v>4</v>
      </c>
      <c r="M27" s="10" t="n">
        <v>1.047905769553211</v>
      </c>
      <c r="N27" s="12">
        <f>IF(L27=J27,K27,K27+(M27-K27)*(C27-J27)/(L27-J27))</f>
        <v/>
      </c>
    </row>
    <row r="28">
      <c r="A28" s="7" t="n">
        <v>43122</v>
      </c>
      <c r="B28" s="10" t="n">
        <v>0.625</v>
      </c>
      <c r="C28" s="12">
        <f>(A28-$B$5)/365.25</f>
        <v/>
      </c>
      <c r="D28" s="10" t="n">
        <v>1.204644073204051</v>
      </c>
      <c r="E28" s="13">
        <f>EXP(-D28/100*C28)</f>
        <v/>
      </c>
      <c r="F28" s="12">
        <f>B28*E28</f>
        <v/>
      </c>
      <c r="G28" s="10" t="n">
        <v>8.913043478260869</v>
      </c>
      <c r="H28" s="13">
        <f>(1/(1+$B$34/200))^G28</f>
        <v/>
      </c>
      <c r="I28" s="12">
        <f>B28*H28</f>
        <v/>
      </c>
      <c r="J28" s="8" t="n">
        <v>4.416666</v>
      </c>
      <c r="K28" s="10" t="n">
        <v>1.189995440794122</v>
      </c>
      <c r="L28" s="8" t="n">
        <v>4.5</v>
      </c>
      <c r="M28" s="10" t="n">
        <v>1.21816859821951</v>
      </c>
      <c r="N28" s="12">
        <f>IF(L28=J28,K28,K28+(M28-K28)*(C28-J28)/(L28-J28))</f>
        <v/>
      </c>
    </row>
    <row r="29">
      <c r="A29" s="7" t="n">
        <v>43303</v>
      </c>
      <c r="B29" s="10" t="n">
        <v>100.625</v>
      </c>
      <c r="C29" s="12">
        <f>(A29-$B$5)/365.25</f>
        <v/>
      </c>
      <c r="D29" s="10" t="n">
        <v>1.370153562133972</v>
      </c>
      <c r="E29" s="13">
        <f>EXP(-D29/100*C29)</f>
        <v/>
      </c>
      <c r="F29" s="12">
        <f>B29*E29</f>
        <v/>
      </c>
      <c r="G29" s="10" t="n">
        <v>9.913043478260869</v>
      </c>
      <c r="H29" s="13">
        <f>(1/(1+$B$34/200))^G29</f>
        <v/>
      </c>
      <c r="I29" s="12">
        <f>B29*H29</f>
        <v/>
      </c>
      <c r="J29" s="8" t="n">
        <v>4.916666</v>
      </c>
      <c r="K29" s="10" t="n">
        <v>1.357341384284285</v>
      </c>
      <c r="L29" s="8" t="n">
        <v>5</v>
      </c>
      <c r="M29" s="10" t="n">
        <v>1.384790807788592</v>
      </c>
      <c r="N29" s="12">
        <f>IF(L29=J29,K29,K29+(M29-K29)*(C29-J29)/(L29-J29))</f>
        <v/>
      </c>
    </row>
    <row r="31">
      <c r="A31" s="6" t="inlineStr">
        <is>
          <t>Curve dirty price = SUM(PV)</t>
        </is>
      </c>
      <c r="B31" s="12">
        <f>SUM(F20:F29)</f>
        <v/>
      </c>
    </row>
    <row r="32">
      <c r="A32" s="6" t="inlineStr">
        <is>
          <t>Accrued interest</t>
        </is>
      </c>
      <c r="B32" s="12">
        <f>B12</f>
        <v/>
      </c>
    </row>
    <row r="33">
      <c r="A33" s="6" t="inlineStr">
        <is>
          <t>Curve clean price</t>
        </is>
      </c>
      <c r="B33" s="12">
        <f>B31-B32</f>
        <v/>
      </c>
    </row>
    <row r="34">
      <c r="A34" s="6" t="inlineStr">
        <is>
          <t>Model yield (% , brentq in Python)</t>
        </is>
      </c>
      <c r="B34" s="14" t="n">
        <v>1.358226533157387</v>
      </c>
    </row>
    <row r="35">
      <c r="A35" s="6" t="inlineStr">
        <is>
          <t>Price at the model yield = SUM(PV at model yield)</t>
        </is>
      </c>
      <c r="B35" s="12">
        <f>SUM(I20:I29)</f>
        <v/>
      </c>
    </row>
    <row r="36">
      <c r="A36" s="6" t="inlineStr">
        <is>
          <t>Check: price at model yield - curve dirty (≈ 0)</t>
        </is>
      </c>
      <c r="B36" s="15">
        <f>B35-B31</f>
        <v/>
      </c>
    </row>
    <row r="37">
      <c r="A37" s="6" t="inlineStr">
        <is>
          <t>M1 (bp) = 100·(AAY - model yield)</t>
        </is>
      </c>
      <c r="B37" s="16">
        <f>100*(B13-B34)</f>
        <v/>
      </c>
    </row>
    <row r="38">
      <c r="A38" s="6" t="inlineStr">
        <is>
          <t>Python M1 (bp), for comparison</t>
        </is>
      </c>
      <c r="B38" s="8" t="n">
        <v>4.681746684261268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6" customWidth="1" min="3" max="3"/>
    <col width="18" customWidth="1" min="4" max="4"/>
    <col width="18" customWidth="1" min="5" max="5"/>
    <col width="10" customWidth="1" min="6" max="6"/>
    <col width="52" customWidth="1" min="7" max="7"/>
  </cols>
  <sheetData>
    <row r="1">
      <c r="A1" s="5" t="inlineStr">
        <is>
          <t>A1: 1¼% Treasury Gilt 2018, auction 06 Aug 2013 - M1b baseline, T-25 to T-6 (decision #4)</t>
        </is>
      </c>
    </row>
    <row r="3">
      <c r="A3" s="3" t="inlineStr">
        <is>
          <t>k (business days)</t>
        </is>
      </c>
      <c r="B3" s="3" t="inlineStr">
        <is>
          <t>Date</t>
        </is>
      </c>
      <c r="C3" s="3" t="inlineStr">
        <is>
          <t>Market yield (%): DMO yield (from the DMO clean price before 25 Nov 2002)</t>
        </is>
      </c>
      <c r="D3" s="3" t="inlineStr">
        <is>
          <t>Model yield (%, curve of that day)</t>
        </is>
      </c>
      <c r="E3" s="3" t="inlineStr">
        <is>
          <t>Residual (bp) = 100·(DMO - model)</t>
        </is>
      </c>
      <c r="F3" s="3" t="inlineStr">
        <is>
          <t>Included (1/0)</t>
        </is>
      </c>
      <c r="G3" s="3" t="inlineStr">
        <is>
          <t>Excluded because</t>
        </is>
      </c>
    </row>
    <row r="4">
      <c r="A4" s="9" t="n">
        <v>-25</v>
      </c>
      <c r="B4" s="7" t="n">
        <v>41457</v>
      </c>
      <c r="C4" s="10" t="n">
        <v>1.385677</v>
      </c>
      <c r="D4" s="10" t="n">
        <v>1.360956894</v>
      </c>
      <c r="E4" s="17">
        <f>IF(F4=1,100*(C4-D4),"")</f>
        <v/>
      </c>
      <c r="F4" s="9" t="n">
        <v>1</v>
      </c>
      <c r="G4" s="9" t="inlineStr"/>
    </row>
    <row r="5">
      <c r="A5" s="9" t="n">
        <v>-24</v>
      </c>
      <c r="B5" s="7" t="n">
        <v>41458</v>
      </c>
      <c r="C5" s="10" t="n">
        <v>1.41675</v>
      </c>
      <c r="D5" s="10" t="n">
        <v>1.390003476</v>
      </c>
      <c r="E5" s="17">
        <f>IF(F5=1,100*(C5-D5),"")</f>
        <v/>
      </c>
      <c r="F5" s="9" t="n">
        <v>1</v>
      </c>
      <c r="G5" s="9" t="inlineStr"/>
    </row>
    <row r="6">
      <c r="A6" s="9" t="n">
        <v>-23</v>
      </c>
      <c r="B6" s="7" t="n">
        <v>41459</v>
      </c>
      <c r="C6" s="10" t="n">
        <v>1.36724</v>
      </c>
      <c r="D6" s="10" t="n">
        <v>1.350203226</v>
      </c>
      <c r="E6" s="17">
        <f>IF(F6=1,100*(C6-D6),"")</f>
        <v/>
      </c>
      <c r="F6" s="9" t="n">
        <v>1</v>
      </c>
      <c r="G6" s="9" t="inlineStr"/>
    </row>
    <row r="7">
      <c r="A7" s="9" t="n">
        <v>-22</v>
      </c>
      <c r="B7" s="7" t="n">
        <v>41460</v>
      </c>
      <c r="C7" s="10" t="n">
        <v>1.435774</v>
      </c>
      <c r="D7" s="10" t="n">
        <v>1.420539014</v>
      </c>
      <c r="E7" s="17">
        <f>IF(F7=1,100*(C7-D7),"")</f>
        <v/>
      </c>
      <c r="F7" s="9" t="n">
        <v>1</v>
      </c>
      <c r="G7" s="9" t="inlineStr"/>
    </row>
    <row r="8">
      <c r="A8" s="9" t="n">
        <v>-21</v>
      </c>
      <c r="B8" s="7" t="n">
        <v>41463</v>
      </c>
      <c r="C8" s="10" t="n">
        <v>1.413053</v>
      </c>
      <c r="D8" s="10" t="n">
        <v>1.400426162</v>
      </c>
      <c r="E8" s="17">
        <f>IF(F8=1,100*(C8-D8),"")</f>
        <v/>
      </c>
      <c r="F8" s="9" t="n">
        <v>1</v>
      </c>
      <c r="G8" s="9" t="inlineStr"/>
    </row>
    <row r="9">
      <c r="A9" s="9" t="n">
        <v>-20</v>
      </c>
      <c r="B9" s="7" t="n">
        <v>41464</v>
      </c>
      <c r="C9" s="10" t="n">
        <v>1.346877</v>
      </c>
      <c r="D9" s="10" t="n">
        <v>1.335085266</v>
      </c>
      <c r="E9" s="17">
        <f>IF(F9=1,100*(C9-D9),"")</f>
        <v/>
      </c>
      <c r="F9" s="9" t="n">
        <v>1</v>
      </c>
      <c r="G9" s="9" t="inlineStr"/>
    </row>
    <row r="10">
      <c r="A10" s="9" t="n">
        <v>-19</v>
      </c>
      <c r="B10" s="7" t="n">
        <v>41465</v>
      </c>
      <c r="C10" s="10" t="n">
        <v>1.351066</v>
      </c>
      <c r="D10" s="10" t="n">
        <v>1.332142693</v>
      </c>
      <c r="E10" s="17">
        <f>IF(F10=1,100*(C10-D10),"")</f>
        <v/>
      </c>
      <c r="F10" s="9" t="n">
        <v>1</v>
      </c>
      <c r="G10" s="9" t="inlineStr"/>
    </row>
    <row r="11">
      <c r="A11" s="9" t="n">
        <v>-18</v>
      </c>
      <c r="B11" s="7" t="n">
        <v>41466</v>
      </c>
      <c r="C11" s="10" t="n">
        <v>1.324276</v>
      </c>
      <c r="D11" s="10" t="n">
        <v>1.304827485</v>
      </c>
      <c r="E11" s="17">
        <f>IF(F11=1,100*(C11-D11),"")</f>
        <v/>
      </c>
      <c r="F11" s="9" t="n">
        <v>1</v>
      </c>
      <c r="G11" s="9" t="inlineStr"/>
    </row>
    <row r="12">
      <c r="A12" s="9" t="n">
        <v>-17</v>
      </c>
      <c r="B12" s="7" t="n">
        <v>41467</v>
      </c>
      <c r="C12" s="10" t="n">
        <v>1.287164</v>
      </c>
      <c r="D12" s="10" t="n">
        <v>1.261149303</v>
      </c>
      <c r="E12" s="17">
        <f>IF(F12=1,100*(C12-D12),"")</f>
        <v/>
      </c>
      <c r="F12" s="9" t="n">
        <v>1</v>
      </c>
      <c r="G12" s="9" t="inlineStr"/>
    </row>
    <row r="13">
      <c r="A13" s="9" t="n">
        <v>-16</v>
      </c>
      <c r="B13" s="7" t="n">
        <v>41470</v>
      </c>
      <c r="C13" s="10" t="n">
        <v>1.301656</v>
      </c>
      <c r="D13" s="10" t="n">
        <v>1.278829823</v>
      </c>
      <c r="E13" s="17">
        <f>IF(F13=1,100*(C13-D13),"")</f>
        <v/>
      </c>
      <c r="F13" s="9" t="n">
        <v>1</v>
      </c>
      <c r="G13" s="9" t="inlineStr"/>
    </row>
    <row r="14">
      <c r="A14" s="9" t="n">
        <v>-15</v>
      </c>
      <c r="B14" s="7" t="n">
        <v>41471</v>
      </c>
      <c r="C14" s="10" t="n">
        <v>1.229384</v>
      </c>
      <c r="D14" s="10" t="n">
        <v>1.206797771</v>
      </c>
      <c r="E14" s="17">
        <f>IF(F14=1,100*(C14-D14),"")</f>
        <v/>
      </c>
      <c r="F14" s="9" t="n">
        <v>1</v>
      </c>
      <c r="G14" s="9" t="inlineStr"/>
    </row>
    <row r="15">
      <c r="A15" s="9" t="n">
        <v>-14</v>
      </c>
      <c r="B15" s="7" t="n">
        <v>41472</v>
      </c>
      <c r="C15" s="10" t="n">
        <v>1.214938</v>
      </c>
      <c r="D15" s="10" t="n">
        <v>1.200791392</v>
      </c>
      <c r="E15" s="17">
        <f>IF(F15=1,100*(C15-D15),"")</f>
        <v/>
      </c>
      <c r="F15" s="9" t="n">
        <v>1</v>
      </c>
      <c r="G15" s="9" t="inlineStr"/>
    </row>
    <row r="16">
      <c r="A16" s="9" t="n">
        <v>-13</v>
      </c>
      <c r="B16" s="7" t="n">
        <v>41473</v>
      </c>
      <c r="C16" s="10" t="n">
        <v>1.17372</v>
      </c>
      <c r="D16" s="10" t="n">
        <v>1.161795064</v>
      </c>
      <c r="E16" s="17">
        <f>IF(F16=1,100*(C16-D16),"")</f>
        <v/>
      </c>
      <c r="F16" s="9" t="n">
        <v>1</v>
      </c>
      <c r="G16" s="9" t="inlineStr"/>
    </row>
    <row r="17">
      <c r="A17" s="9" t="n">
        <v>-12</v>
      </c>
      <c r="B17" s="7" t="n">
        <v>41474</v>
      </c>
      <c r="C17" s="10" t="n">
        <v>1.221051</v>
      </c>
      <c r="D17" s="10" t="n">
        <v>1.207106358</v>
      </c>
      <c r="E17" s="17">
        <f>IF(F17=1,100*(C17-D17),"")</f>
        <v/>
      </c>
      <c r="F17" s="9" t="n">
        <v>1</v>
      </c>
      <c r="G17" s="9" t="inlineStr"/>
    </row>
    <row r="18">
      <c r="A18" s="9" t="n">
        <v>-11</v>
      </c>
      <c r="B18" s="7" t="n">
        <v>41477</v>
      </c>
      <c r="C18" s="10" t="n">
        <v>1.206569</v>
      </c>
      <c r="D18" s="10" t="n">
        <v>1.195516171</v>
      </c>
      <c r="E18" s="17">
        <f>IF(F18=1,100*(C18-D18),"")</f>
        <v/>
      </c>
      <c r="F18" s="9" t="n">
        <v>1</v>
      </c>
      <c r="G18" s="9" t="inlineStr"/>
    </row>
    <row r="19">
      <c r="A19" s="9" t="n">
        <v>-10</v>
      </c>
      <c r="B19" s="7" t="n">
        <v>41478</v>
      </c>
      <c r="C19" s="10" t="n">
        <v>1.245853</v>
      </c>
      <c r="D19" s="10" t="n">
        <v>1.236253955</v>
      </c>
      <c r="E19" s="17">
        <f>IF(F19=1,100*(C19-D19),"")</f>
        <v/>
      </c>
      <c r="F19" s="9" t="n">
        <v>1</v>
      </c>
      <c r="G19" s="9" t="inlineStr"/>
    </row>
    <row r="20">
      <c r="A20" s="9" t="n">
        <v>-9</v>
      </c>
      <c r="B20" s="7" t="n">
        <v>41479</v>
      </c>
      <c r="C20" s="10" t="n">
        <v>1.301883</v>
      </c>
      <c r="D20" s="10" t="n">
        <v>1.300095689</v>
      </c>
      <c r="E20" s="17">
        <f>IF(F20=1,100*(C20-D20),"")</f>
        <v/>
      </c>
      <c r="F20" s="9" t="n">
        <v>1</v>
      </c>
      <c r="G20" s="9" t="inlineStr"/>
    </row>
    <row r="21">
      <c r="A21" s="9" t="n">
        <v>-8</v>
      </c>
      <c r="B21" s="7" t="n">
        <v>41480</v>
      </c>
      <c r="C21" s="10" t="n">
        <v>1.289435</v>
      </c>
      <c r="D21" s="10" t="n">
        <v>1.288277382</v>
      </c>
      <c r="E21" s="17">
        <f>IF(F21=1,100*(C21-D21),"")</f>
        <v/>
      </c>
      <c r="F21" s="9" t="n">
        <v>1</v>
      </c>
      <c r="G21" s="9" t="inlineStr"/>
    </row>
    <row r="22">
      <c r="A22" s="9" t="n">
        <v>-7</v>
      </c>
      <c r="B22" s="7" t="n">
        <v>41481</v>
      </c>
      <c r="C22" s="10" t="n">
        <v>1.227152</v>
      </c>
      <c r="D22" s="10" t="n">
        <v>1.222858298</v>
      </c>
      <c r="E22" s="17">
        <f>IF(F22=1,100*(C22-D22),"")</f>
        <v/>
      </c>
      <c r="F22" s="9" t="n">
        <v>1</v>
      </c>
      <c r="G22" s="9" t="inlineStr"/>
    </row>
    <row r="23">
      <c r="A23" s="9" t="n">
        <v>-6</v>
      </c>
      <c r="B23" s="7" t="n">
        <v>41484</v>
      </c>
      <c r="C23" s="10" t="n">
        <v>1.235442</v>
      </c>
      <c r="D23" s="10" t="n">
        <v>1.22507896</v>
      </c>
      <c r="E23" s="17">
        <f>IF(F23=1,100*(C23-D23),"")</f>
        <v/>
      </c>
      <c r="F23" s="9" t="n">
        <v>1</v>
      </c>
      <c r="G23" s="9" t="inlineStr"/>
    </row>
    <row r="25">
      <c r="A25" s="6" t="inlineStr">
        <is>
          <t>Valid days (need ≥ 10)</t>
        </is>
      </c>
      <c r="B25" s="18">
        <f>SUM(F4:F23)</f>
        <v/>
      </c>
    </row>
    <row r="26">
      <c r="A26" s="6" t="inlineStr">
        <is>
          <t>Baseline = mean residual (bp)</t>
        </is>
      </c>
      <c r="B26" s="17">
        <f>IF(B25&gt;=10,AVERAGEIF(F4:F23,1,E4:E23),"n/a")</f>
        <v/>
      </c>
    </row>
    <row r="27">
      <c r="A27" s="6" t="inlineStr">
        <is>
          <t>M1 (bp), from the M1 sheet</t>
        </is>
      </c>
      <c r="B27" s="17">
        <f>'A1 M1'!B37</f>
        <v/>
      </c>
    </row>
    <row r="28">
      <c r="A28" s="6" t="inlineStr">
        <is>
          <t>M1b (bp) = M1 - baseline</t>
        </is>
      </c>
      <c r="B28" s="16">
        <f>IF(B25&gt;=10,B27-B26,"n/a")</f>
        <v/>
      </c>
    </row>
    <row r="29">
      <c r="A29" s="6" t="inlineStr">
        <is>
          <t>Python M1b (bp), for comparison</t>
        </is>
      </c>
      <c r="B29" s="8" t="n">
        <v>3.200618599761264</v>
      </c>
    </row>
    <row r="30">
      <c r="A30" s="6" t="inlineStr">
        <is>
          <t>Python note</t>
        </is>
      </c>
      <c r="B30" s="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26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5" t="inlineStr">
        <is>
          <t>A1: control maturities = BoE points 2-30y more than 3y from the gilt's 4.96y to maturity (35 points). Top: z (%); bottom: daily change (bp).</t>
        </is>
      </c>
    </row>
    <row r="3">
      <c r="A3" s="3" t="inlineStr">
        <is>
          <t>k</t>
        </is>
      </c>
      <c r="B3" s="3" t="inlineStr">
        <is>
          <t>Date</t>
        </is>
      </c>
      <c r="C3" s="3" t="inlineStr">
        <is>
          <t>z 8y</t>
        </is>
      </c>
      <c r="D3" s="3" t="inlineStr">
        <is>
          <t>z 8.5y</t>
        </is>
      </c>
      <c r="E3" s="3" t="inlineStr">
        <is>
          <t>z 9y</t>
        </is>
      </c>
      <c r="F3" s="3" t="inlineStr">
        <is>
          <t>z 9.5y</t>
        </is>
      </c>
      <c r="G3" s="3" t="inlineStr">
        <is>
          <t>z 10y</t>
        </is>
      </c>
      <c r="H3" s="3" t="inlineStr">
        <is>
          <t>z 10.5y</t>
        </is>
      </c>
      <c r="I3" s="3" t="inlineStr">
        <is>
          <t>z 11y</t>
        </is>
      </c>
      <c r="J3" s="3" t="inlineStr">
        <is>
          <t>z 11.5y</t>
        </is>
      </c>
      <c r="K3" s="3" t="inlineStr">
        <is>
          <t>z 12y</t>
        </is>
      </c>
      <c r="L3" s="3" t="inlineStr">
        <is>
          <t>z 12.5y</t>
        </is>
      </c>
      <c r="M3" s="3" t="inlineStr">
        <is>
          <t>z 13y</t>
        </is>
      </c>
      <c r="N3" s="3" t="inlineStr">
        <is>
          <t>z 13.5y</t>
        </is>
      </c>
      <c r="O3" s="3" t="inlineStr">
        <is>
          <t>z 14y</t>
        </is>
      </c>
      <c r="P3" s="3" t="inlineStr">
        <is>
          <t>z 14.5y</t>
        </is>
      </c>
      <c r="Q3" s="3" t="inlineStr">
        <is>
          <t>z 15y</t>
        </is>
      </c>
      <c r="R3" s="3" t="inlineStr">
        <is>
          <t>z 15.5y</t>
        </is>
      </c>
      <c r="S3" s="3" t="inlineStr">
        <is>
          <t>z 16y</t>
        </is>
      </c>
      <c r="T3" s="3" t="inlineStr">
        <is>
          <t>z 16.5y</t>
        </is>
      </c>
      <c r="U3" s="3" t="inlineStr">
        <is>
          <t>z 17y</t>
        </is>
      </c>
      <c r="V3" s="3" t="inlineStr">
        <is>
          <t>z 17.5y</t>
        </is>
      </c>
      <c r="W3" s="3" t="inlineStr">
        <is>
          <t>z 18y</t>
        </is>
      </c>
      <c r="X3" s="3" t="inlineStr">
        <is>
          <t>z 18.5y</t>
        </is>
      </c>
      <c r="Y3" s="3" t="inlineStr">
        <is>
          <t>z 19y</t>
        </is>
      </c>
      <c r="Z3" s="3" t="inlineStr">
        <is>
          <t>z 19.5y</t>
        </is>
      </c>
      <c r="AA3" s="3" t="inlineStr">
        <is>
          <t>z 20y</t>
        </is>
      </c>
      <c r="AB3" s="3" t="inlineStr">
        <is>
          <t>z 20.5y</t>
        </is>
      </c>
      <c r="AC3" s="3" t="inlineStr">
        <is>
          <t>z 21y</t>
        </is>
      </c>
      <c r="AD3" s="3" t="inlineStr">
        <is>
          <t>z 21.5y</t>
        </is>
      </c>
      <c r="AE3" s="3" t="inlineStr">
        <is>
          <t>z 22y</t>
        </is>
      </c>
      <c r="AF3" s="3" t="inlineStr">
        <is>
          <t>z 22.5y</t>
        </is>
      </c>
      <c r="AG3" s="3" t="inlineStr">
        <is>
          <t>z 23y</t>
        </is>
      </c>
      <c r="AH3" s="3" t="inlineStr">
        <is>
          <t>z 23.5y</t>
        </is>
      </c>
      <c r="AI3" s="3" t="inlineStr">
        <is>
          <t>z 24y</t>
        </is>
      </c>
      <c r="AJ3" s="3" t="inlineStr">
        <is>
          <t>z 24.5y</t>
        </is>
      </c>
      <c r="AK3" s="3" t="inlineStr">
        <is>
          <t>z 25y</t>
        </is>
      </c>
    </row>
    <row r="4">
      <c r="A4" s="9" t="n">
        <v>-121</v>
      </c>
      <c r="B4" s="7" t="n">
        <v>41317</v>
      </c>
      <c r="C4" s="10" t="n">
        <v>1.816918958712997</v>
      </c>
      <c r="D4" s="10" t="n">
        <v>1.926247913059426</v>
      </c>
      <c r="E4" s="10" t="n">
        <v>2.02985248968967</v>
      </c>
      <c r="F4" s="10" t="n">
        <v>2.127949709949926</v>
      </c>
      <c r="G4" s="10" t="n">
        <v>2.220838032367744</v>
      </c>
      <c r="H4" s="10" t="n">
        <v>2.308825263812586</v>
      </c>
      <c r="I4" s="10" t="n">
        <v>2.392218997936872</v>
      </c>
      <c r="J4" s="10" t="n">
        <v>2.471326660228128</v>
      </c>
      <c r="K4" s="10" t="n">
        <v>2.546455543043347</v>
      </c>
      <c r="L4" s="10" t="n">
        <v>2.617911740104867</v>
      </c>
      <c r="M4" s="10" t="n">
        <v>2.685982822399692</v>
      </c>
      <c r="N4" s="10" t="n">
        <v>2.750918476594573</v>
      </c>
      <c r="O4" s="10" t="n">
        <v>2.812934335494094</v>
      </c>
      <c r="P4" s="10" t="n">
        <v>2.872217848798564</v>
      </c>
      <c r="Q4" s="10" t="n">
        <v>2.928932973453122</v>
      </c>
      <c r="R4" s="10" t="n">
        <v>2.983222605468424</v>
      </c>
      <c r="S4" s="10" t="n">
        <v>3.035206272375342</v>
      </c>
      <c r="T4" s="10" t="n">
        <v>3.084981872665143</v>
      </c>
      <c r="U4" s="10" t="n">
        <v>3.132631669074796</v>
      </c>
      <c r="V4" s="10" t="n">
        <v>3.178225817976889</v>
      </c>
      <c r="W4" s="10" t="n">
        <v>3.22182408814122</v>
      </c>
      <c r="X4" s="10" t="n">
        <v>3.263477939797965</v>
      </c>
      <c r="Y4" s="10" t="n">
        <v>3.30323453445799</v>
      </c>
      <c r="Z4" s="10" t="n">
        <v>3.341138637668986</v>
      </c>
      <c r="AA4" s="10" t="n">
        <v>3.377233292479336</v>
      </c>
      <c r="AB4" s="10" t="n">
        <v>3.41156145579781</v>
      </c>
      <c r="AC4" s="10" t="n">
        <v>3.444166658122871</v>
      </c>
      <c r="AD4" s="10" t="n">
        <v>3.475092954367309</v>
      </c>
      <c r="AE4" s="10" t="n">
        <v>3.504384910804982</v>
      </c>
      <c r="AF4" s="10" t="n">
        <v>3.532088358058328</v>
      </c>
      <c r="AG4" s="10" t="n">
        <v>3.558251367428344</v>
      </c>
      <c r="AH4" s="10" t="n">
        <v>3.582924110994441</v>
      </c>
      <c r="AI4" s="10" t="n">
        <v>3.606157696247273</v>
      </c>
      <c r="AJ4" s="10" t="n">
        <v>3.628002774762308</v>
      </c>
      <c r="AK4" s="10" t="n">
        <v>3.648509410520323</v>
      </c>
    </row>
    <row r="5">
      <c r="A5" s="9" t="n">
        <v>-120</v>
      </c>
      <c r="B5" s="7" t="n">
        <v>41318</v>
      </c>
      <c r="C5" s="10" t="n">
        <v>1.919387340304835</v>
      </c>
      <c r="D5" s="10" t="n">
        <v>2.031908327611666</v>
      </c>
      <c r="E5" s="10" t="n">
        <v>2.138127994364174</v>
      </c>
      <c r="F5" s="10" t="n">
        <v>2.238280373252239</v>
      </c>
      <c r="G5" s="10" t="n">
        <v>2.332696966066597</v>
      </c>
      <c r="H5" s="10" t="n">
        <v>2.421722320914862</v>
      </c>
      <c r="I5" s="10" t="n">
        <v>2.505702564968706</v>
      </c>
      <c r="J5" s="10" t="n">
        <v>2.58498505991172</v>
      </c>
      <c r="K5" s="10" t="n">
        <v>2.659918144749435</v>
      </c>
      <c r="L5" s="10" t="n">
        <v>2.730849682242747</v>
      </c>
      <c r="M5" s="10" t="n">
        <v>2.798107282163123</v>
      </c>
      <c r="N5" s="10" t="n">
        <v>2.861976562729144</v>
      </c>
      <c r="O5" s="10" t="n">
        <v>2.922705415659121</v>
      </c>
      <c r="P5" s="10" t="n">
        <v>2.980510510169969</v>
      </c>
      <c r="Q5" s="10" t="n">
        <v>3.035582490411232</v>
      </c>
      <c r="R5" s="10" t="n">
        <v>3.088088975203285</v>
      </c>
      <c r="S5" s="10" t="n">
        <v>3.138173280514324</v>
      </c>
      <c r="T5" s="10" t="n">
        <v>3.185956454835858</v>
      </c>
      <c r="U5" s="10" t="n">
        <v>3.231542538369502</v>
      </c>
      <c r="V5" s="10" t="n">
        <v>3.275021899800163</v>
      </c>
      <c r="W5" s="10" t="n">
        <v>3.316473161235517</v>
      </c>
      <c r="X5" s="10" t="n">
        <v>3.355965356058092</v>
      </c>
      <c r="Y5" s="10" t="n">
        <v>3.393561621347659</v>
      </c>
      <c r="Z5" s="10" t="n">
        <v>3.429321066990025</v>
      </c>
      <c r="AA5" s="10" t="n">
        <v>3.463299643357019</v>
      </c>
      <c r="AB5" s="10" t="n">
        <v>3.495551924104983</v>
      </c>
      <c r="AC5" s="10" t="n">
        <v>3.526131898702775</v>
      </c>
      <c r="AD5" s="10" t="n">
        <v>3.555093056929498</v>
      </c>
      <c r="AE5" s="10" t="n">
        <v>3.582488482494878</v>
      </c>
      <c r="AF5" s="10" t="n">
        <v>3.608371527715361</v>
      </c>
      <c r="AG5" s="10" t="n">
        <v>3.632796639878219</v>
      </c>
      <c r="AH5" s="10" t="n">
        <v>3.655819297778299</v>
      </c>
      <c r="AI5" s="10" t="n">
        <v>3.677494835660386</v>
      </c>
      <c r="AJ5" s="10" t="n">
        <v>3.697877012392675</v>
      </c>
      <c r="AK5" s="10" t="n">
        <v>3.717017974152334</v>
      </c>
    </row>
    <row r="6">
      <c r="A6" s="9" t="n">
        <v>-119</v>
      </c>
      <c r="B6" s="7" t="n">
        <v>41319</v>
      </c>
      <c r="C6" s="10" t="n">
        <v>1.910347217352885</v>
      </c>
      <c r="D6" s="10" t="n">
        <v>2.025179763554215</v>
      </c>
      <c r="E6" s="10" t="n">
        <v>2.133273948577284</v>
      </c>
      <c r="F6" s="10" t="n">
        <v>2.234892406979159</v>
      </c>
      <c r="G6" s="10" t="n">
        <v>2.330398685309378</v>
      </c>
      <c r="H6" s="10" t="n">
        <v>2.420168961448878</v>
      </c>
      <c r="I6" s="10" t="n">
        <v>2.504580405868213</v>
      </c>
      <c r="J6" s="10" t="n">
        <v>2.584010964722943</v>
      </c>
      <c r="K6" s="10" t="n">
        <v>2.658839198252592</v>
      </c>
      <c r="L6" s="10" t="n">
        <v>2.729442783974562</v>
      </c>
      <c r="M6" s="10" t="n">
        <v>2.796177365966528</v>
      </c>
      <c r="N6" s="10" t="n">
        <v>2.859353608110962</v>
      </c>
      <c r="O6" s="10" t="n">
        <v>2.919241848511132</v>
      </c>
      <c r="P6" s="10" t="n">
        <v>2.976079051699509</v>
      </c>
      <c r="Q6" s="10" t="n">
        <v>3.030074363289517</v>
      </c>
      <c r="R6" s="10" t="n">
        <v>3.081412217503622</v>
      </c>
      <c r="S6" s="10" t="n">
        <v>3.130250659075653</v>
      </c>
      <c r="T6" s="10" t="n">
        <v>3.176723543579011</v>
      </c>
      <c r="U6" s="10" t="n">
        <v>3.220946499060418</v>
      </c>
      <c r="V6" s="10" t="n">
        <v>3.263020612769829</v>
      </c>
      <c r="W6" s="10" t="n">
        <v>3.303034481206422</v>
      </c>
      <c r="X6" s="10" t="n">
        <v>3.341066540156404</v>
      </c>
      <c r="Y6" s="10" t="n">
        <v>3.377189100996468</v>
      </c>
      <c r="Z6" s="10" t="n">
        <v>3.411470356584864</v>
      </c>
      <c r="AA6" s="10" t="n">
        <v>3.443975184267816</v>
      </c>
      <c r="AB6" s="10" t="n">
        <v>3.474766605978631</v>
      </c>
      <c r="AC6" s="10" t="n">
        <v>3.50390647826574</v>
      </c>
      <c r="AD6" s="10" t="n">
        <v>3.531455639881035</v>
      </c>
      <c r="AE6" s="10" t="n">
        <v>3.557474049576106</v>
      </c>
      <c r="AF6" s="10" t="n">
        <v>3.582021255502324</v>
      </c>
      <c r="AG6" s="10" t="n">
        <v>3.605156938867009</v>
      </c>
      <c r="AH6" s="10" t="n">
        <v>3.626940898347982</v>
      </c>
      <c r="AI6" s="10" t="n">
        <v>3.64743190300484</v>
      </c>
      <c r="AJ6" s="10" t="n">
        <v>3.666686280429448</v>
      </c>
      <c r="AK6" s="10" t="n">
        <v>3.684757959428868</v>
      </c>
    </row>
    <row r="7">
      <c r="A7" s="9" t="n">
        <v>-118</v>
      </c>
      <c r="B7" s="7" t="n">
        <v>41320</v>
      </c>
      <c r="C7" s="10" t="n">
        <v>1.909580045363532</v>
      </c>
      <c r="D7" s="10" t="n">
        <v>2.023471012312368</v>
      </c>
      <c r="E7" s="10" t="n">
        <v>2.130824985046518</v>
      </c>
      <c r="F7" s="10" t="n">
        <v>2.231905270485463</v>
      </c>
      <c r="G7" s="10" t="n">
        <v>2.327060178373332</v>
      </c>
      <c r="H7" s="10" t="n">
        <v>2.416645736591317</v>
      </c>
      <c r="I7" s="10" t="n">
        <v>2.501016644150959</v>
      </c>
      <c r="J7" s="10" t="n">
        <v>2.580526559527148</v>
      </c>
      <c r="K7" s="10" t="n">
        <v>2.655528317436588</v>
      </c>
      <c r="L7" s="10" t="n">
        <v>2.72637279472167</v>
      </c>
      <c r="M7" s="10" t="n">
        <v>2.793390157095128</v>
      </c>
      <c r="N7" s="10" t="n">
        <v>2.856870298754411</v>
      </c>
      <c r="O7" s="10" t="n">
        <v>2.917067238433546</v>
      </c>
      <c r="P7" s="10" t="n">
        <v>2.974205304570932</v>
      </c>
      <c r="Q7" s="10" t="n">
        <v>3.028484077430103</v>
      </c>
      <c r="R7" s="10" t="n">
        <v>3.0800813851159</v>
      </c>
      <c r="S7" s="10" t="n">
        <v>3.129152860010202</v>
      </c>
      <c r="T7" s="10" t="n">
        <v>3.175833977000651</v>
      </c>
      <c r="U7" s="10" t="n">
        <v>3.220244082196055</v>
      </c>
      <c r="V7" s="10" t="n">
        <v>3.262489163556099</v>
      </c>
      <c r="W7" s="10" t="n">
        <v>3.302663719496687</v>
      </c>
      <c r="X7" s="10" t="n">
        <v>3.340852733141215</v>
      </c>
      <c r="Y7" s="10" t="n">
        <v>3.377134626998296</v>
      </c>
      <c r="Z7" s="10" t="n">
        <v>3.411582846674639</v>
      </c>
      <c r="AA7" s="10" t="n">
        <v>3.444266700379201</v>
      </c>
      <c r="AB7" s="10" t="n">
        <v>3.475252652817967</v>
      </c>
      <c r="AC7" s="10" t="n">
        <v>3.504605001800305</v>
      </c>
      <c r="AD7" s="10" t="n">
        <v>3.532386138305679</v>
      </c>
      <c r="AE7" s="10" t="n">
        <v>3.558656783811216</v>
      </c>
      <c r="AF7" s="10" t="n">
        <v>3.583476504384142</v>
      </c>
      <c r="AG7" s="10" t="n">
        <v>3.606904261965898</v>
      </c>
      <c r="AH7" s="10" t="n">
        <v>3.628998469296634</v>
      </c>
      <c r="AI7" s="10" t="n">
        <v>3.649816039812215</v>
      </c>
      <c r="AJ7" s="10" t="n">
        <v>3.669411241647999</v>
      </c>
      <c r="AK7" s="10" t="n">
        <v>3.687835797179593</v>
      </c>
    </row>
    <row r="8">
      <c r="A8" s="9" t="n">
        <v>-117</v>
      </c>
      <c r="B8" s="7" t="n">
        <v>41323</v>
      </c>
      <c r="C8" s="10" t="n">
        <v>1.908896667364834</v>
      </c>
      <c r="D8" s="10" t="n">
        <v>2.022880299110489</v>
      </c>
      <c r="E8" s="10" t="n">
        <v>2.130397141058191</v>
      </c>
      <c r="F8" s="10" t="n">
        <v>2.231705136626255</v>
      </c>
      <c r="G8" s="10" t="n">
        <v>2.327147535632196</v>
      </c>
      <c r="H8" s="10" t="n">
        <v>2.417075836609964</v>
      </c>
      <c r="I8" s="10" t="n">
        <v>2.501840806083234</v>
      </c>
      <c r="J8" s="10" t="n">
        <v>2.581792637256382</v>
      </c>
      <c r="K8" s="10" t="n">
        <v>2.657281069455999</v>
      </c>
      <c r="L8" s="10" t="n">
        <v>2.728654112860113</v>
      </c>
      <c r="M8" s="10" t="n">
        <v>2.796238605543393</v>
      </c>
      <c r="N8" s="10" t="n">
        <v>2.860320236086003</v>
      </c>
      <c r="O8" s="10" t="n">
        <v>2.921148079117578</v>
      </c>
      <c r="P8" s="10" t="n">
        <v>2.978940907852563</v>
      </c>
      <c r="Q8" s="10" t="n">
        <v>3.033892236746122</v>
      </c>
      <c r="R8" s="10" t="n">
        <v>3.086173240087365</v>
      </c>
      <c r="S8" s="10" t="n">
        <v>3.135931843736142</v>
      </c>
      <c r="T8" s="10" t="n">
        <v>3.183294964567135</v>
      </c>
      <c r="U8" s="10" t="n">
        <v>3.228373622470617</v>
      </c>
      <c r="V8" s="10" t="n">
        <v>3.271266074679803</v>
      </c>
      <c r="W8" s="10" t="n">
        <v>3.312059611601011</v>
      </c>
      <c r="X8" s="10" t="n">
        <v>3.350832629197208</v>
      </c>
      <c r="Y8" s="10" t="n">
        <v>3.387658151989405</v>
      </c>
      <c r="Z8" s="10" t="n">
        <v>3.422605534936695</v>
      </c>
      <c r="AA8" s="10" t="n">
        <v>3.455741145617528</v>
      </c>
      <c r="AB8" s="10" t="n">
        <v>3.487129507387431</v>
      </c>
      <c r="AC8" s="10" t="n">
        <v>3.516833848458485</v>
      </c>
      <c r="AD8" s="10" t="n">
        <v>3.544916260204081</v>
      </c>
      <c r="AE8" s="10" t="n">
        <v>3.57143784904222</v>
      </c>
      <c r="AF8" s="10" t="n">
        <v>3.596459200897207</v>
      </c>
      <c r="AG8" s="10" t="n">
        <v>3.620040892246028</v>
      </c>
      <c r="AH8" s="10" t="n">
        <v>3.642243478231144</v>
      </c>
      <c r="AI8" s="10" t="n">
        <v>3.663126406207626</v>
      </c>
      <c r="AJ8" s="10" t="n">
        <v>3.682746741557489</v>
      </c>
      <c r="AK8" s="10" t="n">
        <v>3.701159232306185</v>
      </c>
    </row>
    <row r="9">
      <c r="A9" s="9" t="n">
        <v>-116</v>
      </c>
      <c r="B9" s="7" t="n">
        <v>41324</v>
      </c>
      <c r="C9" s="10" t="n">
        <v>1.90128730656486</v>
      </c>
      <c r="D9" s="10" t="n">
        <v>2.015720093667317</v>
      </c>
      <c r="E9" s="10" t="n">
        <v>2.123509666103878</v>
      </c>
      <c r="F9" s="10" t="n">
        <v>2.224947502112477</v>
      </c>
      <c r="G9" s="10" t="n">
        <v>2.320413820452332</v>
      </c>
      <c r="H9" s="10" t="n">
        <v>2.410292250489404</v>
      </c>
      <c r="I9" s="10" t="n">
        <v>2.494961208318189</v>
      </c>
      <c r="J9" s="10" t="n">
        <v>2.574795029685646</v>
      </c>
      <c r="K9" s="10" t="n">
        <v>2.650164820063592</v>
      </c>
      <c r="L9" s="10" t="n">
        <v>2.72143756902106</v>
      </c>
      <c r="M9" s="10" t="n">
        <v>2.788955145453223</v>
      </c>
      <c r="N9" s="10" t="n">
        <v>2.853012922241871</v>
      </c>
      <c r="O9" s="10" t="n">
        <v>2.913865061918421</v>
      </c>
      <c r="P9" s="10" t="n">
        <v>2.97173162170744</v>
      </c>
      <c r="Q9" s="10" t="n">
        <v>3.026804231027933</v>
      </c>
      <c r="R9" s="10" t="n">
        <v>3.079249694451418</v>
      </c>
      <c r="S9" s="10" t="n">
        <v>3.129210181764558</v>
      </c>
      <c r="T9" s="10" t="n">
        <v>3.176806116044635</v>
      </c>
      <c r="U9" s="10" t="n">
        <v>3.222141860933877</v>
      </c>
      <c r="V9" s="10" t="n">
        <v>3.265309057335796</v>
      </c>
      <c r="W9" s="10" t="n">
        <v>3.306388418457963</v>
      </c>
      <c r="X9" s="10" t="n">
        <v>3.34545197564379</v>
      </c>
      <c r="Y9" s="10" t="n">
        <v>3.382567245195073</v>
      </c>
      <c r="Z9" s="10" t="n">
        <v>3.417799093666392</v>
      </c>
      <c r="AA9" s="10" t="n">
        <v>3.451210306280522</v>
      </c>
      <c r="AB9" s="10" t="n">
        <v>3.482862639639511</v>
      </c>
      <c r="AC9" s="10" t="n">
        <v>3.512817278060558</v>
      </c>
      <c r="AD9" s="10" t="n">
        <v>3.541134907739488</v>
      </c>
      <c r="AE9" s="10" t="n">
        <v>3.567875795583035</v>
      </c>
      <c r="AF9" s="10" t="n">
        <v>3.593100177463299</v>
      </c>
      <c r="AG9" s="10" t="n">
        <v>3.616868693768477</v>
      </c>
      <c r="AH9" s="10" t="n">
        <v>3.639242324159687</v>
      </c>
      <c r="AI9" s="10" t="n">
        <v>3.660281195325808</v>
      </c>
      <c r="AJ9" s="10" t="n">
        <v>3.680043211375343</v>
      </c>
      <c r="AK9" s="10" t="n">
        <v>3.698584096540483</v>
      </c>
    </row>
    <row r="10">
      <c r="A10" s="9" t="n">
        <v>-115</v>
      </c>
      <c r="B10" s="7" t="n">
        <v>41325</v>
      </c>
      <c r="C10" s="10" t="n">
        <v>1.914563396115101</v>
      </c>
      <c r="D10" s="10" t="n">
        <v>2.032688015283359</v>
      </c>
      <c r="E10" s="10" t="n">
        <v>2.143449486006538</v>
      </c>
      <c r="F10" s="10" t="n">
        <v>2.247169741915337</v>
      </c>
      <c r="G10" s="10" t="n">
        <v>2.344279695097709</v>
      </c>
      <c r="H10" s="10" t="n">
        <v>2.435220676357455</v>
      </c>
      <c r="I10" s="10" t="n">
        <v>2.520433396797555</v>
      </c>
      <c r="J10" s="10" t="n">
        <v>2.600358082187558</v>
      </c>
      <c r="K10" s="10" t="n">
        <v>2.675434574074714</v>
      </c>
      <c r="L10" s="10" t="n">
        <v>2.746100550813864</v>
      </c>
      <c r="M10" s="10" t="n">
        <v>2.812765981755684</v>
      </c>
      <c r="N10" s="10" t="n">
        <v>2.875787625404836</v>
      </c>
      <c r="O10" s="10" t="n">
        <v>2.935475033663992</v>
      </c>
      <c r="P10" s="10" t="n">
        <v>2.992098690725049</v>
      </c>
      <c r="Q10" s="10" t="n">
        <v>3.045896513646676</v>
      </c>
      <c r="R10" s="10" t="n">
        <v>3.097077601956993</v>
      </c>
      <c r="S10" s="10" t="n">
        <v>3.145821164848833</v>
      </c>
      <c r="T10" s="10" t="n">
        <v>3.1922791909097</v>
      </c>
      <c r="U10" s="10" t="n">
        <v>3.236581859156713</v>
      </c>
      <c r="V10" s="10" t="n">
        <v>3.278841249080227</v>
      </c>
      <c r="W10" s="10" t="n">
        <v>3.31915387071792</v>
      </c>
      <c r="X10" s="10" t="n">
        <v>3.357603287445347</v>
      </c>
      <c r="Y10" s="10" t="n">
        <v>3.394263832772285</v>
      </c>
      <c r="Z10" s="10" t="n">
        <v>3.429202640789376</v>
      </c>
      <c r="AA10" s="10" t="n">
        <v>3.462480883467117</v>
      </c>
      <c r="AB10" s="10" t="n">
        <v>3.494155709482773</v>
      </c>
      <c r="AC10" s="10" t="n">
        <v>3.524281223412007</v>
      </c>
      <c r="AD10" s="10" t="n">
        <v>3.552908850828709</v>
      </c>
      <c r="AE10" s="10" t="n">
        <v>3.580087690353734</v>
      </c>
      <c r="AF10" s="10" t="n">
        <v>3.605865491542901</v>
      </c>
      <c r="AG10" s="10" t="n">
        <v>3.630289700610143</v>
      </c>
      <c r="AH10" s="10" t="n">
        <v>3.653407558326276</v>
      </c>
      <c r="AI10" s="10" t="n">
        <v>3.675265458144713</v>
      </c>
      <c r="AJ10" s="10" t="n">
        <v>3.695908207453258</v>
      </c>
      <c r="AK10" s="10" t="n">
        <v>3.715379085979261</v>
      </c>
    </row>
    <row r="11">
      <c r="A11" s="9" t="n">
        <v>-114</v>
      </c>
      <c r="B11" s="7" t="n">
        <v>41326</v>
      </c>
      <c r="C11" s="10" t="n">
        <v>1.82646831147144</v>
      </c>
      <c r="D11" s="10" t="n">
        <v>1.943926910057199</v>
      </c>
      <c r="E11" s="10" t="n">
        <v>2.054325185216943</v>
      </c>
      <c r="F11" s="10" t="n">
        <v>2.157918649267703</v>
      </c>
      <c r="G11" s="10" t="n">
        <v>2.255075670799066</v>
      </c>
      <c r="H11" s="10" t="n">
        <v>2.346185732837176</v>
      </c>
      <c r="I11" s="10" t="n">
        <v>2.43164708595375</v>
      </c>
      <c r="J11" s="10" t="n">
        <v>2.511864842037621</v>
      </c>
      <c r="K11" s="10" t="n">
        <v>2.587249544853682</v>
      </c>
      <c r="L11" s="10" t="n">
        <v>2.658214327864193</v>
      </c>
      <c r="M11" s="10" t="n">
        <v>2.725150267350715</v>
      </c>
      <c r="N11" s="10" t="n">
        <v>2.78840231159518</v>
      </c>
      <c r="O11" s="10" t="n">
        <v>2.848274351728219</v>
      </c>
      <c r="P11" s="10" t="n">
        <v>2.905036300419272</v>
      </c>
      <c r="Q11" s="10" t="n">
        <v>2.958929742667843</v>
      </c>
      <c r="R11" s="10" t="n">
        <v>3.010170847985881</v>
      </c>
      <c r="S11" s="10" t="n">
        <v>3.058948274127561</v>
      </c>
      <c r="T11" s="10" t="n">
        <v>3.105425004835247</v>
      </c>
      <c r="U11" s="10" t="n">
        <v>3.149742380422907</v>
      </c>
      <c r="V11" s="10" t="n">
        <v>3.192023312731577</v>
      </c>
      <c r="W11" s="10" t="n">
        <v>3.232374848614848</v>
      </c>
      <c r="X11" s="10" t="n">
        <v>3.270890520790706</v>
      </c>
      <c r="Y11" s="10" t="n">
        <v>3.307652918487547</v>
      </c>
      <c r="Z11" s="10" t="n">
        <v>3.342735420911521</v>
      </c>
      <c r="AA11" s="10" t="n">
        <v>3.376203631137207</v>
      </c>
      <c r="AB11" s="10" t="n">
        <v>3.408117359874315</v>
      </c>
      <c r="AC11" s="10" t="n">
        <v>3.438531737255281</v>
      </c>
      <c r="AD11" s="10" t="n">
        <v>3.467497766253796</v>
      </c>
      <c r="AE11" s="10" t="n">
        <v>3.495062841585649</v>
      </c>
      <c r="AF11" s="10" t="n">
        <v>3.521271891631184</v>
      </c>
      <c r="AG11" s="10" t="n">
        <v>3.546168561678638</v>
      </c>
      <c r="AH11" s="10" t="n">
        <v>3.569795434543986</v>
      </c>
      <c r="AI11" s="10" t="n">
        <v>3.592193757588729</v>
      </c>
      <c r="AJ11" s="10" t="n">
        <v>3.613403107334245</v>
      </c>
      <c r="AK11" s="10" t="n">
        <v>3.633461500131804</v>
      </c>
    </row>
    <row r="12">
      <c r="A12" s="9" t="n">
        <v>-113</v>
      </c>
      <c r="B12" s="7" t="n">
        <v>41327</v>
      </c>
      <c r="C12" s="10" t="n">
        <v>1.835515914238474</v>
      </c>
      <c r="D12" s="10" t="n">
        <v>1.952834830455661</v>
      </c>
      <c r="E12" s="10" t="n">
        <v>2.063156320371779</v>
      </c>
      <c r="F12" s="10" t="n">
        <v>2.166706268854953</v>
      </c>
      <c r="G12" s="10" t="n">
        <v>2.263827888612845</v>
      </c>
      <c r="H12" s="10" t="n">
        <v>2.354890707795194</v>
      </c>
      <c r="I12" s="10" t="n">
        <v>2.440277560994161</v>
      </c>
      <c r="J12" s="10" t="n">
        <v>2.520381696442042</v>
      </c>
      <c r="K12" s="10" t="n">
        <v>2.595604606502904</v>
      </c>
      <c r="L12" s="10" t="n">
        <v>2.666352531859758</v>
      </c>
      <c r="M12" s="10" t="n">
        <v>2.733011397081152</v>
      </c>
      <c r="N12" s="10" t="n">
        <v>2.795923406205429</v>
      </c>
      <c r="O12" s="10" t="n">
        <v>2.855391931802331</v>
      </c>
      <c r="P12" s="10" t="n">
        <v>2.911688209998705</v>
      </c>
      <c r="Q12" s="10" t="n">
        <v>2.965056681915408</v>
      </c>
      <c r="R12" s="10" t="n">
        <v>3.015717559026796</v>
      </c>
      <c r="S12" s="10" t="n">
        <v>3.063864423787938</v>
      </c>
      <c r="T12" s="10" t="n">
        <v>3.109665884788272</v>
      </c>
      <c r="U12" s="10" t="n">
        <v>3.15326916857572</v>
      </c>
      <c r="V12" s="10" t="n">
        <v>3.194803160520643</v>
      </c>
      <c r="W12" s="10" t="n">
        <v>3.234380952994252</v>
      </c>
      <c r="X12" s="10" t="n">
        <v>3.272102123751088</v>
      </c>
      <c r="Y12" s="10" t="n">
        <v>3.308055044966773</v>
      </c>
      <c r="Z12" s="10" t="n">
        <v>3.342318533897921</v>
      </c>
      <c r="AA12" s="10" t="n">
        <v>3.374963304877236</v>
      </c>
      <c r="AB12" s="10" t="n">
        <v>3.40605387322573</v>
      </c>
      <c r="AC12" s="10" t="n">
        <v>3.435649653050621</v>
      </c>
      <c r="AD12" s="10" t="n">
        <v>3.463805557643211</v>
      </c>
      <c r="AE12" s="10" t="n">
        <v>3.49057256011452</v>
      </c>
      <c r="AF12" s="10" t="n">
        <v>3.515998824877948</v>
      </c>
      <c r="AG12" s="10" t="n">
        <v>3.540130839491716</v>
      </c>
      <c r="AH12" s="10" t="n">
        <v>3.563013659971668</v>
      </c>
      <c r="AI12" s="10" t="n">
        <v>3.584690665793309</v>
      </c>
      <c r="AJ12" s="10" t="n">
        <v>3.605203263520881</v>
      </c>
      <c r="AK12" s="10" t="n">
        <v>3.624591030673967</v>
      </c>
    </row>
    <row r="13">
      <c r="A13" s="9" t="n">
        <v>-112</v>
      </c>
      <c r="B13" s="7" t="n">
        <v>41330</v>
      </c>
      <c r="C13" s="10" t="n">
        <v>1.804704962370168</v>
      </c>
      <c r="D13" s="10" t="n">
        <v>1.922421556197266</v>
      </c>
      <c r="E13" s="10" t="n">
        <v>2.033226481152192</v>
      </c>
      <c r="F13" s="10" t="n">
        <v>2.137330627967128</v>
      </c>
      <c r="G13" s="10" t="n">
        <v>2.235061819913905</v>
      </c>
      <c r="H13" s="10" t="n">
        <v>2.326776613799416</v>
      </c>
      <c r="I13" s="10" t="n">
        <v>2.412847136012047</v>
      </c>
      <c r="J13" s="10" t="n">
        <v>2.493657697763767</v>
      </c>
      <c r="K13" s="10" t="n">
        <v>2.569602256585231</v>
      </c>
      <c r="L13" s="10" t="n">
        <v>2.641080628048419</v>
      </c>
      <c r="M13" s="10" t="n">
        <v>2.708473453203563</v>
      </c>
      <c r="N13" s="10" t="n">
        <v>2.772119178121667</v>
      </c>
      <c r="O13" s="10" t="n">
        <v>2.832318778015617</v>
      </c>
      <c r="P13" s="10" t="n">
        <v>2.889342217693635</v>
      </c>
      <c r="Q13" s="10" t="n">
        <v>2.943433602496353</v>
      </c>
      <c r="R13" s="10" t="n">
        <v>2.994813331120855</v>
      </c>
      <c r="S13" s="10" t="n">
        <v>3.043674785655444</v>
      </c>
      <c r="T13" s="10" t="n">
        <v>3.09018581822698</v>
      </c>
      <c r="U13" s="10" t="n">
        <v>3.134492623277191</v>
      </c>
      <c r="V13" s="10" t="n">
        <v>3.176722895810499</v>
      </c>
      <c r="W13" s="10" t="n">
        <v>3.216988402966792</v>
      </c>
      <c r="X13" s="10" t="n">
        <v>3.255387262796728</v>
      </c>
      <c r="Y13" s="10" t="n">
        <v>3.292006199288402</v>
      </c>
      <c r="Z13" s="10" t="n">
        <v>3.326922186363087</v>
      </c>
      <c r="AA13" s="10" t="n">
        <v>3.360203922979662</v>
      </c>
      <c r="AB13" s="10" t="n">
        <v>3.391913744191402</v>
      </c>
      <c r="AC13" s="10" t="n">
        <v>3.422108728774398</v>
      </c>
      <c r="AD13" s="10" t="n">
        <v>3.450841317277581</v>
      </c>
      <c r="AE13" s="10" t="n">
        <v>3.478159894961432</v>
      </c>
      <c r="AF13" s="10" t="n">
        <v>3.504110017160504</v>
      </c>
      <c r="AG13" s="10" t="n">
        <v>3.528735629087944</v>
      </c>
      <c r="AH13" s="10" t="n">
        <v>3.552079323416578</v>
      </c>
      <c r="AI13" s="10" t="n">
        <v>3.574182246535271</v>
      </c>
      <c r="AJ13" s="10" t="n">
        <v>3.595083971144351</v>
      </c>
      <c r="AK13" s="10" t="n">
        <v>3.614822622671833</v>
      </c>
    </row>
    <row r="14">
      <c r="A14" s="9" t="n">
        <v>-111</v>
      </c>
      <c r="B14" s="7" t="n">
        <v>41331</v>
      </c>
      <c r="C14" s="10" t="n">
        <v>1.697466905551662</v>
      </c>
      <c r="D14" s="10" t="n">
        <v>1.811439542356741</v>
      </c>
      <c r="E14" s="10" t="n">
        <v>1.919436053681906</v>
      </c>
      <c r="F14" s="10" t="n">
        <v>2.021628410185227</v>
      </c>
      <c r="G14" s="10" t="n">
        <v>2.11828268500913</v>
      </c>
      <c r="H14" s="10" t="n">
        <v>2.209683670609806</v>
      </c>
      <c r="I14" s="10" t="n">
        <v>2.296124872362852</v>
      </c>
      <c r="J14" s="10" t="n">
        <v>2.377906614410282</v>
      </c>
      <c r="K14" s="10" t="n">
        <v>2.455334619084196</v>
      </c>
      <c r="L14" s="10" t="n">
        <v>2.528717445536557</v>
      </c>
      <c r="M14" s="10" t="n">
        <v>2.598347204073825</v>
      </c>
      <c r="N14" s="10" t="n">
        <v>2.664482020242468</v>
      </c>
      <c r="O14" s="10" t="n">
        <v>2.727349959676211</v>
      </c>
      <c r="P14" s="10" t="n">
        <v>2.787154210817995</v>
      </c>
      <c r="Q14" s="10" t="n">
        <v>2.844077223149539</v>
      </c>
      <c r="R14" s="10" t="n">
        <v>2.898283164903105</v>
      </c>
      <c r="S14" s="10" t="n">
        <v>2.949917736537214</v>
      </c>
      <c r="T14" s="10" t="n">
        <v>2.999109977458794</v>
      </c>
      <c r="U14" s="10" t="n">
        <v>3.045975204820794</v>
      </c>
      <c r="V14" s="10" t="n">
        <v>3.090617166926798</v>
      </c>
      <c r="W14" s="10" t="n">
        <v>3.133129656446516</v>
      </c>
      <c r="X14" s="10" t="n">
        <v>3.173598208462463</v>
      </c>
      <c r="Y14" s="10" t="n">
        <v>3.212102451723543</v>
      </c>
      <c r="Z14" s="10" t="n">
        <v>3.248717359059266</v>
      </c>
      <c r="AA14" s="10" t="n">
        <v>3.283513868090064</v>
      </c>
      <c r="AB14" s="10" t="n">
        <v>3.316559475349939</v>
      </c>
      <c r="AC14" s="10" t="n">
        <v>3.347918685045528</v>
      </c>
      <c r="AD14" s="10" t="n">
        <v>3.377653357747048</v>
      </c>
      <c r="AE14" s="10" t="n">
        <v>3.405823034668309</v>
      </c>
      <c r="AF14" s="10" t="n">
        <v>3.432485520819848</v>
      </c>
      <c r="AG14" s="10" t="n">
        <v>3.45769745234906</v>
      </c>
      <c r="AH14" s="10" t="n">
        <v>3.481514415015496</v>
      </c>
      <c r="AI14" s="10" t="n">
        <v>3.503990402141428</v>
      </c>
      <c r="AJ14" s="10" t="n">
        <v>3.525177222685117</v>
      </c>
      <c r="AK14" s="10" t="n">
        <v>3.545124636046721</v>
      </c>
    </row>
    <row r="15">
      <c r="A15" s="9" t="n">
        <v>-110</v>
      </c>
      <c r="B15" s="7" t="n">
        <v>41332</v>
      </c>
      <c r="C15" s="10" t="n">
        <v>1.686386762507865</v>
      </c>
      <c r="D15" s="10" t="n">
        <v>1.798527364704654</v>
      </c>
      <c r="E15" s="10" t="n">
        <v>1.904973007764009</v>
      </c>
      <c r="F15" s="10" t="n">
        <v>2.005867076552862</v>
      </c>
      <c r="G15" s="10" t="n">
        <v>2.10144863421245</v>
      </c>
      <c r="H15" s="10" t="n">
        <v>2.191978109165228</v>
      </c>
      <c r="I15" s="10" t="n">
        <v>2.277726911960025</v>
      </c>
      <c r="J15" s="10" t="n">
        <v>2.358975047827469</v>
      </c>
      <c r="K15" s="10" t="n">
        <v>2.43600932612128</v>
      </c>
      <c r="L15" s="10" t="n">
        <v>2.509120551148412</v>
      </c>
      <c r="M15" s="10" t="n">
        <v>2.578584736915075</v>
      </c>
      <c r="N15" s="10" t="n">
        <v>2.644646293367305</v>
      </c>
      <c r="O15" s="10" t="n">
        <v>2.707521664555652</v>
      </c>
      <c r="P15" s="10" t="n">
        <v>2.767404150327192</v>
      </c>
      <c r="Q15" s="10" t="n">
        <v>2.824467756987411</v>
      </c>
      <c r="R15" s="10" t="n">
        <v>2.878869589396701</v>
      </c>
      <c r="S15" s="10" t="n">
        <v>2.930750053709769</v>
      </c>
      <c r="T15" s="10" t="n">
        <v>2.980234435612234</v>
      </c>
      <c r="U15" s="10" t="n">
        <v>3.027434928719834</v>
      </c>
      <c r="V15" s="10" t="n">
        <v>3.072452437763422</v>
      </c>
      <c r="W15" s="10" t="n">
        <v>3.11537814703099</v>
      </c>
      <c r="X15" s="10" t="n">
        <v>3.156295046932387</v>
      </c>
      <c r="Y15" s="10" t="n">
        <v>3.195279766005374</v>
      </c>
      <c r="Z15" s="10" t="n">
        <v>3.232403677166185</v>
      </c>
      <c r="AA15" s="10" t="n">
        <v>3.267733607776743</v>
      </c>
      <c r="AB15" s="10" t="n">
        <v>3.301332559228617</v>
      </c>
      <c r="AC15" s="10" t="n">
        <v>3.333260224973414</v>
      </c>
      <c r="AD15" s="10" t="n">
        <v>3.363573376328794</v>
      </c>
      <c r="AE15" s="10" t="n">
        <v>3.392326232376105</v>
      </c>
      <c r="AF15" s="10" t="n">
        <v>3.419571250887979</v>
      </c>
      <c r="AG15" s="10" t="n">
        <v>3.445359903005233</v>
      </c>
      <c r="AH15" s="10" t="n">
        <v>3.469742808899464</v>
      </c>
      <c r="AI15" s="10" t="n">
        <v>3.492769382004594</v>
      </c>
      <c r="AJ15" s="10" t="n">
        <v>3.514487443622118</v>
      </c>
      <c r="AK15" s="10" t="n">
        <v>3.534943326618984</v>
      </c>
    </row>
    <row r="16">
      <c r="A16" s="9" t="n">
        <v>-109</v>
      </c>
      <c r="B16" s="7" t="n">
        <v>41333</v>
      </c>
      <c r="C16" s="10" t="n">
        <v>1.698825463816318</v>
      </c>
      <c r="D16" s="10" t="n">
        <v>1.810736499632511</v>
      </c>
      <c r="E16" s="10" t="n">
        <v>1.916751864464455</v>
      </c>
      <c r="F16" s="10" t="n">
        <v>2.017004185292013</v>
      </c>
      <c r="G16" s="10" t="n">
        <v>2.111733325669642</v>
      </c>
      <c r="H16" s="10" t="n">
        <v>2.201210591423383</v>
      </c>
      <c r="I16" s="10" t="n">
        <v>2.285726271027231</v>
      </c>
      <c r="J16" s="10" t="n">
        <v>2.365585508924741</v>
      </c>
      <c r="K16" s="10" t="n">
        <v>2.441105210535361</v>
      </c>
      <c r="L16" s="10" t="n">
        <v>2.512610043133096</v>
      </c>
      <c r="M16" s="10" t="n">
        <v>2.580410791067278</v>
      </c>
      <c r="N16" s="10" t="n">
        <v>2.644785316693196</v>
      </c>
      <c r="O16" s="10" t="n">
        <v>2.705982256958136</v>
      </c>
      <c r="P16" s="10" t="n">
        <v>2.764226062254534</v>
      </c>
      <c r="Q16" s="10" t="n">
        <v>2.81972101017775</v>
      </c>
      <c r="R16" s="10" t="n">
        <v>2.872652664374614</v>
      </c>
      <c r="S16" s="10" t="n">
        <v>2.923184797077594</v>
      </c>
      <c r="T16" s="10" t="n">
        <v>2.971460378815868</v>
      </c>
      <c r="U16" s="10" t="n">
        <v>3.017604176460713</v>
      </c>
      <c r="V16" s="10" t="n">
        <v>3.061725197224984</v>
      </c>
      <c r="W16" s="10" t="n">
        <v>3.10391887499147</v>
      </c>
      <c r="X16" s="10" t="n">
        <v>3.144268935375031</v>
      </c>
      <c r="Y16" s="10" t="n">
        <v>3.182849043985537</v>
      </c>
      <c r="Z16" s="10" t="n">
        <v>3.219724139669336</v>
      </c>
      <c r="AA16" s="10" t="n">
        <v>3.254951806720129</v>
      </c>
      <c r="AB16" s="10" t="n">
        <v>3.288584135033039</v>
      </c>
      <c r="AC16" s="10" t="n">
        <v>3.320668734350132</v>
      </c>
      <c r="AD16" s="10" t="n">
        <v>3.351249261719136</v>
      </c>
      <c r="AE16" s="10" t="n">
        <v>3.380365938742716</v>
      </c>
      <c r="AF16" s="10" t="n">
        <v>3.40805683100547</v>
      </c>
      <c r="AG16" s="10" t="n">
        <v>3.434359102146828</v>
      </c>
      <c r="AH16" s="10" t="n">
        <v>3.459309222005236</v>
      </c>
      <c r="AI16" s="10" t="n">
        <v>3.4829430633371</v>
      </c>
      <c r="AJ16" s="10" t="n">
        <v>3.505295990384427</v>
      </c>
      <c r="AK16" s="10" t="n">
        <v>3.526402912697741</v>
      </c>
    </row>
    <row r="17">
      <c r="A17" s="9" t="n">
        <v>-108</v>
      </c>
      <c r="B17" s="7" t="n">
        <v>41334</v>
      </c>
      <c r="C17" s="10" t="n">
        <v>1.600388144624619</v>
      </c>
      <c r="D17" s="10" t="n">
        <v>1.709738398881207</v>
      </c>
      <c r="E17" s="10" t="n">
        <v>1.813724974471589</v>
      </c>
      <c r="F17" s="10" t="n">
        <v>1.912418919472876</v>
      </c>
      <c r="G17" s="10" t="n">
        <v>2.005984618041301</v>
      </c>
      <c r="H17" s="10" t="n">
        <v>2.094624476332244</v>
      </c>
      <c r="I17" s="10" t="n">
        <v>2.178566921464566</v>
      </c>
      <c r="J17" s="10" t="n">
        <v>2.258060744787785</v>
      </c>
      <c r="K17" s="10" t="n">
        <v>2.333370859334034</v>
      </c>
      <c r="L17" s="10" t="n">
        <v>2.404773732309752</v>
      </c>
      <c r="M17" s="10" t="n">
        <v>2.47253951535701</v>
      </c>
      <c r="N17" s="10" t="n">
        <v>2.536917025355072</v>
      </c>
      <c r="O17" s="10" t="n">
        <v>2.598135994008039</v>
      </c>
      <c r="P17" s="10" t="n">
        <v>2.656410358390751</v>
      </c>
      <c r="Q17" s="10" t="n">
        <v>2.711940866731796</v>
      </c>
      <c r="R17" s="10" t="n">
        <v>2.764914721179633</v>
      </c>
      <c r="S17" s="10" t="n">
        <v>2.815499699923177</v>
      </c>
      <c r="T17" s="10" t="n">
        <v>2.863843923261911</v>
      </c>
      <c r="U17" s="10" t="n">
        <v>2.910077487518016</v>
      </c>
      <c r="V17" s="10" t="n">
        <v>2.954314608052902</v>
      </c>
      <c r="W17" s="10" t="n">
        <v>2.996655814830858</v>
      </c>
      <c r="X17" s="10" t="n">
        <v>3.037189482033396</v>
      </c>
      <c r="Y17" s="10" t="n">
        <v>3.07599235304519</v>
      </c>
      <c r="Z17" s="10" t="n">
        <v>3.113130641331123</v>
      </c>
      <c r="AA17" s="10" t="n">
        <v>3.148661665898029</v>
      </c>
      <c r="AB17" s="10" t="n">
        <v>3.18263601262541</v>
      </c>
      <c r="AC17" s="10" t="n">
        <v>3.215098723581006</v>
      </c>
      <c r="AD17" s="10" t="n">
        <v>3.24608994810319</v>
      </c>
      <c r="AE17" s="10" t="n">
        <v>3.275645583876587</v>
      </c>
      <c r="AF17" s="10" t="n">
        <v>3.303798816780564</v>
      </c>
      <c r="AG17" s="10" t="n">
        <v>3.330581585469841</v>
      </c>
      <c r="AH17" s="10" t="n">
        <v>3.356024854843271</v>
      </c>
      <c r="AI17" s="10" t="n">
        <v>3.380158966014174</v>
      </c>
      <c r="AJ17" s="10" t="n">
        <v>3.403013971080891</v>
      </c>
      <c r="AK17" s="10" t="n">
        <v>3.424619689854142</v>
      </c>
    </row>
    <row r="18">
      <c r="A18" s="9" t="n">
        <v>-107</v>
      </c>
      <c r="B18" s="7" t="n">
        <v>41337</v>
      </c>
      <c r="C18" s="10" t="n">
        <v>1.635284575218764</v>
      </c>
      <c r="D18" s="10" t="n">
        <v>1.745356387076351</v>
      </c>
      <c r="E18" s="10" t="n">
        <v>1.84993641939866</v>
      </c>
      <c r="F18" s="10" t="n">
        <v>1.949107598540156</v>
      </c>
      <c r="G18" s="10" t="n">
        <v>2.043049459929211</v>
      </c>
      <c r="H18" s="10" t="n">
        <v>2.131979584645301</v>
      </c>
      <c r="I18" s="10" t="n">
        <v>2.216141390310848</v>
      </c>
      <c r="J18" s="10" t="n">
        <v>2.295798514450729</v>
      </c>
      <c r="K18" s="10" t="n">
        <v>2.371230602012595</v>
      </c>
      <c r="L18" s="10" t="n">
        <v>2.442728615933679</v>
      </c>
      <c r="M18" s="10" t="n">
        <v>2.510575605519954</v>
      </c>
      <c r="N18" s="10" t="n">
        <v>2.57503073689691</v>
      </c>
      <c r="O18" s="10" t="n">
        <v>2.636331903691921</v>
      </c>
      <c r="P18" s="10" t="n">
        <v>2.694699394705526</v>
      </c>
      <c r="Q18" s="10" t="n">
        <v>2.750338797698001</v>
      </c>
      <c r="R18" s="10" t="n">
        <v>2.803440636305181</v>
      </c>
      <c r="S18" s="10" t="n">
        <v>2.854174039905085</v>
      </c>
      <c r="T18" s="10" t="n">
        <v>2.902686759910012</v>
      </c>
      <c r="U18" s="10" t="n">
        <v>2.94910757388075</v>
      </c>
      <c r="V18" s="10" t="n">
        <v>2.993548752210681</v>
      </c>
      <c r="W18" s="10" t="n">
        <v>3.03610834472793</v>
      </c>
      <c r="X18" s="10" t="n">
        <v>3.076871882569995</v>
      </c>
      <c r="Y18" s="10" t="n">
        <v>3.115913296222988</v>
      </c>
      <c r="Z18" s="10" t="n">
        <v>3.153296142857076</v>
      </c>
      <c r="AA18" s="10" t="n">
        <v>3.189075264415293</v>
      </c>
      <c r="AB18" s="10" t="n">
        <v>3.223299043141733</v>
      </c>
      <c r="AC18" s="10" t="n">
        <v>3.256010594800578</v>
      </c>
      <c r="AD18" s="10" t="n">
        <v>3.287248387920961</v>
      </c>
      <c r="AE18" s="10" t="n">
        <v>3.317046859103387</v>
      </c>
      <c r="AF18" s="10" t="n">
        <v>3.345437937285299</v>
      </c>
      <c r="AG18" s="10" t="n">
        <v>3.372452481796494</v>
      </c>
      <c r="AH18" s="10" t="n">
        <v>3.398120533127689</v>
      </c>
      <c r="AI18" s="10" t="n">
        <v>3.422471624288329</v>
      </c>
      <c r="AJ18" s="10" t="n">
        <v>3.445535076262186</v>
      </c>
      <c r="AK18" s="10" t="n">
        <v>3.46734004383317</v>
      </c>
    </row>
    <row r="19">
      <c r="A19" s="9" t="n">
        <v>-106</v>
      </c>
      <c r="B19" s="7" t="n">
        <v>41338</v>
      </c>
      <c r="C19" s="10" t="n">
        <v>1.68888156418872</v>
      </c>
      <c r="D19" s="10" t="n">
        <v>1.800978559997101</v>
      </c>
      <c r="E19" s="10" t="n">
        <v>1.907171174363711</v>
      </c>
      <c r="F19" s="10" t="n">
        <v>2.007587612212589</v>
      </c>
      <c r="G19" s="10" t="n">
        <v>2.102460016874601</v>
      </c>
      <c r="H19" s="10" t="n">
        <v>2.192054778505787</v>
      </c>
      <c r="I19" s="10" t="n">
        <v>2.276660315838451</v>
      </c>
      <c r="J19" s="10" t="n">
        <v>2.356582287359945</v>
      </c>
      <c r="K19" s="10" t="n">
        <v>2.432139999697031</v>
      </c>
      <c r="L19" s="10" t="n">
        <v>2.503661870757896</v>
      </c>
      <c r="M19" s="10" t="n">
        <v>2.571463295432134</v>
      </c>
      <c r="N19" s="10" t="n">
        <v>2.635828468655581</v>
      </c>
      <c r="O19" s="10" t="n">
        <v>2.697014033927376</v>
      </c>
      <c r="P19" s="10" t="n">
        <v>2.755253833557281</v>
      </c>
      <c r="Q19" s="10" t="n">
        <v>2.810762677838152</v>
      </c>
      <c r="R19" s="10" t="n">
        <v>2.863736712090508</v>
      </c>
      <c r="S19" s="10" t="n">
        <v>2.914347861627519</v>
      </c>
      <c r="T19" s="10" t="n">
        <v>2.962744648276054</v>
      </c>
      <c r="U19" s="10" t="n">
        <v>3.009055739937941</v>
      </c>
      <c r="V19" s="10" t="n">
        <v>3.053392839407528</v>
      </c>
      <c r="W19" s="10" t="n">
        <v>3.095853041539921</v>
      </c>
      <c r="X19" s="10" t="n">
        <v>3.13652081628625</v>
      </c>
      <c r="Y19" s="10" t="n">
        <v>3.175469699301074</v>
      </c>
      <c r="Z19" s="10" t="n">
        <v>3.212763707299461</v>
      </c>
      <c r="AA19" s="10" t="n">
        <v>3.248458805846556</v>
      </c>
      <c r="AB19" s="10" t="n">
        <v>3.282604785073416</v>
      </c>
      <c r="AC19" s="10" t="n">
        <v>3.315246308810232</v>
      </c>
      <c r="AD19" s="10" t="n">
        <v>3.346423515604713</v>
      </c>
      <c r="AE19" s="10" t="n">
        <v>3.376172610064684</v>
      </c>
      <c r="AF19" s="10" t="n">
        <v>3.404527236046316</v>
      </c>
      <c r="AG19" s="10" t="n">
        <v>3.431519756626304</v>
      </c>
      <c r="AH19" s="10" t="n">
        <v>3.457181505713168</v>
      </c>
      <c r="AI19" s="10" t="n">
        <v>3.481543076834896</v>
      </c>
      <c r="AJ19" s="10" t="n">
        <v>3.504634592089992</v>
      </c>
      <c r="AK19" s="10" t="n">
        <v>3.526485768531673</v>
      </c>
    </row>
    <row r="20">
      <c r="A20" s="9" t="n">
        <v>-105</v>
      </c>
      <c r="B20" s="7" t="n">
        <v>41339</v>
      </c>
      <c r="C20" s="10" t="n">
        <v>1.677831775846693</v>
      </c>
      <c r="D20" s="10" t="n">
        <v>1.791199674099815</v>
      </c>
      <c r="E20" s="10" t="n">
        <v>1.898512207765846</v>
      </c>
      <c r="F20" s="10" t="n">
        <v>1.999893636537949</v>
      </c>
      <c r="G20" s="10" t="n">
        <v>2.095579259472689</v>
      </c>
      <c r="H20" s="10" t="n">
        <v>2.185842110756571</v>
      </c>
      <c r="I20" s="10" t="n">
        <v>2.270979824388208</v>
      </c>
      <c r="J20" s="10" t="n">
        <v>2.351309286393015</v>
      </c>
      <c r="K20" s="10" t="n">
        <v>2.427162623984292</v>
      </c>
      <c r="L20" s="10" t="n">
        <v>2.498882214250501</v>
      </c>
      <c r="M20" s="10" t="n">
        <v>2.566797149449529</v>
      </c>
      <c r="N20" s="10" t="n">
        <v>2.631204173987328</v>
      </c>
      <c r="O20" s="10" t="n">
        <v>2.692371482077589</v>
      </c>
      <c r="P20" s="10" t="n">
        <v>2.750543640188548</v>
      </c>
      <c r="Q20" s="10" t="n">
        <v>2.805945491200372</v>
      </c>
      <c r="R20" s="10" t="n">
        <v>2.858782487303581</v>
      </c>
      <c r="S20" s="10" t="n">
        <v>2.909234904972186</v>
      </c>
      <c r="T20" s="10" t="n">
        <v>2.957458703001656</v>
      </c>
      <c r="U20" s="10" t="n">
        <v>3.003589130711164</v>
      </c>
      <c r="V20" s="10" t="n">
        <v>3.047743712293718</v>
      </c>
      <c r="W20" s="10" t="n">
        <v>3.090024708742936</v>
      </c>
      <c r="X20" s="10" t="n">
        <v>3.130521153856193</v>
      </c>
      <c r="Y20" s="10" t="n">
        <v>3.169310508695661</v>
      </c>
      <c r="Z20" s="10" t="n">
        <v>3.206460117773835</v>
      </c>
      <c r="AA20" s="10" t="n">
        <v>3.242028725421922</v>
      </c>
      <c r="AB20" s="10" t="n">
        <v>3.276068326144479</v>
      </c>
      <c r="AC20" s="10" t="n">
        <v>3.308625246194708</v>
      </c>
      <c r="AD20" s="10" t="n">
        <v>3.33974080692086</v>
      </c>
      <c r="AE20" s="10" t="n">
        <v>3.369451966817192</v>
      </c>
      <c r="AF20" s="10" t="n">
        <v>3.397792681885548</v>
      </c>
      <c r="AG20" s="10" t="n">
        <v>3.424795157771519</v>
      </c>
      <c r="AH20" s="10" t="n">
        <v>3.450490148220412</v>
      </c>
      <c r="AI20" s="10" t="n">
        <v>3.474907355202042</v>
      </c>
      <c r="AJ20" s="10" t="n">
        <v>3.498075798170565</v>
      </c>
      <c r="AK20" s="10" t="n">
        <v>3.520023907971504</v>
      </c>
    </row>
    <row r="21">
      <c r="A21" s="9" t="n">
        <v>-104</v>
      </c>
      <c r="B21" s="7" t="n">
        <v>41340</v>
      </c>
      <c r="C21" s="10" t="n">
        <v>1.734021196845974</v>
      </c>
      <c r="D21" s="10" t="n">
        <v>1.848890038205077</v>
      </c>
      <c r="E21" s="10" t="n">
        <v>1.957556294757442</v>
      </c>
      <c r="F21" s="10" t="n">
        <v>2.060136798805035</v>
      </c>
      <c r="G21" s="10" t="n">
        <v>2.156863749660356</v>
      </c>
      <c r="H21" s="10" t="n">
        <v>2.248010261919959</v>
      </c>
      <c r="I21" s="10" t="n">
        <v>2.333876576264876</v>
      </c>
      <c r="J21" s="10" t="n">
        <v>2.414784162485723</v>
      </c>
      <c r="K21" s="10" t="n">
        <v>2.491071296751534</v>
      </c>
      <c r="L21" s="10" t="n">
        <v>2.563087689623336</v>
      </c>
      <c r="M21" s="10" t="n">
        <v>2.631170328763559</v>
      </c>
      <c r="N21" s="10" t="n">
        <v>2.695624178256372</v>
      </c>
      <c r="O21" s="10" t="n">
        <v>2.756725937319823</v>
      </c>
      <c r="P21" s="10" t="n">
        <v>2.81472891355859</v>
      </c>
      <c r="Q21" s="10" t="n">
        <v>2.869866886781038</v>
      </c>
      <c r="R21" s="10" t="n">
        <v>2.922354421629786</v>
      </c>
      <c r="S21" s="10" t="n">
        <v>2.972381201008404</v>
      </c>
      <c r="T21" s="10" t="n">
        <v>3.020112875140153</v>
      </c>
      <c r="U21" s="10" t="n">
        <v>3.065694472241434</v>
      </c>
      <c r="V21" s="10" t="n">
        <v>3.109253316501732</v>
      </c>
      <c r="W21" s="10" t="n">
        <v>3.150901485584725</v>
      </c>
      <c r="X21" s="10" t="n">
        <v>3.190737781869506</v>
      </c>
      <c r="Y21" s="10" t="n">
        <v>3.228849194850063</v>
      </c>
      <c r="Z21" s="10" t="n">
        <v>3.265312318250956</v>
      </c>
      <c r="AA21" s="10" t="n">
        <v>3.300194795293485</v>
      </c>
      <c r="AB21" s="10" t="n">
        <v>3.333556872350933</v>
      </c>
      <c r="AC21" s="10" t="n">
        <v>3.365452437815981</v>
      </c>
      <c r="AD21" s="10" t="n">
        <v>3.39592976374938</v>
      </c>
      <c r="AE21" s="10" t="n">
        <v>3.425032195730379</v>
      </c>
      <c r="AF21" s="10" t="n">
        <v>3.452799306942721</v>
      </c>
      <c r="AG21" s="10" t="n">
        <v>3.479267942062873</v>
      </c>
      <c r="AH21" s="10" t="n">
        <v>3.504472583972106</v>
      </c>
      <c r="AI21" s="10" t="n">
        <v>3.528445774014838</v>
      </c>
      <c r="AJ21" s="10" t="n">
        <v>3.551218491310139</v>
      </c>
      <c r="AK21" s="10" t="n">
        <v>3.572820326445566</v>
      </c>
    </row>
    <row r="22">
      <c r="A22" s="9" t="n">
        <v>-103</v>
      </c>
      <c r="B22" s="7" t="n">
        <v>41341</v>
      </c>
      <c r="C22" s="10" t="n">
        <v>1.775640322621277</v>
      </c>
      <c r="D22" s="10" t="n">
        <v>1.892227325358439</v>
      </c>
      <c r="E22" s="10" t="n">
        <v>2.00249565913206</v>
      </c>
      <c r="F22" s="10" t="n">
        <v>2.106517007827727</v>
      </c>
      <c r="G22" s="10" t="n">
        <v>2.204485292131236</v>
      </c>
      <c r="H22" s="10" t="n">
        <v>2.296648757904502</v>
      </c>
      <c r="I22" s="10" t="n">
        <v>2.383294151461862</v>
      </c>
      <c r="J22" s="10" t="n">
        <v>2.46473834990651</v>
      </c>
      <c r="K22" s="10" t="n">
        <v>2.54132208388281</v>
      </c>
      <c r="L22" s="10" t="n">
        <v>2.61340302587509</v>
      </c>
      <c r="M22" s="10" t="n">
        <v>2.681330244579827</v>
      </c>
      <c r="N22" s="10" t="n">
        <v>2.745424591139146</v>
      </c>
      <c r="O22" s="10" t="n">
        <v>2.805981908375855</v>
      </c>
      <c r="P22" s="10" t="n">
        <v>2.863277342572632</v>
      </c>
      <c r="Q22" s="10" t="n">
        <v>2.917568741584579</v>
      </c>
      <c r="R22" s="10" t="n">
        <v>2.969095641534365</v>
      </c>
      <c r="S22" s="10" t="n">
        <v>3.018070941815715</v>
      </c>
      <c r="T22" s="10" t="n">
        <v>3.064681326075082</v>
      </c>
      <c r="U22" s="10" t="n">
        <v>3.109091013655035</v>
      </c>
      <c r="V22" s="10" t="n">
        <v>3.151444950016858</v>
      </c>
      <c r="W22" s="10" t="n">
        <v>3.19187147965307</v>
      </c>
      <c r="X22" s="10" t="n">
        <v>3.230484280657299</v>
      </c>
      <c r="Y22" s="10" t="n">
        <v>3.267383346141976</v>
      </c>
      <c r="Z22" s="10" t="n">
        <v>3.302656422054931</v>
      </c>
      <c r="AA22" s="10" t="n">
        <v>3.336380650224787</v>
      </c>
      <c r="AB22" s="10" t="n">
        <v>3.368624213722968</v>
      </c>
      <c r="AC22" s="10" t="n">
        <v>3.399447519530006</v>
      </c>
      <c r="AD22" s="10" t="n">
        <v>3.428904104307548</v>
      </c>
      <c r="AE22" s="10" t="n">
        <v>3.457041462770047</v>
      </c>
      <c r="AF22" s="10" t="n">
        <v>3.483902252478935</v>
      </c>
      <c r="AG22" s="10" t="n">
        <v>3.509525357322599</v>
      </c>
      <c r="AH22" s="10" t="n">
        <v>3.533946359633882</v>
      </c>
      <c r="AI22" s="10" t="n">
        <v>3.557198116348479</v>
      </c>
      <c r="AJ22" s="10" t="n">
        <v>3.579311270118613</v>
      </c>
      <c r="AK22" s="10" t="n">
        <v>3.600314492170912</v>
      </c>
    </row>
    <row r="23">
      <c r="A23" s="9" t="n">
        <v>-102</v>
      </c>
      <c r="B23" s="7" t="n">
        <v>41344</v>
      </c>
      <c r="C23" s="10" t="n">
        <v>1.731375449129009</v>
      </c>
      <c r="D23" s="10" t="n">
        <v>1.847995471527698</v>
      </c>
      <c r="E23" s="10" t="n">
        <v>1.95844454956507</v>
      </c>
      <c r="F23" s="10" t="n">
        <v>2.062781408704883</v>
      </c>
      <c r="G23" s="10" t="n">
        <v>2.161180542915834</v>
      </c>
      <c r="H23" s="10" t="n">
        <v>2.253870147402679</v>
      </c>
      <c r="I23" s="10" t="n">
        <v>2.341116887434472</v>
      </c>
      <c r="J23" s="10" t="n">
        <v>2.423217535287099</v>
      </c>
      <c r="K23" s="10" t="n">
        <v>2.50049269795017</v>
      </c>
      <c r="L23" s="10" t="n">
        <v>2.573280033551121</v>
      </c>
      <c r="M23" s="10" t="n">
        <v>2.641910309697531</v>
      </c>
      <c r="N23" s="10" t="n">
        <v>2.706689252293625</v>
      </c>
      <c r="O23" s="10" t="n">
        <v>2.767900367849226</v>
      </c>
      <c r="P23" s="10" t="n">
        <v>2.825808774409835</v>
      </c>
      <c r="Q23" s="10" t="n">
        <v>2.880664215534678</v>
      </c>
      <c r="R23" s="10" t="n">
        <v>2.932699892101318</v>
      </c>
      <c r="S23" s="10" t="n">
        <v>2.982124452445806</v>
      </c>
      <c r="T23" s="10" t="n">
        <v>3.029122273722456</v>
      </c>
      <c r="U23" s="10" t="n">
        <v>3.073856763926149</v>
      </c>
      <c r="V23" s="10" t="n">
        <v>3.116473284928449</v>
      </c>
      <c r="W23" s="10" t="n">
        <v>3.157101653611959</v>
      </c>
      <c r="X23" s="10" t="n">
        <v>3.195857898270741</v>
      </c>
      <c r="Y23" s="10" t="n">
        <v>3.23284502899369</v>
      </c>
      <c r="Z23" s="10" t="n">
        <v>3.268154361816075</v>
      </c>
      <c r="AA23" s="10" t="n">
        <v>3.301867048798039</v>
      </c>
      <c r="AB23" s="10" t="n">
        <v>3.334055535354197</v>
      </c>
      <c r="AC23" s="10" t="n">
        <v>3.364784667692227</v>
      </c>
      <c r="AD23" s="10" t="n">
        <v>3.394112577374652</v>
      </c>
      <c r="AE23" s="10" t="n">
        <v>3.422091486467892</v>
      </c>
      <c r="AF23" s="10" t="n">
        <v>3.448768828179874</v>
      </c>
      <c r="AG23" s="10" t="n">
        <v>3.474188229541292</v>
      </c>
      <c r="AH23" s="10" t="n">
        <v>3.498389965011522</v>
      </c>
      <c r="AI23" s="10" t="n">
        <v>3.521411377726281</v>
      </c>
      <c r="AJ23" s="10" t="n">
        <v>3.543287250012449</v>
      </c>
      <c r="AK23" s="10" t="n">
        <v>3.564050065932109</v>
      </c>
    </row>
    <row r="24">
      <c r="A24" s="9" t="n">
        <v>-101</v>
      </c>
      <c r="B24" s="7" t="n">
        <v>41345</v>
      </c>
      <c r="C24" s="10" t="n">
        <v>1.681894068556175</v>
      </c>
      <c r="D24" s="10" t="n">
        <v>1.798543267485851</v>
      </c>
      <c r="E24" s="10" t="n">
        <v>1.909310930317619</v>
      </c>
      <c r="F24" s="10" t="n">
        <v>2.014222097438343</v>
      </c>
      <c r="G24" s="10" t="n">
        <v>2.113417677431237</v>
      </c>
      <c r="H24" s="10" t="n">
        <v>2.207094859796151</v>
      </c>
      <c r="I24" s="10" t="n">
        <v>2.295491578914006</v>
      </c>
      <c r="J24" s="10" t="n">
        <v>2.378877656463953</v>
      </c>
      <c r="K24" s="10" t="n">
        <v>2.457548158236101</v>
      </c>
      <c r="L24" s="10" t="n">
        <v>2.531816354062709</v>
      </c>
      <c r="M24" s="10" t="n">
        <v>2.601990134691757</v>
      </c>
      <c r="N24" s="10" t="n">
        <v>2.668354350642626</v>
      </c>
      <c r="O24" s="10" t="n">
        <v>2.731173367736449</v>
      </c>
      <c r="P24" s="10" t="n">
        <v>2.790694598940643</v>
      </c>
      <c r="Q24" s="10" t="n">
        <v>2.847151277813025</v>
      </c>
      <c r="R24" s="10" t="n">
        <v>2.900761119512069</v>
      </c>
      <c r="S24" s="10" t="n">
        <v>2.951718351674436</v>
      </c>
      <c r="T24" s="10" t="n">
        <v>3.000194266726923</v>
      </c>
      <c r="U24" s="10" t="n">
        <v>3.046341288118767</v>
      </c>
      <c r="V24" s="10" t="n">
        <v>3.090295898880411</v>
      </c>
      <c r="W24" s="10" t="n">
        <v>3.132180856625431</v>
      </c>
      <c r="X24" s="10" t="n">
        <v>3.172106905561596</v>
      </c>
      <c r="Y24" s="10" t="n">
        <v>3.210173929756573</v>
      </c>
      <c r="Z24" s="10" t="n">
        <v>3.246472205058378</v>
      </c>
      <c r="AA24" s="10" t="n">
        <v>3.281083555166692</v>
      </c>
      <c r="AB24" s="10" t="n">
        <v>3.314082255556965</v>
      </c>
      <c r="AC24" s="10" t="n">
        <v>3.345535891298314</v>
      </c>
      <c r="AD24" s="10" t="n">
        <v>3.375506134487718</v>
      </c>
      <c r="AE24" s="10" t="n">
        <v>3.404049441473449</v>
      </c>
      <c r="AF24" s="10" t="n">
        <v>3.431217906620878</v>
      </c>
      <c r="AG24" s="10" t="n">
        <v>3.457060006325963</v>
      </c>
      <c r="AH24" s="10" t="n">
        <v>3.481620999740016</v>
      </c>
      <c r="AI24" s="10" t="n">
        <v>3.504943173741387</v>
      </c>
      <c r="AJ24" s="10" t="n">
        <v>3.527066057910605</v>
      </c>
      <c r="AK24" s="10" t="n">
        <v>3.548026692391833</v>
      </c>
    </row>
    <row r="25">
      <c r="A25" s="9" t="n">
        <v>-100</v>
      </c>
      <c r="B25" s="7" t="n">
        <v>41346</v>
      </c>
      <c r="C25" s="10" t="n">
        <v>1.680701862097695</v>
      </c>
      <c r="D25" s="10" t="n">
        <v>1.797184347969205</v>
      </c>
      <c r="E25" s="10" t="n">
        <v>1.907997257210744</v>
      </c>
      <c r="F25" s="10" t="n">
        <v>2.013130973013658</v>
      </c>
      <c r="G25" s="10" t="n">
        <v>2.112691385089324</v>
      </c>
      <c r="H25" s="10" t="n">
        <v>2.206844315669539</v>
      </c>
      <c r="I25" s="10" t="n">
        <v>2.295799547995483</v>
      </c>
      <c r="J25" s="10" t="n">
        <v>2.379801269576546</v>
      </c>
      <c r="K25" s="10" t="n">
        <v>2.459120904634042</v>
      </c>
      <c r="L25" s="10" t="n">
        <v>2.534049831001618</v>
      </c>
      <c r="M25" s="10" t="n">
        <v>2.604877318328757</v>
      </c>
      <c r="N25" s="10" t="n">
        <v>2.671874188369338</v>
      </c>
      <c r="O25" s="10" t="n">
        <v>2.735294733829083</v>
      </c>
      <c r="P25" s="10" t="n">
        <v>2.795379568201439</v>
      </c>
      <c r="Q25" s="10" t="n">
        <v>2.852357857633818</v>
      </c>
      <c r="R25" s="10" t="n">
        <v>2.906445921842066</v>
      </c>
      <c r="S25" s="10" t="n">
        <v>2.957840048482286</v>
      </c>
      <c r="T25" s="10" t="n">
        <v>3.006716431200115</v>
      </c>
      <c r="U25" s="10" t="n">
        <v>3.053233361928137</v>
      </c>
      <c r="V25" s="10" t="n">
        <v>3.097533559282507</v>
      </c>
      <c r="W25" s="10" t="n">
        <v>3.139746321873639</v>
      </c>
      <c r="X25" s="10" t="n">
        <v>3.179988829261858</v>
      </c>
      <c r="Y25" s="10" t="n">
        <v>3.218366221425116</v>
      </c>
      <c r="Z25" s="10" t="n">
        <v>3.254972652068679</v>
      </c>
      <c r="AA25" s="10" t="n">
        <v>3.289892594420698</v>
      </c>
      <c r="AB25" s="10" t="n">
        <v>3.323201844037411</v>
      </c>
      <c r="AC25" s="10" t="n">
        <v>3.354968495429193</v>
      </c>
      <c r="AD25" s="10" t="n">
        <v>3.385253836833671</v>
      </c>
      <c r="AE25" s="10" t="n">
        <v>3.414113152777881</v>
      </c>
      <c r="AF25" s="10" t="n">
        <v>3.441596701896603</v>
      </c>
      <c r="AG25" s="10" t="n">
        <v>3.467750565397534</v>
      </c>
      <c r="AH25" s="10" t="n">
        <v>3.492617131676176</v>
      </c>
      <c r="AI25" s="10" t="n">
        <v>3.516235624471694</v>
      </c>
      <c r="AJ25" s="10" t="n">
        <v>3.53864256468023</v>
      </c>
      <c r="AK25" s="10" t="n">
        <v>3.559872052816971</v>
      </c>
    </row>
    <row r="26">
      <c r="A26" s="9" t="n">
        <v>-99</v>
      </c>
      <c r="B26" s="7" t="n">
        <v>41347</v>
      </c>
      <c r="C26" s="10" t="n">
        <v>1.673826399143164</v>
      </c>
      <c r="D26" s="10" t="n">
        <v>1.790653631472076</v>
      </c>
      <c r="E26" s="10" t="n">
        <v>1.901973151015574</v>
      </c>
      <c r="F26" s="10" t="n">
        <v>2.00774406615872</v>
      </c>
      <c r="G26" s="10" t="n">
        <v>2.108039756277043</v>
      </c>
      <c r="H26" s="10" t="n">
        <v>2.202998238048938</v>
      </c>
      <c r="I26" s="10" t="n">
        <v>2.292805649110078</v>
      </c>
      <c r="J26" s="10" t="n">
        <v>2.37768578697573</v>
      </c>
      <c r="K26" s="10" t="n">
        <v>2.457892263231606</v>
      </c>
      <c r="L26" s="10" t="n">
        <v>2.533700812634912</v>
      </c>
      <c r="M26" s="10" t="n">
        <v>2.605388150595245</v>
      </c>
      <c r="N26" s="10" t="n">
        <v>2.673216472586232</v>
      </c>
      <c r="O26" s="10" t="n">
        <v>2.737434807805293</v>
      </c>
      <c r="P26" s="10" t="n">
        <v>2.798281289221256</v>
      </c>
      <c r="Q26" s="10" t="n">
        <v>2.855984916518243</v>
      </c>
      <c r="R26" s="10" t="n">
        <v>2.91076354531545</v>
      </c>
      <c r="S26" s="10" t="n">
        <v>2.962815883133772</v>
      </c>
      <c r="T26" s="10" t="n">
        <v>3.012321106619548</v>
      </c>
      <c r="U26" s="10" t="n">
        <v>3.059440825199366</v>
      </c>
      <c r="V26" s="10" t="n">
        <v>3.104321319525409</v>
      </c>
      <c r="W26" s="10" t="n">
        <v>3.147095657758713</v>
      </c>
      <c r="X26" s="10" t="n">
        <v>3.187884792238556</v>
      </c>
      <c r="Y26" s="10" t="n">
        <v>3.226797143204224</v>
      </c>
      <c r="Z26" s="10" t="n">
        <v>3.263929562265392</v>
      </c>
      <c r="AA26" s="10" t="n">
        <v>3.299368628643689</v>
      </c>
      <c r="AB26" s="10" t="n">
        <v>3.333191494991931</v>
      </c>
      <c r="AC26" s="10" t="n">
        <v>3.365466882050356</v>
      </c>
      <c r="AD26" s="10" t="n">
        <v>3.39625605757476</v>
      </c>
      <c r="AE26" s="10" t="n">
        <v>3.425613713625348</v>
      </c>
      <c r="AF26" s="10" t="n">
        <v>3.453589016028906</v>
      </c>
      <c r="AG26" s="10" t="n">
        <v>3.48022651141126</v>
      </c>
      <c r="AH26" s="10" t="n">
        <v>3.505566677497242</v>
      </c>
      <c r="AI26" s="10" t="n">
        <v>3.529646683796237</v>
      </c>
      <c r="AJ26" s="10" t="n">
        <v>3.552501051346543</v>
      </c>
      <c r="AK26" s="10" t="n">
        <v>3.574161945361484</v>
      </c>
    </row>
    <row r="27">
      <c r="A27" s="9" t="n">
        <v>-98</v>
      </c>
      <c r="B27" s="7" t="n">
        <v>41348</v>
      </c>
      <c r="C27" s="10" t="n">
        <v>1.650414503770685</v>
      </c>
      <c r="D27" s="10" t="n">
        <v>1.766690725608726</v>
      </c>
      <c r="E27" s="10" t="n">
        <v>1.877670093608782</v>
      </c>
      <c r="F27" s="10" t="n">
        <v>1.983272606758582</v>
      </c>
      <c r="G27" s="10" t="n">
        <v>2.083527027310237</v>
      </c>
      <c r="H27" s="10" t="n">
        <v>2.178530828256808</v>
      </c>
      <c r="I27" s="10" t="n">
        <v>2.268433483770875</v>
      </c>
      <c r="J27" s="10" t="n">
        <v>2.353425164600304</v>
      </c>
      <c r="K27" s="10" t="n">
        <v>2.433728259610513</v>
      </c>
      <c r="L27" s="10" t="n">
        <v>2.509589529535288</v>
      </c>
      <c r="M27" s="10" t="n">
        <v>2.581262340478767</v>
      </c>
      <c r="N27" s="10" t="n">
        <v>2.648993994249287</v>
      </c>
      <c r="O27" s="10" t="n">
        <v>2.713025929546054</v>
      </c>
      <c r="P27" s="10" t="n">
        <v>2.773594732840019</v>
      </c>
      <c r="Q27" s="10" t="n">
        <v>2.830932890014805</v>
      </c>
      <c r="R27" s="10" t="n">
        <v>2.885266017509228</v>
      </c>
      <c r="S27" s="10" t="n">
        <v>2.936804683499848</v>
      </c>
      <c r="T27" s="10" t="n">
        <v>2.985742948119743</v>
      </c>
      <c r="U27" s="10" t="n">
        <v>3.03225796369492</v>
      </c>
      <c r="V27" s="10" t="n">
        <v>3.076511555049483</v>
      </c>
      <c r="W27" s="10" t="n">
        <v>3.118652319599901</v>
      </c>
      <c r="X27" s="10" t="n">
        <v>3.158816104944629</v>
      </c>
      <c r="Y27" s="10" t="n">
        <v>3.197124005424791</v>
      </c>
      <c r="Z27" s="10" t="n">
        <v>3.233683120522519</v>
      </c>
      <c r="AA27" s="10" t="n">
        <v>3.268588092469916</v>
      </c>
      <c r="AB27" s="10" t="n">
        <v>3.301922075888279</v>
      </c>
      <c r="AC27" s="10" t="n">
        <v>3.333757939575104</v>
      </c>
      <c r="AD27" s="10" t="n">
        <v>3.364159460731149</v>
      </c>
      <c r="AE27" s="10" t="n">
        <v>3.393182390418666</v>
      </c>
      <c r="AF27" s="10" t="n">
        <v>3.420875669097727</v>
      </c>
      <c r="AG27" s="10" t="n">
        <v>3.447282467026862</v>
      </c>
      <c r="AH27" s="10" t="n">
        <v>3.472440882540309</v>
      </c>
      <c r="AI27" s="10" t="n">
        <v>3.4963850633552</v>
      </c>
      <c r="AJ27" s="10" t="n">
        <v>3.519146156871782</v>
      </c>
      <c r="AK27" s="10" t="n">
        <v>3.540752655188671</v>
      </c>
    </row>
    <row r="28">
      <c r="A28" s="9" t="n">
        <v>-97</v>
      </c>
      <c r="B28" s="7" t="n">
        <v>41351</v>
      </c>
      <c r="C28" s="10" t="n">
        <v>1.603678490189012</v>
      </c>
      <c r="D28" s="10" t="n">
        <v>1.719247205395588</v>
      </c>
      <c r="E28" s="10" t="n">
        <v>1.829706801601406</v>
      </c>
      <c r="F28" s="10" t="n">
        <v>1.934951836052116</v>
      </c>
      <c r="G28" s="10" t="n">
        <v>2.034985401606562</v>
      </c>
      <c r="H28" s="10" t="n">
        <v>2.129881508072307</v>
      </c>
      <c r="I28" s="10" t="n">
        <v>2.219768065577481</v>
      </c>
      <c r="J28" s="10" t="n">
        <v>2.30481516710979</v>
      </c>
      <c r="K28" s="10" t="n">
        <v>2.385226300414265</v>
      </c>
      <c r="L28" s="10" t="n">
        <v>2.461230390108121</v>
      </c>
      <c r="M28" s="10" t="n">
        <v>2.533065163703491</v>
      </c>
      <c r="N28" s="10" t="n">
        <v>2.600965367433512</v>
      </c>
      <c r="O28" s="10" t="n">
        <v>2.66516252920371</v>
      </c>
      <c r="P28" s="10" t="n">
        <v>2.725885513476065</v>
      </c>
      <c r="Q28" s="10" t="n">
        <v>2.783360908023401</v>
      </c>
      <c r="R28" s="10" t="n">
        <v>2.837810052166372</v>
      </c>
      <c r="S28" s="10" t="n">
        <v>2.889440961090441</v>
      </c>
      <c r="T28" s="10" t="n">
        <v>2.938446693089149</v>
      </c>
      <c r="U28" s="10" t="n">
        <v>2.98500462336369</v>
      </c>
      <c r="V28" s="10" t="n">
        <v>3.029277830384213</v>
      </c>
      <c r="W28" s="10" t="n">
        <v>3.071417051147772</v>
      </c>
      <c r="X28" s="10" t="n">
        <v>3.111560963581261</v>
      </c>
      <c r="Y28" s="10" t="n">
        <v>3.149833928875608</v>
      </c>
      <c r="Z28" s="10" t="n">
        <v>3.186346656914644</v>
      </c>
      <c r="AA28" s="10" t="n">
        <v>3.221197592209447</v>
      </c>
      <c r="AB28" s="10" t="n">
        <v>3.254473570242832</v>
      </c>
      <c r="AC28" s="10" t="n">
        <v>3.286250949481646</v>
      </c>
      <c r="AD28" s="10" t="n">
        <v>3.316596827011145</v>
      </c>
      <c r="AE28" s="10" t="n">
        <v>3.34557010648793</v>
      </c>
      <c r="AF28" s="10" t="n">
        <v>3.373222561581612</v>
      </c>
      <c r="AG28" s="10" t="n">
        <v>3.399599751178372</v>
      </c>
      <c r="AH28" s="10" t="n">
        <v>3.424741745018609</v>
      </c>
      <c r="AI28" s="10" t="n">
        <v>3.448684215437141</v>
      </c>
      <c r="AJ28" s="10" t="n">
        <v>3.471459360166467</v>
      </c>
      <c r="AK28" s="10" t="n">
        <v>3.493096288143965</v>
      </c>
    </row>
    <row r="29">
      <c r="A29" s="9" t="n">
        <v>-96</v>
      </c>
      <c r="B29" s="7" t="n">
        <v>41352</v>
      </c>
      <c r="C29" s="10" t="n">
        <v>1.536989754561088</v>
      </c>
      <c r="D29" s="10" t="n">
        <v>1.65050979889879</v>
      </c>
      <c r="E29" s="10" t="n">
        <v>1.759207972067282</v>
      </c>
      <c r="F29" s="10" t="n">
        <v>1.862949026255154</v>
      </c>
      <c r="G29" s="10" t="n">
        <v>1.961707877563344</v>
      </c>
      <c r="H29" s="10" t="n">
        <v>2.055533946375924</v>
      </c>
      <c r="I29" s="10" t="n">
        <v>2.144533513278754</v>
      </c>
      <c r="J29" s="10" t="n">
        <v>2.228857358146055</v>
      </c>
      <c r="K29" s="10" t="n">
        <v>2.308691489445869</v>
      </c>
      <c r="L29" s="10" t="n">
        <v>2.384248851636358</v>
      </c>
      <c r="M29" s="10" t="n">
        <v>2.455752873172348</v>
      </c>
      <c r="N29" s="10" t="n">
        <v>2.523425893490281</v>
      </c>
      <c r="O29" s="10" t="n">
        <v>2.587488639586227</v>
      </c>
      <c r="P29" s="10" t="n">
        <v>2.648160504022848</v>
      </c>
      <c r="Q29" s="10" t="n">
        <v>2.705659700274178</v>
      </c>
      <c r="R29" s="10" t="n">
        <v>2.760199644040263</v>
      </c>
      <c r="S29" s="10" t="n">
        <v>2.8119796872764</v>
      </c>
      <c r="T29" s="10" t="n">
        <v>2.861183546388698</v>
      </c>
      <c r="U29" s="10" t="n">
        <v>2.907979343413731</v>
      </c>
      <c r="V29" s="10" t="n">
        <v>2.952521185250826</v>
      </c>
      <c r="W29" s="10" t="n">
        <v>2.994951083991504</v>
      </c>
      <c r="X29" s="10" t="n">
        <v>3.035399360732526</v>
      </c>
      <c r="Y29" s="10" t="n">
        <v>3.073982811570201</v>
      </c>
      <c r="Z29" s="10" t="n">
        <v>3.110805428343066</v>
      </c>
      <c r="AA29" s="10" t="n">
        <v>3.145959733675395</v>
      </c>
      <c r="AB29" s="10" t="n">
        <v>3.179527493253445</v>
      </c>
      <c r="AC29" s="10" t="n">
        <v>3.211580794584991</v>
      </c>
      <c r="AD29" s="10" t="n">
        <v>3.242183170322188</v>
      </c>
      <c r="AE29" s="10" t="n">
        <v>3.27139059926956</v>
      </c>
      <c r="AF29" s="10" t="n">
        <v>3.299252625896115</v>
      </c>
      <c r="AG29" s="10" t="n">
        <v>3.325813313331611</v>
      </c>
      <c r="AH29" s="10" t="n">
        <v>3.351111896107141</v>
      </c>
      <c r="AI29" s="10" t="n">
        <v>3.375183758629393</v>
      </c>
      <c r="AJ29" s="10" t="n">
        <v>3.398061256450194</v>
      </c>
      <c r="AK29" s="10" t="n">
        <v>3.419774053242955</v>
      </c>
    </row>
    <row r="30">
      <c r="A30" s="9" t="n">
        <v>-95</v>
      </c>
      <c r="B30" s="7" t="n">
        <v>41353</v>
      </c>
      <c r="C30" s="10" t="n">
        <v>1.576035716389944</v>
      </c>
      <c r="D30" s="10" t="n">
        <v>1.691885710961289</v>
      </c>
      <c r="E30" s="10" t="n">
        <v>1.802345795454346</v>
      </c>
      <c r="F30" s="10" t="n">
        <v>1.907308746742413</v>
      </c>
      <c r="G30" s="10" t="n">
        <v>2.006796042801639</v>
      </c>
      <c r="H30" s="10" t="n">
        <v>2.100908813078245</v>
      </c>
      <c r="I30" s="10" t="n">
        <v>2.189808352169968</v>
      </c>
      <c r="J30" s="10" t="n">
        <v>2.2737030404453</v>
      </c>
      <c r="K30" s="10" t="n">
        <v>2.352838534486739</v>
      </c>
      <c r="L30" s="10" t="n">
        <v>2.427488366182922</v>
      </c>
      <c r="M30" s="10" t="n">
        <v>2.497931262742825</v>
      </c>
      <c r="N30" s="10" t="n">
        <v>2.564435561626189</v>
      </c>
      <c r="O30" s="10" t="n">
        <v>2.62725999382977</v>
      </c>
      <c r="P30" s="10" t="n">
        <v>2.686655340174079</v>
      </c>
      <c r="Q30" s="10" t="n">
        <v>2.742865664893682</v>
      </c>
      <c r="R30" s="10" t="n">
        <v>2.796124348297525</v>
      </c>
      <c r="S30" s="10" t="n">
        <v>2.846642655866506</v>
      </c>
      <c r="T30" s="10" t="n">
        <v>2.894609218096273</v>
      </c>
      <c r="U30" s="10" t="n">
        <v>2.940192886220802</v>
      </c>
      <c r="V30" s="10" t="n">
        <v>2.983545431901074</v>
      </c>
      <c r="W30" s="10" t="n">
        <v>3.024803906328053</v>
      </c>
      <c r="X30" s="10" t="n">
        <v>3.064091913094402</v>
      </c>
      <c r="Y30" s="10" t="n">
        <v>3.101519438996189</v>
      </c>
      <c r="Z30" s="10" t="n">
        <v>3.137184028579653</v>
      </c>
      <c r="AA30" s="10" t="n">
        <v>3.171172416257156</v>
      </c>
      <c r="AB30" s="10" t="n">
        <v>3.203562064763548</v>
      </c>
      <c r="AC30" s="10" t="n">
        <v>3.234422332830339</v>
      </c>
      <c r="AD30" s="10" t="n">
        <v>3.263815418137869</v>
      </c>
      <c r="AE30" s="10" t="n">
        <v>3.29179723162285</v>
      </c>
      <c r="AF30" s="10" t="n">
        <v>3.318418674679773</v>
      </c>
      <c r="AG30" s="10" t="n">
        <v>3.343726701225032</v>
      </c>
      <c r="AH30" s="10" t="n">
        <v>3.367764787154389</v>
      </c>
      <c r="AI30" s="10" t="n">
        <v>3.390573375407561</v>
      </c>
      <c r="AJ30" s="10" t="n">
        <v>3.412190259140206</v>
      </c>
      <c r="AK30" s="10" t="n">
        <v>3.432650852470922</v>
      </c>
    </row>
    <row r="31">
      <c r="A31" s="9" t="n">
        <v>-94</v>
      </c>
      <c r="B31" s="7" t="n">
        <v>41354</v>
      </c>
      <c r="C31" s="10" t="n">
        <v>1.563570257594047</v>
      </c>
      <c r="D31" s="10" t="n">
        <v>1.678395060642648</v>
      </c>
      <c r="E31" s="10" t="n">
        <v>1.78815726757186</v>
      </c>
      <c r="F31" s="10" t="n">
        <v>1.892739269619496</v>
      </c>
      <c r="G31" s="10" t="n">
        <v>1.992145395998193</v>
      </c>
      <c r="H31" s="10" t="n">
        <v>2.086454174930927</v>
      </c>
      <c r="I31" s="10" t="n">
        <v>2.175800078948733</v>
      </c>
      <c r="J31" s="10" t="n">
        <v>2.260361363084602</v>
      </c>
      <c r="K31" s="10" t="n">
        <v>2.340350943492154</v>
      </c>
      <c r="L31" s="10" t="n">
        <v>2.416007692470054</v>
      </c>
      <c r="M31" s="10" t="n">
        <v>2.487575908041492</v>
      </c>
      <c r="N31" s="10" t="n">
        <v>2.555291345380354</v>
      </c>
      <c r="O31" s="10" t="n">
        <v>2.619381807602455</v>
      </c>
      <c r="P31" s="10" t="n">
        <v>2.680068516810048</v>
      </c>
      <c r="Q31" s="10" t="n">
        <v>2.737567134276164</v>
      </c>
      <c r="R31" s="10" t="n">
        <v>2.79208453865074</v>
      </c>
      <c r="S31" s="10" t="n">
        <v>2.843809648244029</v>
      </c>
      <c r="T31" s="10" t="n">
        <v>2.892913094698551</v>
      </c>
      <c r="U31" s="10" t="n">
        <v>2.939549618945574</v>
      </c>
      <c r="V31" s="10" t="n">
        <v>2.983860265654602</v>
      </c>
      <c r="W31" s="10" t="n">
        <v>3.025974274927085</v>
      </c>
      <c r="X31" s="10" t="n">
        <v>3.066010098059735</v>
      </c>
      <c r="Y31" s="10" t="n">
        <v>3.104075268595811</v>
      </c>
      <c r="Z31" s="10" t="n">
        <v>3.140267350247917</v>
      </c>
      <c r="AA31" s="10" t="n">
        <v>3.174675165305281</v>
      </c>
      <c r="AB31" s="10" t="n">
        <v>3.207379825634948</v>
      </c>
      <c r="AC31" s="10" t="n">
        <v>3.238455640552337</v>
      </c>
      <c r="AD31" s="10" t="n">
        <v>3.267970907720842</v>
      </c>
      <c r="AE31" s="10" t="n">
        <v>3.295988638361837</v>
      </c>
      <c r="AF31" s="10" t="n">
        <v>3.322567540457821</v>
      </c>
      <c r="AG31" s="10" t="n">
        <v>3.347762836299379</v>
      </c>
      <c r="AH31" s="10" t="n">
        <v>3.371626634800602</v>
      </c>
      <c r="AI31" s="10" t="n">
        <v>3.394208016194643</v>
      </c>
      <c r="AJ31" s="10" t="n">
        <v>3.415553130300526</v>
      </c>
      <c r="AK31" s="10" t="n">
        <v>3.435705473332247</v>
      </c>
    </row>
    <row r="32">
      <c r="A32" s="9" t="n">
        <v>-93</v>
      </c>
      <c r="B32" s="7" t="n">
        <v>41355</v>
      </c>
      <c r="C32" s="10" t="n">
        <v>1.557664348671969</v>
      </c>
      <c r="D32" s="10" t="n">
        <v>1.671293606249852</v>
      </c>
      <c r="E32" s="10" t="n">
        <v>1.779985687828437</v>
      </c>
      <c r="F32" s="10" t="n">
        <v>1.883614921705508</v>
      </c>
      <c r="G32" s="10" t="n">
        <v>1.982175969961414</v>
      </c>
      <c r="H32" s="10" t="n">
        <v>2.075737365545728</v>
      </c>
      <c r="I32" s="10" t="n">
        <v>2.164423445705175</v>
      </c>
      <c r="J32" s="10" t="n">
        <v>2.248402220614697</v>
      </c>
      <c r="K32" s="10" t="n">
        <v>2.327876274789382</v>
      </c>
      <c r="L32" s="10" t="n">
        <v>2.403074082451125</v>
      </c>
      <c r="M32" s="10" t="n">
        <v>2.474230213132745</v>
      </c>
      <c r="N32" s="10" t="n">
        <v>2.54157227780659</v>
      </c>
      <c r="O32" s="10" t="n">
        <v>2.605321353847202</v>
      </c>
      <c r="P32" s="10" t="n">
        <v>2.665693111513691</v>
      </c>
      <c r="Q32" s="10" t="n">
        <v>2.722898630421269</v>
      </c>
      <c r="R32" s="10" t="n">
        <v>2.777140941892751</v>
      </c>
      <c r="S32" s="10" t="n">
        <v>2.828605925025156</v>
      </c>
      <c r="T32" s="10" t="n">
        <v>2.877461923184394</v>
      </c>
      <c r="U32" s="10" t="n">
        <v>2.923861796882941</v>
      </c>
      <c r="V32" s="10" t="n">
        <v>2.967944998346407</v>
      </c>
      <c r="W32" s="10" t="n">
        <v>3.009839420580338</v>
      </c>
      <c r="X32" s="10" t="n">
        <v>3.049662308088186</v>
      </c>
      <c r="Y32" s="10" t="n">
        <v>3.08751998139148</v>
      </c>
      <c r="Z32" s="10" t="n">
        <v>3.123508767668378</v>
      </c>
      <c r="AA32" s="10" t="n">
        <v>3.157716269042578</v>
      </c>
      <c r="AB32" s="10" t="n">
        <v>3.190222485674415</v>
      </c>
      <c r="AC32" s="10" t="n">
        <v>3.221100737035379</v>
      </c>
      <c r="AD32" s="10" t="n">
        <v>3.250418438871191</v>
      </c>
      <c r="AE32" s="10" t="n">
        <v>3.278237822136384</v>
      </c>
      <c r="AF32" s="10" t="n">
        <v>3.304616940742411</v>
      </c>
      <c r="AG32" s="10" t="n">
        <v>3.329610493624499</v>
      </c>
      <c r="AH32" s="10" t="n">
        <v>3.35327018444023</v>
      </c>
      <c r="AI32" s="10" t="n">
        <v>3.375644816024691</v>
      </c>
      <c r="AJ32" s="10" t="n">
        <v>3.396780401757699</v>
      </c>
      <c r="AK32" s="10" t="n">
        <v>3.416720430979805</v>
      </c>
    </row>
    <row r="33">
      <c r="A33" s="9" t="n">
        <v>-92</v>
      </c>
      <c r="B33" s="7" t="n">
        <v>41358</v>
      </c>
      <c r="C33" s="10" t="n">
        <v>1.51256115768894</v>
      </c>
      <c r="D33" s="10" t="n">
        <v>1.625231165579345</v>
      </c>
      <c r="E33" s="10" t="n">
        <v>1.733154918705079</v>
      </c>
      <c r="F33" s="10" t="n">
        <v>1.836196142379477</v>
      </c>
      <c r="G33" s="10" t="n">
        <v>1.93433213058638</v>
      </c>
      <c r="H33" s="10" t="n">
        <v>2.02761381675502</v>
      </c>
      <c r="I33" s="10" t="n">
        <v>2.116148118713158</v>
      </c>
      <c r="J33" s="10" t="n">
        <v>2.200085768165666</v>
      </c>
      <c r="K33" s="10" t="n">
        <v>2.279612182732857</v>
      </c>
      <c r="L33" s="10" t="n">
        <v>2.354938923449218</v>
      </c>
      <c r="M33" s="10" t="n">
        <v>2.426285431536526</v>
      </c>
      <c r="N33" s="10" t="n">
        <v>2.4938670422703</v>
      </c>
      <c r="O33" s="10" t="n">
        <v>2.557895008525546</v>
      </c>
      <c r="P33" s="10" t="n">
        <v>2.618577204638911</v>
      </c>
      <c r="Q33" s="10" t="n">
        <v>2.676118591642451</v>
      </c>
      <c r="R33" s="10" t="n">
        <v>2.730716964199425</v>
      </c>
      <c r="S33" s="10" t="n">
        <v>2.782552561547692</v>
      </c>
      <c r="T33" s="10" t="n">
        <v>2.831787679535517</v>
      </c>
      <c r="U33" s="10" t="n">
        <v>2.878569291533165</v>
      </c>
      <c r="V33" s="10" t="n">
        <v>2.923031238865015</v>
      </c>
      <c r="W33" s="10" t="n">
        <v>2.965296044088005</v>
      </c>
      <c r="X33" s="10" t="n">
        <v>3.005475881794952</v>
      </c>
      <c r="Y33" s="10" t="n">
        <v>3.043672519704986</v>
      </c>
      <c r="Z33" s="10" t="n">
        <v>3.07997826128114</v>
      </c>
      <c r="AA33" s="10" t="n">
        <v>3.114477213670578</v>
      </c>
      <c r="AB33" s="10" t="n">
        <v>3.147246508027376</v>
      </c>
      <c r="AC33" s="10" t="n">
        <v>3.178357190053496</v>
      </c>
      <c r="AD33" s="10" t="n">
        <v>3.207874928101853</v>
      </c>
      <c r="AE33" s="10" t="n">
        <v>3.235860683855651</v>
      </c>
      <c r="AF33" s="10" t="n">
        <v>3.26237176261269</v>
      </c>
      <c r="AG33" s="10" t="n">
        <v>3.287462654979574</v>
      </c>
      <c r="AH33" s="10" t="n">
        <v>3.311185344160984</v>
      </c>
      <c r="AI33" s="10" t="n">
        <v>3.333589352780394</v>
      </c>
      <c r="AJ33" s="10" t="n">
        <v>3.354721814189953</v>
      </c>
      <c r="AK33" s="10" t="n">
        <v>3.374627698442753</v>
      </c>
    </row>
    <row r="34">
      <c r="A34" s="9" t="n">
        <v>-91</v>
      </c>
      <c r="B34" s="7" t="n">
        <v>41359</v>
      </c>
      <c r="C34" s="10" t="n">
        <v>1.501795652327787</v>
      </c>
      <c r="D34" s="10" t="n">
        <v>1.613545419674492</v>
      </c>
      <c r="E34" s="10" t="n">
        <v>1.720879141526508</v>
      </c>
      <c r="F34" s="10" t="n">
        <v>1.823650189779375</v>
      </c>
      <c r="G34" s="10" t="n">
        <v>1.921817591337125</v>
      </c>
      <c r="H34" s="10" t="n">
        <v>2.015408973005676</v>
      </c>
      <c r="I34" s="10" t="n">
        <v>2.104504132078699</v>
      </c>
      <c r="J34" s="10" t="n">
        <v>2.189223694927235</v>
      </c>
      <c r="K34" s="10" t="n">
        <v>2.269720610865301</v>
      </c>
      <c r="L34" s="10" t="n">
        <v>2.346172292959278</v>
      </c>
      <c r="M34" s="10" t="n">
        <v>2.418764588608461</v>
      </c>
      <c r="N34" s="10" t="n">
        <v>2.487681317525896</v>
      </c>
      <c r="O34" s="10" t="n">
        <v>2.553104043940464</v>
      </c>
      <c r="P34" s="10" t="n">
        <v>2.615212465473465</v>
      </c>
      <c r="Q34" s="10" t="n">
        <v>2.674184637447981</v>
      </c>
      <c r="R34" s="10" t="n">
        <v>2.730193156851527</v>
      </c>
      <c r="S34" s="10" t="n">
        <v>2.78339619862135</v>
      </c>
      <c r="T34" s="10" t="n">
        <v>2.833937389837208</v>
      </c>
      <c r="U34" s="10" t="n">
        <v>2.881948560708548</v>
      </c>
      <c r="V34" s="10" t="n">
        <v>2.927551597260117</v>
      </c>
      <c r="W34" s="10" t="n">
        <v>2.970859818421754</v>
      </c>
      <c r="X34" s="10" t="n">
        <v>3.011978860755358</v>
      </c>
      <c r="Y34" s="10" t="n">
        <v>3.051007003879689</v>
      </c>
      <c r="Z34" s="10" t="n">
        <v>3.088035925146374</v>
      </c>
      <c r="AA34" s="10" t="n">
        <v>3.123151465425252</v>
      </c>
      <c r="AB34" s="10" t="n">
        <v>3.156434197799754</v>
      </c>
      <c r="AC34" s="10" t="n">
        <v>3.187960016263025</v>
      </c>
      <c r="AD34" s="10" t="n">
        <v>3.217800679496109</v>
      </c>
      <c r="AE34" s="10" t="n">
        <v>3.246024305621292</v>
      </c>
      <c r="AF34" s="10" t="n">
        <v>3.272695993002176</v>
      </c>
      <c r="AG34" s="10" t="n">
        <v>3.297878328536489</v>
      </c>
      <c r="AH34" s="10" t="n">
        <v>3.321631603041289</v>
      </c>
      <c r="AI34" s="10" t="n">
        <v>3.344013490861927</v>
      </c>
      <c r="AJ34" s="10" t="n">
        <v>3.365078853177081</v>
      </c>
      <c r="AK34" s="10" t="n">
        <v>3.384879986456508</v>
      </c>
    </row>
    <row r="35">
      <c r="A35" s="9" t="n">
        <v>-90</v>
      </c>
      <c r="B35" s="7" t="n">
        <v>41360</v>
      </c>
      <c r="C35" s="10" t="n">
        <v>1.436132460338597</v>
      </c>
      <c r="D35" s="10" t="n">
        <v>1.54673113520926</v>
      </c>
      <c r="E35" s="10" t="n">
        <v>1.653315060846619</v>
      </c>
      <c r="F35" s="10" t="n">
        <v>1.755692175492716</v>
      </c>
      <c r="G35" s="10" t="n">
        <v>1.853770841999629</v>
      </c>
      <c r="H35" s="10" t="n">
        <v>1.94752976602603</v>
      </c>
      <c r="I35" s="10" t="n">
        <v>2.037001562832058</v>
      </c>
      <c r="J35" s="10" t="n">
        <v>2.122261037800747</v>
      </c>
      <c r="K35" s="10" t="n">
        <v>2.203416396766621</v>
      </c>
      <c r="L35" s="10" t="n">
        <v>2.280601643131354</v>
      </c>
      <c r="M35" s="10" t="n">
        <v>2.353964236001174</v>
      </c>
      <c r="N35" s="10" t="n">
        <v>2.423656866796765</v>
      </c>
      <c r="O35" s="10" t="n">
        <v>2.489836151460128</v>
      </c>
      <c r="P35" s="10" t="n">
        <v>2.552661953812982</v>
      </c>
      <c r="Q35" s="10" t="n">
        <v>2.612296769055959</v>
      </c>
      <c r="R35" s="10" t="n">
        <v>2.668901854305202</v>
      </c>
      <c r="S35" s="10" t="n">
        <v>2.722629228693307</v>
      </c>
      <c r="T35" s="10" t="n">
        <v>2.77362077959155</v>
      </c>
      <c r="U35" s="10" t="n">
        <v>2.822009305656966</v>
      </c>
      <c r="V35" s="10" t="n">
        <v>2.867919702041512</v>
      </c>
      <c r="W35" s="10" t="n">
        <v>2.911470046395605</v>
      </c>
      <c r="X35" s="10" t="n">
        <v>2.952771978677654</v>
      </c>
      <c r="Y35" s="10" t="n">
        <v>2.99193020548316</v>
      </c>
      <c r="Z35" s="10" t="n">
        <v>3.029043022604495</v>
      </c>
      <c r="AA35" s="10" t="n">
        <v>3.064202918312334</v>
      </c>
      <c r="AB35" s="10" t="n">
        <v>3.097496805602195</v>
      </c>
      <c r="AC35" s="10" t="n">
        <v>3.129006559750866</v>
      </c>
      <c r="AD35" s="10" t="n">
        <v>3.158809603141245</v>
      </c>
      <c r="AE35" s="10" t="n">
        <v>3.186979413783597</v>
      </c>
      <c r="AF35" s="10" t="n">
        <v>3.213585985115322</v>
      </c>
      <c r="AG35" s="10" t="n">
        <v>3.238696222471779</v>
      </c>
      <c r="AH35" s="10" t="n">
        <v>3.262374199226713</v>
      </c>
      <c r="AI35" s="10" t="n">
        <v>3.284680824141835</v>
      </c>
      <c r="AJ35" s="10" t="n">
        <v>3.305673650368675</v>
      </c>
      <c r="AK35" s="10" t="n">
        <v>3.325407175198936</v>
      </c>
    </row>
    <row r="36">
      <c r="A36" s="9" t="n">
        <v>-89</v>
      </c>
      <c r="B36" s="7" t="n">
        <v>41361</v>
      </c>
      <c r="C36" s="10" t="n">
        <v>1.482601242840986</v>
      </c>
      <c r="D36" s="10" t="n">
        <v>1.59356895385389</v>
      </c>
      <c r="E36" s="10" t="n">
        <v>1.700311226605179</v>
      </c>
      <c r="F36" s="10" t="n">
        <v>1.80266405326451</v>
      </c>
      <c r="G36" s="10" t="n">
        <v>1.900562719792983</v>
      </c>
      <c r="H36" s="10" t="n">
        <v>1.99401218313862</v>
      </c>
      <c r="I36" s="10" t="n">
        <v>2.083070875507179</v>
      </c>
      <c r="J36" s="10" t="n">
        <v>2.16783907930613</v>
      </c>
      <c r="K36" s="10" t="n">
        <v>2.248450208134831</v>
      </c>
      <c r="L36" s="10" t="n">
        <v>2.325062849144583</v>
      </c>
      <c r="M36" s="10" t="n">
        <v>2.39784604438897</v>
      </c>
      <c r="N36" s="10" t="n">
        <v>2.466970129222144</v>
      </c>
      <c r="O36" s="10" t="n">
        <v>2.532606069607266</v>
      </c>
      <c r="P36" s="10" t="n">
        <v>2.594925353390817</v>
      </c>
      <c r="Q36" s="10" t="n">
        <v>2.654099800604382</v>
      </c>
      <c r="R36" s="10" t="n">
        <v>2.710297358321773</v>
      </c>
      <c r="S36" s="10" t="n">
        <v>2.763673428014353</v>
      </c>
      <c r="T36" s="10" t="n">
        <v>2.814370585198635</v>
      </c>
      <c r="U36" s="10" t="n">
        <v>2.862520592309316</v>
      </c>
      <c r="V36" s="10" t="n">
        <v>2.908245977695529</v>
      </c>
      <c r="W36" s="10" t="n">
        <v>2.951661308619309</v>
      </c>
      <c r="X36" s="10" t="n">
        <v>2.992873841516053</v>
      </c>
      <c r="Y36" s="10" t="n">
        <v>3.031983491951589</v>
      </c>
      <c r="Z36" s="10" t="n">
        <v>3.069083521870128</v>
      </c>
      <c r="AA36" s="10" t="n">
        <v>3.104261233397184</v>
      </c>
      <c r="AB36" s="10" t="n">
        <v>3.137598383246743</v>
      </c>
      <c r="AC36" s="10" t="n">
        <v>3.169171765351428</v>
      </c>
      <c r="AD36" s="10" t="n">
        <v>3.199053787451712</v>
      </c>
      <c r="AE36" s="10" t="n">
        <v>3.227312997003834</v>
      </c>
      <c r="AF36" s="10" t="n">
        <v>3.25401472857331</v>
      </c>
      <c r="AG36" s="10" t="n">
        <v>3.279221622345138</v>
      </c>
      <c r="AH36" s="10" t="n">
        <v>3.302993855786991</v>
      </c>
      <c r="AI36" s="10" t="n">
        <v>3.325388879524982</v>
      </c>
      <c r="AJ36" s="10" t="n">
        <v>3.346461294006489</v>
      </c>
      <c r="AK36" s="10" t="n">
        <v>3.366263108824311</v>
      </c>
    </row>
    <row r="37">
      <c r="A37" s="9" t="n">
        <v>-88</v>
      </c>
      <c r="B37" s="7" t="n">
        <v>41366</v>
      </c>
      <c r="C37" s="10" t="n">
        <v>1.490293318694904</v>
      </c>
      <c r="D37" s="10" t="n">
        <v>1.601250141644118</v>
      </c>
      <c r="E37" s="10" t="n">
        <v>1.707851848941472</v>
      </c>
      <c r="F37" s="10" t="n">
        <v>1.80995548548293</v>
      </c>
      <c r="G37" s="10" t="n">
        <v>1.907517822438313</v>
      </c>
      <c r="H37" s="10" t="n">
        <v>2.000564234912917</v>
      </c>
      <c r="I37" s="10" t="n">
        <v>2.08917267967628</v>
      </c>
      <c r="J37" s="10" t="n">
        <v>2.173462264365615</v>
      </c>
      <c r="K37" s="10" t="n">
        <v>2.253584674093095</v>
      </c>
      <c r="L37" s="10" t="n">
        <v>2.329716103782687</v>
      </c>
      <c r="M37" s="10" t="n">
        <v>2.402041199828647</v>
      </c>
      <c r="N37" s="10" t="n">
        <v>2.470743294759442</v>
      </c>
      <c r="O37" s="10" t="n">
        <v>2.536004160403563</v>
      </c>
      <c r="P37" s="10" t="n">
        <v>2.598004276975719</v>
      </c>
      <c r="Q37" s="10" t="n">
        <v>2.656922933436531</v>
      </c>
      <c r="R37" s="10" t="n">
        <v>2.712933887093112</v>
      </c>
      <c r="S37" s="10" t="n">
        <v>2.76619622084436</v>
      </c>
      <c r="T37" s="10" t="n">
        <v>2.81685418322557</v>
      </c>
      <c r="U37" s="10" t="n">
        <v>2.865039364516565</v>
      </c>
      <c r="V37" s="10" t="n">
        <v>2.910872506952856</v>
      </c>
      <c r="W37" s="10" t="n">
        <v>2.954465001010134</v>
      </c>
      <c r="X37" s="10" t="n">
        <v>2.99591970515798</v>
      </c>
      <c r="Y37" s="10" t="n">
        <v>3.035331046201733</v>
      </c>
      <c r="Z37" s="10" t="n">
        <v>3.072785845271495</v>
      </c>
      <c r="AA37" s="10" t="n">
        <v>3.108364264528919</v>
      </c>
      <c r="AB37" s="10" t="n">
        <v>3.142140613820636</v>
      </c>
      <c r="AC37" s="10" t="n">
        <v>3.174184046055873</v>
      </c>
      <c r="AD37" s="10" t="n">
        <v>3.204559156849433</v>
      </c>
      <c r="AE37" s="10" t="n">
        <v>3.23332656807627</v>
      </c>
      <c r="AF37" s="10" t="n">
        <v>3.260543883824439</v>
      </c>
      <c r="AG37" s="10" t="n">
        <v>3.286266412292111</v>
      </c>
      <c r="AH37" s="10" t="n">
        <v>3.310547403874381</v>
      </c>
      <c r="AI37" s="10" t="n">
        <v>3.333438023351625</v>
      </c>
      <c r="AJ37" s="10" t="n">
        <v>3.354987378142265</v>
      </c>
      <c r="AK37" s="10" t="n">
        <v>3.375242712433076</v>
      </c>
    </row>
    <row r="38">
      <c r="A38" s="9" t="n">
        <v>-87</v>
      </c>
      <c r="B38" s="7" t="n">
        <v>41367</v>
      </c>
      <c r="C38" s="10" t="n">
        <v>1.466851045944748</v>
      </c>
      <c r="D38" s="10" t="n">
        <v>1.577316018823864</v>
      </c>
      <c r="E38" s="10" t="n">
        <v>1.683436399028228</v>
      </c>
      <c r="F38" s="10" t="n">
        <v>1.785065964448451</v>
      </c>
      <c r="G38" s="10" t="n">
        <v>1.882156697538405</v>
      </c>
      <c r="H38" s="10" t="n">
        <v>1.974730350266122</v>
      </c>
      <c r="I38" s="10" t="n">
        <v>2.062862306697629</v>
      </c>
      <c r="J38" s="10" t="n">
        <v>2.146669923845206</v>
      </c>
      <c r="K38" s="10" t="n">
        <v>2.226303786982782</v>
      </c>
      <c r="L38" s="10" t="n">
        <v>2.301939603952581</v>
      </c>
      <c r="M38" s="10" t="n">
        <v>2.373762859954739</v>
      </c>
      <c r="N38" s="10" t="n">
        <v>2.441959497634028</v>
      </c>
      <c r="O38" s="10" t="n">
        <v>2.506715402227022</v>
      </c>
      <c r="P38" s="10" t="n">
        <v>2.568216411460052</v>
      </c>
      <c r="Q38" s="10" t="n">
        <v>2.626648205188415</v>
      </c>
      <c r="R38" s="10" t="n">
        <v>2.68219177663753</v>
      </c>
      <c r="S38" s="10" t="n">
        <v>2.735014218717748</v>
      </c>
      <c r="T38" s="10" t="n">
        <v>2.785267958596205</v>
      </c>
      <c r="U38" s="10" t="n">
        <v>2.833091721161363</v>
      </c>
      <c r="V38" s="10" t="n">
        <v>2.878612204334805</v>
      </c>
      <c r="W38" s="10" t="n">
        <v>2.921945729112871</v>
      </c>
      <c r="X38" s="10" t="n">
        <v>2.963198858655096</v>
      </c>
      <c r="Y38" s="10" t="n">
        <v>3.002467900980094</v>
      </c>
      <c r="Z38" s="10" t="n">
        <v>3.039839787708537</v>
      </c>
      <c r="AA38" s="10" t="n">
        <v>3.075393337812332</v>
      </c>
      <c r="AB38" s="10" t="n">
        <v>3.109200458053965</v>
      </c>
      <c r="AC38" s="10" t="n">
        <v>3.14132701689166</v>
      </c>
      <c r="AD38" s="10" t="n">
        <v>3.171833546908835</v>
      </c>
      <c r="AE38" s="10" t="n">
        <v>3.200775934090313</v>
      </c>
      <c r="AF38" s="10" t="n">
        <v>3.228206573935906</v>
      </c>
      <c r="AG38" s="10" t="n">
        <v>3.254175234935529</v>
      </c>
      <c r="AH38" s="10" t="n">
        <v>3.278729377058621</v>
      </c>
      <c r="AI38" s="10" t="n">
        <v>3.301914460348845</v>
      </c>
      <c r="AJ38" s="10" t="n">
        <v>3.323774200301299</v>
      </c>
      <c r="AK38" s="10" t="n">
        <v>3.344350745487788</v>
      </c>
    </row>
    <row r="39">
      <c r="A39" s="9" t="n">
        <v>-86</v>
      </c>
      <c r="B39" s="7" t="n">
        <v>41368</v>
      </c>
      <c r="C39" s="10" t="n">
        <v>1.42515117660202</v>
      </c>
      <c r="D39" s="10" t="n">
        <v>1.533591378803402</v>
      </c>
      <c r="E39" s="10" t="n">
        <v>1.638012969134238</v>
      </c>
      <c r="F39" s="10" t="n">
        <v>1.738226318028857</v>
      </c>
      <c r="G39" s="10" t="n">
        <v>1.834138804088357</v>
      </c>
      <c r="H39" s="10" t="n">
        <v>1.925732638136909</v>
      </c>
      <c r="I39" s="10" t="n">
        <v>2.01304792877215</v>
      </c>
      <c r="J39" s="10" t="n">
        <v>2.096170095892688</v>
      </c>
      <c r="K39" s="10" t="n">
        <v>2.17522043055604</v>
      </c>
      <c r="L39" s="10" t="n">
        <v>2.250347779941182</v>
      </c>
      <c r="M39" s="10" t="n">
        <v>2.321715154007756</v>
      </c>
      <c r="N39" s="10" t="n">
        <v>2.389491390500984</v>
      </c>
      <c r="O39" s="10" t="n">
        <v>2.453849790568609</v>
      </c>
      <c r="P39" s="10" t="n">
        <v>2.514967349208742</v>
      </c>
      <c r="Q39" s="10" t="n">
        <v>2.573024013551441</v>
      </c>
      <c r="R39" s="10" t="n">
        <v>2.628197466929967</v>
      </c>
      <c r="S39" s="10" t="n">
        <v>2.680653252534543</v>
      </c>
      <c r="T39" s="10" t="n">
        <v>2.730543516616974</v>
      </c>
      <c r="U39" s="10" t="n">
        <v>2.77800738300067</v>
      </c>
      <c r="V39" s="10" t="n">
        <v>2.82317244004423</v>
      </c>
      <c r="W39" s="10" t="n">
        <v>2.866156316347945</v>
      </c>
      <c r="X39" s="10" t="n">
        <v>2.907067032736467</v>
      </c>
      <c r="Y39" s="10" t="n">
        <v>2.946002033562338</v>
      </c>
      <c r="Z39" s="10" t="n">
        <v>2.983049003890009</v>
      </c>
      <c r="AA39" s="10" t="n">
        <v>3.018287224041676</v>
      </c>
      <c r="AB39" s="10" t="n">
        <v>3.051788899054686</v>
      </c>
      <c r="AC39" s="10" t="n">
        <v>3.08362007360346</v>
      </c>
      <c r="AD39" s="10" t="n">
        <v>3.113841348729977</v>
      </c>
      <c r="AE39" s="10" t="n">
        <v>3.14250858975247</v>
      </c>
      <c r="AF39" s="10" t="n">
        <v>3.169674131318359</v>
      </c>
      <c r="AG39" s="10" t="n">
        <v>3.195387668677632</v>
      </c>
      <c r="AH39" s="10" t="n">
        <v>3.21969657186964</v>
      </c>
      <c r="AI39" s="10" t="n">
        <v>3.242646145689296</v>
      </c>
      <c r="AJ39" s="10" t="n">
        <v>3.264279853639776</v>
      </c>
      <c r="AK39" s="10" t="n">
        <v>3.284639502864097</v>
      </c>
    </row>
    <row r="40">
      <c r="A40" s="9" t="n">
        <v>-85</v>
      </c>
      <c r="B40" s="7" t="n">
        <v>41369</v>
      </c>
      <c r="C40" s="10" t="n">
        <v>1.350120488627135</v>
      </c>
      <c r="D40" s="10" t="n">
        <v>1.455509545935845</v>
      </c>
      <c r="E40" s="10" t="n">
        <v>1.55718400641832</v>
      </c>
      <c r="F40" s="10" t="n">
        <v>1.654895575885205</v>
      </c>
      <c r="G40" s="10" t="n">
        <v>1.748496987859661</v>
      </c>
      <c r="H40" s="10" t="n">
        <v>1.837924261214677</v>
      </c>
      <c r="I40" s="10" t="n">
        <v>1.923178123984948</v>
      </c>
      <c r="J40" s="10" t="n">
        <v>2.004309946157802</v>
      </c>
      <c r="K40" s="10" t="n">
        <v>2.081411188996085</v>
      </c>
      <c r="L40" s="10" t="n">
        <v>2.154604653914643</v>
      </c>
      <c r="M40" s="10" t="n">
        <v>2.224033481005767</v>
      </c>
      <c r="N40" s="10" t="n">
        <v>2.289853995680575</v>
      </c>
      <c r="O40" s="10" t="n">
        <v>2.35223317227479</v>
      </c>
      <c r="P40" s="10" t="n">
        <v>2.411346798027261</v>
      </c>
      <c r="Q40" s="10" t="n">
        <v>2.46737786659022</v>
      </c>
      <c r="R40" s="10" t="n">
        <v>2.520510591912641</v>
      </c>
      <c r="S40" s="10" t="n">
        <v>2.570920160227661</v>
      </c>
      <c r="T40" s="10" t="n">
        <v>2.61877045105289</v>
      </c>
      <c r="U40" s="10" t="n">
        <v>2.664212716123609</v>
      </c>
      <c r="V40" s="10" t="n">
        <v>2.707386709732601</v>
      </c>
      <c r="W40" s="10" t="n">
        <v>2.748422239316918</v>
      </c>
      <c r="X40" s="10" t="n">
        <v>2.787438878191244</v>
      </c>
      <c r="Y40" s="10" t="n">
        <v>2.824543779508603</v>
      </c>
      <c r="Z40" s="10" t="n">
        <v>2.859832446037109</v>
      </c>
      <c r="AA40" s="10" t="n">
        <v>2.893390248520219</v>
      </c>
      <c r="AB40" s="10" t="n">
        <v>2.925293802430646</v>
      </c>
      <c r="AC40" s="10" t="n">
        <v>2.955612042607014</v>
      </c>
      <c r="AD40" s="10" t="n">
        <v>2.98440711652588</v>
      </c>
      <c r="AE40" s="10" t="n">
        <v>3.011735246794168</v>
      </c>
      <c r="AF40" s="10" t="n">
        <v>3.037648052372136</v>
      </c>
      <c r="AG40" s="10" t="n">
        <v>3.062193527090887</v>
      </c>
      <c r="AH40" s="10" t="n">
        <v>3.085416477420079</v>
      </c>
      <c r="AI40" s="10" t="n">
        <v>3.107359030562836</v>
      </c>
      <c r="AJ40" s="10" t="n">
        <v>3.128061034260162</v>
      </c>
      <c r="AK40" s="10" t="n">
        <v>3.147560292017382</v>
      </c>
    </row>
    <row r="41">
      <c r="A41" s="9" t="n">
        <v>-84</v>
      </c>
      <c r="B41" s="7" t="n">
        <v>41372</v>
      </c>
      <c r="C41" s="10" t="n">
        <v>1.417418780245728</v>
      </c>
      <c r="D41" s="10" t="n">
        <v>1.523395646408782</v>
      </c>
      <c r="E41" s="10" t="n">
        <v>1.62523695161938</v>
      </c>
      <c r="F41" s="10" t="n">
        <v>1.722741659656879</v>
      </c>
      <c r="G41" s="10" t="n">
        <v>1.815816679335889</v>
      </c>
      <c r="H41" s="10" t="n">
        <v>1.904449805132665</v>
      </c>
      <c r="I41" s="10" t="n">
        <v>1.988691268451869</v>
      </c>
      <c r="J41" s="10" t="n">
        <v>2.068640164381283</v>
      </c>
      <c r="K41" s="10" t="n">
        <v>2.144434271166967</v>
      </c>
      <c r="L41" s="10" t="n">
        <v>2.216240888534179</v>
      </c>
      <c r="M41" s="10" t="n">
        <v>2.284241628600338</v>
      </c>
      <c r="N41" s="10" t="n">
        <v>2.348623352779903</v>
      </c>
      <c r="O41" s="10" t="n">
        <v>2.409576896252896</v>
      </c>
      <c r="P41" s="10" t="n">
        <v>2.467296382832908</v>
      </c>
      <c r="Q41" s="10" t="n">
        <v>2.521978520920869</v>
      </c>
      <c r="R41" s="10" t="n">
        <v>2.573816847286406</v>
      </c>
      <c r="S41" s="10" t="n">
        <v>2.622991241755062</v>
      </c>
      <c r="T41" s="10" t="n">
        <v>2.669666652350176</v>
      </c>
      <c r="U41" s="10" t="n">
        <v>2.713993339657682</v>
      </c>
      <c r="V41" s="10" t="n">
        <v>2.756108541164664</v>
      </c>
      <c r="W41" s="10" t="n">
        <v>2.796138245243118</v>
      </c>
      <c r="X41" s="10" t="n">
        <v>2.83419749817087</v>
      </c>
      <c r="Y41" s="10" t="n">
        <v>2.870389248978655</v>
      </c>
      <c r="Z41" s="10" t="n">
        <v>2.904805306655379</v>
      </c>
      <c r="AA41" s="10" t="n">
        <v>2.937527864423237</v>
      </c>
      <c r="AB41" s="10" t="n">
        <v>2.968630955790867</v>
      </c>
      <c r="AC41" s="10" t="n">
        <v>2.998181490023032</v>
      </c>
      <c r="AD41" s="10" t="n">
        <v>3.026240080853121</v>
      </c>
      <c r="AE41" s="10" t="n">
        <v>3.052861841301486</v>
      </c>
      <c r="AF41" s="10" t="n">
        <v>3.078097563623927</v>
      </c>
      <c r="AG41" s="10" t="n">
        <v>3.10199459429792</v>
      </c>
      <c r="AH41" s="10" t="n">
        <v>3.124597228390128</v>
      </c>
      <c r="AI41" s="10" t="n">
        <v>3.145947060788009</v>
      </c>
      <c r="AJ41" s="10" t="n">
        <v>3.166083285404957</v>
      </c>
      <c r="AK41" s="10" t="n">
        <v>3.185042936617164</v>
      </c>
    </row>
    <row r="42">
      <c r="A42" s="9" t="n">
        <v>-83</v>
      </c>
      <c r="B42" s="7" t="n">
        <v>41373</v>
      </c>
      <c r="C42" s="10" t="n">
        <v>1.459490527287268</v>
      </c>
      <c r="D42" s="10" t="n">
        <v>1.567217846759266</v>
      </c>
      <c r="E42" s="10" t="n">
        <v>1.670492348150511</v>
      </c>
      <c r="F42" s="10" t="n">
        <v>1.769142917835076</v>
      </c>
      <c r="G42" s="10" t="n">
        <v>1.86311175282047</v>
      </c>
      <c r="H42" s="10" t="n">
        <v>1.952419958608784</v>
      </c>
      <c r="I42" s="10" t="n">
        <v>2.037149232128028</v>
      </c>
      <c r="J42" s="10" t="n">
        <v>2.117428689683009</v>
      </c>
      <c r="K42" s="10" t="n">
        <v>2.193424987061517</v>
      </c>
      <c r="L42" s="10" t="n">
        <v>2.265332964811031</v>
      </c>
      <c r="M42" s="10" t="n">
        <v>2.333358054572297</v>
      </c>
      <c r="N42" s="10" t="n">
        <v>2.397706225359764</v>
      </c>
      <c r="O42" s="10" t="n">
        <v>2.458583468583311</v>
      </c>
      <c r="P42" s="10" t="n">
        <v>2.516195794186964</v>
      </c>
      <c r="Q42" s="10" t="n">
        <v>2.570749073839972</v>
      </c>
      <c r="R42" s="10" t="n">
        <v>2.622443918839646</v>
      </c>
      <c r="S42" s="10" t="n">
        <v>2.671466047377463</v>
      </c>
      <c r="T42" s="10" t="n">
        <v>2.717985310327972</v>
      </c>
      <c r="U42" s="10" t="n">
        <v>2.762156028748087</v>
      </c>
      <c r="V42" s="10" t="n">
        <v>2.804118774323551</v>
      </c>
      <c r="W42" s="10" t="n">
        <v>2.844002243611942</v>
      </c>
      <c r="X42" s="10" t="n">
        <v>2.881923653126853</v>
      </c>
      <c r="Y42" s="10" t="n">
        <v>2.917987693822302</v>
      </c>
      <c r="Z42" s="10" t="n">
        <v>2.952287560512779</v>
      </c>
      <c r="AA42" s="10" t="n">
        <v>2.984906535957653</v>
      </c>
      <c r="AB42" s="10" t="n">
        <v>3.015919510972116</v>
      </c>
      <c r="AC42" s="10" t="n">
        <v>3.045394052916659</v>
      </c>
      <c r="AD42" s="10" t="n">
        <v>3.073391257588265</v>
      </c>
      <c r="AE42" s="10" t="n">
        <v>3.099966570887696</v>
      </c>
      <c r="AF42" s="10" t="n">
        <v>3.125171025303978</v>
      </c>
      <c r="AG42" s="10" t="n">
        <v>3.149052148289182</v>
      </c>
      <c r="AH42" s="10" t="n">
        <v>3.171654355515341</v>
      </c>
      <c r="AI42" s="10" t="n">
        <v>3.193019249608817</v>
      </c>
      <c r="AJ42" s="10" t="n">
        <v>3.213185889385074</v>
      </c>
      <c r="AK42" s="10" t="n">
        <v>3.232191043240074</v>
      </c>
    </row>
    <row r="43">
      <c r="A43" s="9" t="n">
        <v>-82</v>
      </c>
      <c r="B43" s="7" t="n">
        <v>41374</v>
      </c>
      <c r="C43" s="10" t="n">
        <v>1.50926231430316</v>
      </c>
      <c r="D43" s="10" t="n">
        <v>1.617642882471452</v>
      </c>
      <c r="E43" s="10" t="n">
        <v>1.721333562943268</v>
      </c>
      <c r="F43" s="10" t="n">
        <v>1.82020885118671</v>
      </c>
      <c r="G43" s="10" t="n">
        <v>1.914255406120254</v>
      </c>
      <c r="H43" s="10" t="n">
        <v>2.00353325787655</v>
      </c>
      <c r="I43" s="10" t="n">
        <v>2.088158514655729</v>
      </c>
      <c r="J43" s="10" t="n">
        <v>2.168291171841174</v>
      </c>
      <c r="K43" s="10" t="n">
        <v>2.244125967642089</v>
      </c>
      <c r="L43" s="10" t="n">
        <v>2.315883125659192</v>
      </c>
      <c r="M43" s="10" t="n">
        <v>2.383788455372679</v>
      </c>
      <c r="N43" s="10" t="n">
        <v>2.44806246605251</v>
      </c>
      <c r="O43" s="10" t="n">
        <v>2.508920812389108</v>
      </c>
      <c r="P43" s="10" t="n">
        <v>2.566575131489833</v>
      </c>
      <c r="Q43" s="10" t="n">
        <v>2.621233545525921</v>
      </c>
      <c r="R43" s="10" t="n">
        <v>2.673095766641464</v>
      </c>
      <c r="S43" s="10" t="n">
        <v>2.722343463550482</v>
      </c>
      <c r="T43" s="10" t="n">
        <v>2.769140276526638</v>
      </c>
      <c r="U43" s="10" t="n">
        <v>2.813633696318071</v>
      </c>
      <c r="V43" s="10" t="n">
        <v>2.855957205148889</v>
      </c>
      <c r="W43" s="10" t="n">
        <v>2.896232199181441</v>
      </c>
      <c r="X43" s="10" t="n">
        <v>2.934568829112876</v>
      </c>
      <c r="Y43" s="10" t="n">
        <v>2.971065825271124</v>
      </c>
      <c r="Z43" s="10" t="n">
        <v>3.005811593602593</v>
      </c>
      <c r="AA43" s="10" t="n">
        <v>3.038885597542433</v>
      </c>
      <c r="AB43" s="10" t="n">
        <v>3.070359639475699</v>
      </c>
      <c r="AC43" s="10" t="n">
        <v>3.100298814784214</v>
      </c>
      <c r="AD43" s="10" t="n">
        <v>3.128762291923166</v>
      </c>
      <c r="AE43" s="10" t="n">
        <v>3.155804042278797</v>
      </c>
      <c r="AF43" s="10" t="n">
        <v>3.181473809394541</v>
      </c>
      <c r="AG43" s="10" t="n">
        <v>3.205817841122431</v>
      </c>
      <c r="AH43" s="10" t="n">
        <v>3.228879270785074</v>
      </c>
      <c r="AI43" s="10" t="n">
        <v>3.250698402119417</v>
      </c>
      <c r="AJ43" s="10" t="n">
        <v>3.271312970661144</v>
      </c>
      <c r="AK43" s="10" t="n">
        <v>3.290758399072291</v>
      </c>
    </row>
    <row r="44">
      <c r="A44" s="9" t="n">
        <v>-81</v>
      </c>
      <c r="B44" s="7" t="n">
        <v>41375</v>
      </c>
      <c r="C44" s="10" t="n">
        <v>1.494013682504398</v>
      </c>
      <c r="D44" s="10" t="n">
        <v>1.602232365365657</v>
      </c>
      <c r="E44" s="10" t="n">
        <v>1.705870008785606</v>
      </c>
      <c r="F44" s="10" t="n">
        <v>1.804837080453884</v>
      </c>
      <c r="G44" s="10" t="n">
        <v>1.899147091046861</v>
      </c>
      <c r="H44" s="10" t="n">
        <v>1.988875929256008</v>
      </c>
      <c r="I44" s="10" t="n">
        <v>2.074146871730521</v>
      </c>
      <c r="J44" s="10" t="n">
        <v>2.155120281347389</v>
      </c>
      <c r="K44" s="10" t="n">
        <v>2.23198587948284</v>
      </c>
      <c r="L44" s="10" t="n">
        <v>2.304954382736585</v>
      </c>
      <c r="M44" s="10" t="n">
        <v>2.374237514072346</v>
      </c>
      <c r="N44" s="10" t="n">
        <v>2.440037463624754</v>
      </c>
      <c r="O44" s="10" t="n">
        <v>2.502548074303341</v>
      </c>
      <c r="P44" s="10" t="n">
        <v>2.561956280969284</v>
      </c>
      <c r="Q44" s="10" t="n">
        <v>2.618443108471821</v>
      </c>
      <c r="R44" s="10" t="n">
        <v>2.672179720682869</v>
      </c>
      <c r="S44" s="10" t="n">
        <v>2.723319273464438</v>
      </c>
      <c r="T44" s="10" t="n">
        <v>2.771998013633201</v>
      </c>
      <c r="U44" s="10" t="n">
        <v>2.818338602071254</v>
      </c>
      <c r="V44" s="10" t="n">
        <v>2.862452235686681</v>
      </c>
      <c r="W44" s="10" t="n">
        <v>2.904440240430484</v>
      </c>
      <c r="X44" s="10" t="n">
        <v>2.944395408944463</v>
      </c>
      <c r="Y44" s="10" t="n">
        <v>2.982403131066401</v>
      </c>
      <c r="Z44" s="10" t="n">
        <v>3.018542346660295</v>
      </c>
      <c r="AA44" s="10" t="n">
        <v>3.05288642019543</v>
      </c>
      <c r="AB44" s="10" t="n">
        <v>3.085503959285604</v>
      </c>
      <c r="AC44" s="10" t="n">
        <v>3.116459411078889</v>
      </c>
      <c r="AD44" s="10" t="n">
        <v>3.145813546165757</v>
      </c>
      <c r="AE44" s="10" t="n">
        <v>3.173623915235968</v>
      </c>
      <c r="AF44" s="10" t="n">
        <v>3.199945473151529</v>
      </c>
      <c r="AG44" s="10" t="n">
        <v>3.224831044168378</v>
      </c>
      <c r="AH44" s="10" t="n">
        <v>3.248331480633391</v>
      </c>
      <c r="AI44" s="10" t="n">
        <v>3.270495338103685</v>
      </c>
      <c r="AJ44" s="10" t="n">
        <v>3.291368746796675</v>
      </c>
      <c r="AK44" s="10" t="n">
        <v>3.31099563467458</v>
      </c>
    </row>
    <row r="45">
      <c r="A45" s="9" t="n">
        <v>-80</v>
      </c>
      <c r="B45" s="7" t="n">
        <v>41376</v>
      </c>
      <c r="C45" s="10" t="n">
        <v>1.455988474552541</v>
      </c>
      <c r="D45" s="10" t="n">
        <v>1.563696073577217</v>
      </c>
      <c r="E45" s="10" t="n">
        <v>1.667044578244319</v>
      </c>
      <c r="F45" s="10" t="n">
        <v>1.765932108711634</v>
      </c>
      <c r="G45" s="10" t="n">
        <v>1.860357498704189</v>
      </c>
      <c r="H45" s="10" t="n">
        <v>1.950380616465</v>
      </c>
      <c r="I45" s="10" t="n">
        <v>2.036107739976179</v>
      </c>
      <c r="J45" s="10" t="n">
        <v>2.117681467885222</v>
      </c>
      <c r="K45" s="10" t="n">
        <v>2.195273150834635</v>
      </c>
      <c r="L45" s="10" t="n">
        <v>2.269074720242656</v>
      </c>
      <c r="M45" s="10" t="n">
        <v>2.33927989129614</v>
      </c>
      <c r="N45" s="10" t="n">
        <v>2.406074541612633</v>
      </c>
      <c r="O45" s="10" t="n">
        <v>2.469637672384294</v>
      </c>
      <c r="P45" s="10" t="n">
        <v>2.530142593968488</v>
      </c>
      <c r="Q45" s="10" t="n">
        <v>2.587757716238429</v>
      </c>
      <c r="R45" s="10" t="n">
        <v>2.642642605011931</v>
      </c>
      <c r="S45" s="10" t="n">
        <v>2.69494034999898</v>
      </c>
      <c r="T45" s="10" t="n">
        <v>2.744778690510352</v>
      </c>
      <c r="U45" s="10" t="n">
        <v>2.792273159109575</v>
      </c>
      <c r="V45" s="10" t="n">
        <v>2.837529009194139</v>
      </c>
      <c r="W45" s="10" t="n">
        <v>2.880642644898519</v>
      </c>
      <c r="X45" s="10" t="n">
        <v>2.921702869770569</v>
      </c>
      <c r="Y45" s="10" t="n">
        <v>2.96079199188037</v>
      </c>
      <c r="Z45" s="10" t="n">
        <v>2.997986678267918</v>
      </c>
      <c r="AA45" s="10" t="n">
        <v>3.033358641115755</v>
      </c>
      <c r="AB45" s="10" t="n">
        <v>3.066975204762239</v>
      </c>
      <c r="AC45" s="10" t="n">
        <v>3.098899820301249</v>
      </c>
      <c r="AD45" s="10" t="n">
        <v>3.129192515949091</v>
      </c>
      <c r="AE45" s="10" t="n">
        <v>3.157910315360863</v>
      </c>
      <c r="AF45" s="10" t="n">
        <v>3.185107763961013</v>
      </c>
      <c r="AG45" s="10" t="n">
        <v>3.210837325952078</v>
      </c>
      <c r="AH45" s="10" t="n">
        <v>3.235149536946066</v>
      </c>
      <c r="AI45" s="10" t="n">
        <v>3.258092713924851</v>
      </c>
      <c r="AJ45" s="10" t="n">
        <v>3.27971285749921</v>
      </c>
      <c r="AK45" s="10" t="n">
        <v>3.300053867105622</v>
      </c>
    </row>
    <row r="46">
      <c r="A46" s="9" t="n">
        <v>-79</v>
      </c>
      <c r="B46" s="7" t="n">
        <v>41379</v>
      </c>
      <c r="C46" s="10" t="n">
        <v>1.43636051234625</v>
      </c>
      <c r="D46" s="10" t="n">
        <v>1.543616629088779</v>
      </c>
      <c r="E46" s="10" t="n">
        <v>1.646620300387526</v>
      </c>
      <c r="F46" s="10" t="n">
        <v>1.745247092670214</v>
      </c>
      <c r="G46" s="10" t="n">
        <v>1.839474877391617</v>
      </c>
      <c r="H46" s="10" t="n">
        <v>1.929345337316161</v>
      </c>
      <c r="I46" s="10" t="n">
        <v>2.014948796842162</v>
      </c>
      <c r="J46" s="10" t="n">
        <v>2.096413647733602</v>
      </c>
      <c r="K46" s="10" t="n">
        <v>2.173898416560366</v>
      </c>
      <c r="L46" s="10" t="n">
        <v>2.247583536715403</v>
      </c>
      <c r="M46" s="10" t="n">
        <v>2.317653836753707</v>
      </c>
      <c r="N46" s="10" t="n">
        <v>2.384289499123461</v>
      </c>
      <c r="O46" s="10" t="n">
        <v>2.447666508870143</v>
      </c>
      <c r="P46" s="10" t="n">
        <v>2.507957377326661</v>
      </c>
      <c r="Q46" s="10" t="n">
        <v>2.5653315702419</v>
      </c>
      <c r="R46" s="10" t="n">
        <v>2.619951580583369</v>
      </c>
      <c r="S46" s="10" t="n">
        <v>2.671965688222772</v>
      </c>
      <c r="T46" s="10" t="n">
        <v>2.721508320851864</v>
      </c>
      <c r="U46" s="10" t="n">
        <v>2.768701844511561</v>
      </c>
      <c r="V46" s="10" t="n">
        <v>2.813658237561256</v>
      </c>
      <c r="W46" s="10" t="n">
        <v>2.85648052063093</v>
      </c>
      <c r="X46" s="10" t="n">
        <v>2.897263569859856</v>
      </c>
      <c r="Y46" s="10" t="n">
        <v>2.93609440827549</v>
      </c>
      <c r="Z46" s="10" t="n">
        <v>2.973053049482017</v>
      </c>
      <c r="AA46" s="10" t="n">
        <v>3.008213383659201</v>
      </c>
      <c r="AB46" s="10" t="n">
        <v>3.041643944388241</v>
      </c>
      <c r="AC46" s="10" t="n">
        <v>3.073408550468553</v>
      </c>
      <c r="AD46" s="10" t="n">
        <v>3.103566854188537</v>
      </c>
      <c r="AE46" s="10" t="n">
        <v>3.132174860571542</v>
      </c>
      <c r="AF46" s="10" t="n">
        <v>3.159285628499642</v>
      </c>
      <c r="AG46" s="10" t="n">
        <v>3.184949784834294</v>
      </c>
      <c r="AH46" s="10" t="n">
        <v>3.209215749662822</v>
      </c>
      <c r="AI46" s="10" t="n">
        <v>3.232129688518892</v>
      </c>
      <c r="AJ46" s="10" t="n">
        <v>3.253735561306212</v>
      </c>
      <c r="AK46" s="10" t="n">
        <v>3.274075333843279</v>
      </c>
    </row>
    <row r="47">
      <c r="A47" s="9" t="n">
        <v>-78</v>
      </c>
      <c r="B47" s="7" t="n">
        <v>41380</v>
      </c>
      <c r="C47" s="10" t="n">
        <v>1.463073796381689</v>
      </c>
      <c r="D47" s="10" t="n">
        <v>1.570212273676728</v>
      </c>
      <c r="E47" s="10" t="n">
        <v>1.673013756231712</v>
      </c>
      <c r="F47" s="10" t="n">
        <v>1.771367538700927</v>
      </c>
      <c r="G47" s="10" t="n">
        <v>1.865263834068526</v>
      </c>
      <c r="H47" s="10" t="n">
        <v>1.954755419504651</v>
      </c>
      <c r="I47" s="10" t="n">
        <v>2.039942752521157</v>
      </c>
      <c r="J47" s="10" t="n">
        <v>2.120963605679938</v>
      </c>
      <c r="K47" s="10" t="n">
        <v>2.197985290520445</v>
      </c>
      <c r="L47" s="10" t="n">
        <v>2.271196470260589</v>
      </c>
      <c r="M47" s="10" t="n">
        <v>2.340789477234286</v>
      </c>
      <c r="N47" s="10" t="n">
        <v>2.406951334422061</v>
      </c>
      <c r="O47" s="10" t="n">
        <v>2.469864326517285</v>
      </c>
      <c r="P47" s="10" t="n">
        <v>2.529706816872239</v>
      </c>
      <c r="Q47" s="10" t="n">
        <v>2.586653740940453</v>
      </c>
      <c r="R47" s="10" t="n">
        <v>2.640872568576959</v>
      </c>
      <c r="S47" s="10" t="n">
        <v>2.692515915866563</v>
      </c>
      <c r="T47" s="10" t="n">
        <v>2.741721850426008</v>
      </c>
      <c r="U47" s="10" t="n">
        <v>2.788615538380161</v>
      </c>
      <c r="V47" s="10" t="n">
        <v>2.833310989628418</v>
      </c>
      <c r="W47" s="10" t="n">
        <v>2.875912588877165</v>
      </c>
      <c r="X47" s="10" t="n">
        <v>2.916515837673729</v>
      </c>
      <c r="Y47" s="10" t="n">
        <v>2.95520743921232</v>
      </c>
      <c r="Z47" s="10" t="n">
        <v>2.992066204011037</v>
      </c>
      <c r="AA47" s="10" t="n">
        <v>3.027164086690069</v>
      </c>
      <c r="AB47" s="10" t="n">
        <v>3.060567119281988</v>
      </c>
      <c r="AC47" s="10" t="n">
        <v>3.092336136023157</v>
      </c>
      <c r="AD47" s="10" t="n">
        <v>3.122527377852022</v>
      </c>
      <c r="AE47" s="10" t="n">
        <v>3.151193081353847</v>
      </c>
      <c r="AF47" s="10" t="n">
        <v>3.17838235034546</v>
      </c>
      <c r="AG47" s="10" t="n">
        <v>3.204141772689158</v>
      </c>
      <c r="AH47" s="10" t="n">
        <v>3.228515692953228</v>
      </c>
      <c r="AI47" s="10" t="n">
        <v>3.251546391590791</v>
      </c>
      <c r="AJ47" s="10" t="n">
        <v>3.27327426043439</v>
      </c>
      <c r="AK47" s="10" t="n">
        <v>3.293737989841397</v>
      </c>
    </row>
    <row r="48">
      <c r="A48" s="9" t="n">
        <v>-77</v>
      </c>
      <c r="B48" s="7" t="n">
        <v>41381</v>
      </c>
      <c r="C48" s="10" t="n">
        <v>1.414026042687255</v>
      </c>
      <c r="D48" s="10" t="n">
        <v>1.52023798531621</v>
      </c>
      <c r="E48" s="10" t="n">
        <v>1.622366496364092</v>
      </c>
      <c r="F48" s="10" t="n">
        <v>1.720275722131042</v>
      </c>
      <c r="G48" s="10" t="n">
        <v>1.813931320603308</v>
      </c>
      <c r="H48" s="10" t="n">
        <v>1.9033637213515</v>
      </c>
      <c r="I48" s="10" t="n">
        <v>1.988652829763367</v>
      </c>
      <c r="J48" s="10" t="n">
        <v>2.069917271431379</v>
      </c>
      <c r="K48" s="10" t="n">
        <v>2.147306323235774</v>
      </c>
      <c r="L48" s="10" t="n">
        <v>2.220991588554197</v>
      </c>
      <c r="M48" s="10" t="n">
        <v>2.291149819330578</v>
      </c>
      <c r="N48" s="10" t="n">
        <v>2.357954180616957</v>
      </c>
      <c r="O48" s="10" t="n">
        <v>2.42157454425023</v>
      </c>
      <c r="P48" s="10" t="n">
        <v>2.482178056647864</v>
      </c>
      <c r="Q48" s="10" t="n">
        <v>2.539929418944775</v>
      </c>
      <c r="R48" s="10" t="n">
        <v>2.594986395443174</v>
      </c>
      <c r="S48" s="10" t="n">
        <v>2.647491910969958</v>
      </c>
      <c r="T48" s="10" t="n">
        <v>2.697574543351687</v>
      </c>
      <c r="U48" s="10" t="n">
        <v>2.745350616785932</v>
      </c>
      <c r="V48" s="10" t="n">
        <v>2.790925949999267</v>
      </c>
      <c r="W48" s="10" t="n">
        <v>2.834397302268338</v>
      </c>
      <c r="X48" s="10" t="n">
        <v>2.875853204387053</v>
      </c>
      <c r="Y48" s="10" t="n">
        <v>2.915374287443756</v>
      </c>
      <c r="Z48" s="10" t="n">
        <v>2.953034143947473</v>
      </c>
      <c r="AA48" s="10" t="n">
        <v>2.988900266507807</v>
      </c>
      <c r="AB48" s="10" t="n">
        <v>3.023034903637393</v>
      </c>
      <c r="AC48" s="10" t="n">
        <v>3.055495706440515</v>
      </c>
      <c r="AD48" s="10" t="n">
        <v>3.08633626331784</v>
      </c>
      <c r="AE48" s="10" t="n">
        <v>3.11560664270218</v>
      </c>
      <c r="AF48" s="10" t="n">
        <v>3.143354293132084</v>
      </c>
      <c r="AG48" s="10" t="n">
        <v>3.169624653699791</v>
      </c>
      <c r="AH48" s="10" t="n">
        <v>3.194461380613252</v>
      </c>
      <c r="AI48" s="10" t="n">
        <v>3.217906514470525</v>
      </c>
      <c r="AJ48" s="10" t="n">
        <v>3.240000633371292</v>
      </c>
      <c r="AK48" s="10" t="n">
        <v>3.260782998603357</v>
      </c>
    </row>
    <row r="49">
      <c r="A49" s="9" t="n">
        <v>-76</v>
      </c>
      <c r="B49" s="7" t="n">
        <v>41382</v>
      </c>
      <c r="C49" s="10" t="n">
        <v>1.388934577815079</v>
      </c>
      <c r="D49" s="10" t="n">
        <v>1.493948843469</v>
      </c>
      <c r="E49" s="10" t="n">
        <v>1.595115737819974</v>
      </c>
      <c r="F49" s="10" t="n">
        <v>1.692278898190406</v>
      </c>
      <c r="G49" s="10" t="n">
        <v>1.785378216107939</v>
      </c>
      <c r="H49" s="10" t="n">
        <v>1.874418393714519</v>
      </c>
      <c r="I49" s="10" t="n">
        <v>1.959453831290532</v>
      </c>
      <c r="J49" s="10" t="n">
        <v>2.040577823311665</v>
      </c>
      <c r="K49" s="10" t="n">
        <v>2.117914453609671</v>
      </c>
      <c r="L49" s="10" t="n">
        <v>2.191610716943318</v>
      </c>
      <c r="M49" s="10" t="n">
        <v>2.261822154833358</v>
      </c>
      <c r="N49" s="10" t="n">
        <v>2.328705329927354</v>
      </c>
      <c r="O49" s="10" t="n">
        <v>2.392417383840282</v>
      </c>
      <c r="P49" s="10" t="n">
        <v>2.453115937332566</v>
      </c>
      <c r="Q49" s="10" t="n">
        <v>2.510958854700516</v>
      </c>
      <c r="R49" s="10" t="n">
        <v>2.566099925217426</v>
      </c>
      <c r="S49" s="10" t="n">
        <v>2.618681701773966</v>
      </c>
      <c r="T49" s="10" t="n">
        <v>2.668835086242638</v>
      </c>
      <c r="U49" s="10" t="n">
        <v>2.716679889373001</v>
      </c>
      <c r="V49" s="10" t="n">
        <v>2.762326190978404</v>
      </c>
      <c r="W49" s="10" t="n">
        <v>2.805875660345004</v>
      </c>
      <c r="X49" s="10" t="n">
        <v>2.84742179367622</v>
      </c>
      <c r="Y49" s="10" t="n">
        <v>2.887049286677114</v>
      </c>
      <c r="Z49" s="10" t="n">
        <v>2.924834818506791</v>
      </c>
      <c r="AA49" s="10" t="n">
        <v>2.960847998142967</v>
      </c>
      <c r="AB49" s="10" t="n">
        <v>2.995152124663983</v>
      </c>
      <c r="AC49" s="10" t="n">
        <v>3.027804918310668</v>
      </c>
      <c r="AD49" s="10" t="n">
        <v>3.058859169203625</v>
      </c>
      <c r="AE49" s="10" t="n">
        <v>3.088363385117566</v>
      </c>
      <c r="AF49" s="10" t="n">
        <v>3.116362809002696</v>
      </c>
      <c r="AG49" s="10" t="n">
        <v>3.142900116390356</v>
      </c>
      <c r="AH49" s="10" t="n">
        <v>3.16801574699336</v>
      </c>
      <c r="AI49" s="10" t="n">
        <v>3.191748397384907</v>
      </c>
      <c r="AJ49" s="10" t="n">
        <v>3.214135362359684</v>
      </c>
      <c r="AK49" s="10" t="n">
        <v>3.235212682805277</v>
      </c>
    </row>
    <row r="50">
      <c r="A50" s="9" t="n">
        <v>-75</v>
      </c>
      <c r="B50" s="7" t="n">
        <v>41383</v>
      </c>
      <c r="C50" s="10" t="n">
        <v>1.394797627516019</v>
      </c>
      <c r="D50" s="10" t="n">
        <v>1.498750381723053</v>
      </c>
      <c r="E50" s="10" t="n">
        <v>1.599068662233872</v>
      </c>
      <c r="F50" s="10" t="n">
        <v>1.695580331009746</v>
      </c>
      <c r="G50" s="10" t="n">
        <v>1.788204997828068</v>
      </c>
      <c r="H50" s="10" t="n">
        <v>1.876927180831075</v>
      </c>
      <c r="I50" s="10" t="n">
        <v>1.961781348329965</v>
      </c>
      <c r="J50" s="10" t="n">
        <v>2.04284106007252</v>
      </c>
      <c r="K50" s="10" t="n">
        <v>2.120210821097496</v>
      </c>
      <c r="L50" s="10" t="n">
        <v>2.194018380649684</v>
      </c>
      <c r="M50" s="10" t="n">
        <v>2.264401876368109</v>
      </c>
      <c r="N50" s="10" t="n">
        <v>2.33150308314407</v>
      </c>
      <c r="O50" s="10" t="n">
        <v>2.395466564575325</v>
      </c>
      <c r="P50" s="10" t="n">
        <v>2.456439192154633</v>
      </c>
      <c r="Q50" s="10" t="n">
        <v>2.514569604615408</v>
      </c>
      <c r="R50" s="10" t="n">
        <v>2.570003897079177</v>
      </c>
      <c r="S50" s="10" t="n">
        <v>2.622878930120124</v>
      </c>
      <c r="T50" s="10" t="n">
        <v>2.673321549220162</v>
      </c>
      <c r="U50" s="10" t="n">
        <v>2.721448490662575</v>
      </c>
      <c r="V50" s="10" t="n">
        <v>2.767367533020293</v>
      </c>
      <c r="W50" s="10" t="n">
        <v>2.811178704441577</v>
      </c>
      <c r="X50" s="10" t="n">
        <v>2.852974329874262</v>
      </c>
      <c r="Y50" s="10" t="n">
        <v>2.892838218047947</v>
      </c>
      <c r="Z50" s="10" t="n">
        <v>2.930846401750939</v>
      </c>
      <c r="AA50" s="10" t="n">
        <v>2.967068132636428</v>
      </c>
      <c r="AB50" s="10" t="n">
        <v>3.001566750745976</v>
      </c>
      <c r="AC50" s="10" t="n">
        <v>3.034400396329971</v>
      </c>
      <c r="AD50" s="10" t="n">
        <v>3.065622614596246</v>
      </c>
      <c r="AE50" s="10" t="n">
        <v>3.09528297840321</v>
      </c>
      <c r="AF50" s="10" t="n">
        <v>3.123428125541828</v>
      </c>
      <c r="AG50" s="10" t="n">
        <v>3.150102441234782</v>
      </c>
      <c r="AH50" s="10" t="n">
        <v>3.17534832952356</v>
      </c>
      <c r="AI50" s="10" t="n">
        <v>3.199206510809183</v>
      </c>
      <c r="AJ50" s="10" t="n">
        <v>3.221716248999166</v>
      </c>
      <c r="AK50" s="10" t="n">
        <v>3.242915499615987</v>
      </c>
    </row>
    <row r="51">
      <c r="A51" s="9" t="n">
        <v>-74</v>
      </c>
      <c r="B51" s="7" t="n">
        <v>41386</v>
      </c>
      <c r="C51" s="10" t="n">
        <v>1.386020872209829</v>
      </c>
      <c r="D51" s="10" t="n">
        <v>1.489574519336527</v>
      </c>
      <c r="E51" s="10" t="n">
        <v>1.589548923435069</v>
      </c>
      <c r="F51" s="10" t="n">
        <v>1.685768868254679</v>
      </c>
      <c r="G51" s="10" t="n">
        <v>1.778149236600929</v>
      </c>
      <c r="H51" s="10" t="n">
        <v>1.866670051039393</v>
      </c>
      <c r="I51" s="10" t="n">
        <v>1.951361530016234</v>
      </c>
      <c r="J51" s="10" t="n">
        <v>2.03229317571025</v>
      </c>
      <c r="K51" s="10" t="n">
        <v>2.109565587773517</v>
      </c>
      <c r="L51" s="10" t="n">
        <v>2.183302805883717</v>
      </c>
      <c r="M51" s="10" t="n">
        <v>2.25363993911643</v>
      </c>
      <c r="N51" s="10" t="n">
        <v>2.320716643766074</v>
      </c>
      <c r="O51" s="10" t="n">
        <v>2.384676130560039</v>
      </c>
      <c r="P51" s="10" t="n">
        <v>2.445664551825424</v>
      </c>
      <c r="Q51" s="10" t="n">
        <v>2.503830348876897</v>
      </c>
      <c r="R51" s="10" t="n">
        <v>2.55931977874342</v>
      </c>
      <c r="S51" s="10" t="n">
        <v>2.612270108466523</v>
      </c>
      <c r="T51" s="10" t="n">
        <v>2.662808625684751</v>
      </c>
      <c r="U51" s="10" t="n">
        <v>2.711052241204613</v>
      </c>
      <c r="V51" s="10" t="n">
        <v>2.757108627730706</v>
      </c>
      <c r="W51" s="10" t="n">
        <v>2.801077459984586</v>
      </c>
      <c r="X51" s="10" t="n">
        <v>2.843050352704098</v>
      </c>
      <c r="Y51" s="10" t="n">
        <v>2.883109859059746</v>
      </c>
      <c r="Z51" s="10" t="n">
        <v>2.921330244884228</v>
      </c>
      <c r="AA51" s="10" t="n">
        <v>2.957778652164747</v>
      </c>
      <c r="AB51" s="10" t="n">
        <v>2.99251619593171</v>
      </c>
      <c r="AC51" s="10" t="n">
        <v>3.025598724349391</v>
      </c>
      <c r="AD51" s="10" t="n">
        <v>3.057077431374123</v>
      </c>
      <c r="AE51" s="10" t="n">
        <v>3.086999512449027</v>
      </c>
      <c r="AF51" s="10" t="n">
        <v>3.115409349807411</v>
      </c>
      <c r="AG51" s="10" t="n">
        <v>3.142349264854907</v>
      </c>
      <c r="AH51" s="10" t="n">
        <v>3.167859783276856</v>
      </c>
      <c r="AI51" s="10" t="n">
        <v>3.191979974591896</v>
      </c>
      <c r="AJ51" s="10" t="n">
        <v>3.214747692216235</v>
      </c>
      <c r="AK51" s="10" t="n">
        <v>3.236199699060183</v>
      </c>
    </row>
    <row r="52">
      <c r="A52" s="9" t="n">
        <v>-73</v>
      </c>
      <c r="B52" s="7" t="n">
        <v>41387</v>
      </c>
      <c r="C52" s="10" t="n">
        <v>1.449116959455548</v>
      </c>
      <c r="D52" s="10" t="n">
        <v>1.553358964564797</v>
      </c>
      <c r="E52" s="10" t="n">
        <v>1.653737428541102</v>
      </c>
      <c r="F52" s="10" t="n">
        <v>1.750116253523132</v>
      </c>
      <c r="G52" s="10" t="n">
        <v>1.84245146736504</v>
      </c>
      <c r="H52" s="10" t="n">
        <v>1.930761742759999</v>
      </c>
      <c r="I52" s="10" t="n">
        <v>2.015113865779979</v>
      </c>
      <c r="J52" s="10" t="n">
        <v>2.09561227644557</v>
      </c>
      <c r="K52" s="10" t="n">
        <v>2.172391220712842</v>
      </c>
      <c r="L52" s="10" t="n">
        <v>2.245606648201076</v>
      </c>
      <c r="M52" s="10" t="n">
        <v>2.315420494687812</v>
      </c>
      <c r="N52" s="10" t="n">
        <v>2.381993086211469</v>
      </c>
      <c r="O52" s="10" t="n">
        <v>2.445483169462675</v>
      </c>
      <c r="P52" s="10" t="n">
        <v>2.506048184085607</v>
      </c>
      <c r="Q52" s="10" t="n">
        <v>2.563844291864406</v>
      </c>
      <c r="R52" s="10" t="n">
        <v>2.61902191011199</v>
      </c>
      <c r="S52" s="10" t="n">
        <v>2.671718594560479</v>
      </c>
      <c r="T52" s="10" t="n">
        <v>2.722059022249922</v>
      </c>
      <c r="U52" s="10" t="n">
        <v>2.770155956499934</v>
      </c>
      <c r="V52" s="10" t="n">
        <v>2.816111780297105</v>
      </c>
      <c r="W52" s="10" t="n">
        <v>2.86001990883041</v>
      </c>
      <c r="X52" s="10" t="n">
        <v>2.901965236998731</v>
      </c>
      <c r="Y52" s="10" t="n">
        <v>2.942023897836423</v>
      </c>
      <c r="Z52" s="10" t="n">
        <v>2.980264139518788</v>
      </c>
      <c r="AA52" s="10" t="n">
        <v>3.01674755280854</v>
      </c>
      <c r="AB52" s="10" t="n">
        <v>3.051530308156523</v>
      </c>
      <c r="AC52" s="10" t="n">
        <v>3.084663879275924</v>
      </c>
      <c r="AD52" s="10" t="n">
        <v>3.116195589608552</v>
      </c>
      <c r="AE52" s="10" t="n">
        <v>3.146169231498238</v>
      </c>
      <c r="AF52" s="10" t="n">
        <v>3.174626308590492</v>
      </c>
      <c r="AG52" s="10" t="n">
        <v>3.201606790791713</v>
      </c>
      <c r="AH52" s="10" t="n">
        <v>3.227149321972618</v>
      </c>
      <c r="AI52" s="10" t="n">
        <v>3.251291488274865</v>
      </c>
      <c r="AJ52" s="10" t="n">
        <v>3.274070003196665</v>
      </c>
      <c r="AK52" s="10" t="n">
        <v>3.295520798154294</v>
      </c>
    </row>
    <row r="53">
      <c r="A53" s="9" t="n">
        <v>-72</v>
      </c>
      <c r="B53" s="7" t="n">
        <v>41388</v>
      </c>
      <c r="C53" s="10" t="n">
        <v>1.42245287209487</v>
      </c>
      <c r="D53" s="10" t="n">
        <v>1.526826818672943</v>
      </c>
      <c r="E53" s="10" t="n">
        <v>1.627351079388461</v>
      </c>
      <c r="F53" s="10" t="n">
        <v>1.723893752035107</v>
      </c>
      <c r="G53" s="10" t="n">
        <v>1.816415099475916</v>
      </c>
      <c r="H53" s="10" t="n">
        <v>1.9049370274344</v>
      </c>
      <c r="I53" s="10" t="n">
        <v>1.989528748594796</v>
      </c>
      <c r="J53" s="10" t="n">
        <v>2.070296498480175</v>
      </c>
      <c r="K53" s="10" t="n">
        <v>2.147375818341998</v>
      </c>
      <c r="L53" s="10" t="n">
        <v>2.220923364190365</v>
      </c>
      <c r="M53" s="10" t="n">
        <v>2.291100460484598</v>
      </c>
      <c r="N53" s="10" t="n">
        <v>2.358065358309662</v>
      </c>
      <c r="O53" s="10" t="n">
        <v>2.42197351709411</v>
      </c>
      <c r="P53" s="10" t="n">
        <v>2.482978085930153</v>
      </c>
      <c r="Q53" s="10" t="n">
        <v>2.541230096900386</v>
      </c>
      <c r="R53" s="10" t="n">
        <v>2.596874153019427</v>
      </c>
      <c r="S53" s="10" t="n">
        <v>2.65004155586157</v>
      </c>
      <c r="T53" s="10" t="n">
        <v>2.700850646593343</v>
      </c>
      <c r="U53" s="10" t="n">
        <v>2.749408220949629</v>
      </c>
      <c r="V53" s="10" t="n">
        <v>2.795811090897747</v>
      </c>
      <c r="W53" s="10" t="n">
        <v>2.84014745322563</v>
      </c>
      <c r="X53" s="10" t="n">
        <v>2.882497589604681</v>
      </c>
      <c r="Y53" s="10" t="n">
        <v>2.922934090509477</v>
      </c>
      <c r="Z53" s="10" t="n">
        <v>2.961522699427197</v>
      </c>
      <c r="AA53" s="10" t="n">
        <v>2.998323407082825</v>
      </c>
      <c r="AB53" s="10" t="n">
        <v>3.033391566647497</v>
      </c>
      <c r="AC53" s="10" t="n">
        <v>3.066778520940729</v>
      </c>
      <c r="AD53" s="10" t="n">
        <v>3.09853206907387</v>
      </c>
      <c r="AE53" s="10" t="n">
        <v>3.128697009672016</v>
      </c>
      <c r="AF53" s="10" t="n">
        <v>3.157316272434881</v>
      </c>
      <c r="AG53" s="10" t="n">
        <v>3.184431590867164</v>
      </c>
      <c r="AH53" s="10" t="n">
        <v>3.210083646284824</v>
      </c>
      <c r="AI53" s="10" t="n">
        <v>3.234312159941357</v>
      </c>
      <c r="AJ53" s="10" t="n">
        <v>3.257155980758921</v>
      </c>
      <c r="AK53" s="10" t="n">
        <v>3.278653172132641</v>
      </c>
    </row>
    <row r="54">
      <c r="A54" s="9" t="n">
        <v>-71</v>
      </c>
      <c r="B54" s="7" t="n">
        <v>41389</v>
      </c>
      <c r="C54" s="10" t="n">
        <v>1.464204961755749</v>
      </c>
      <c r="D54" s="10" t="n">
        <v>1.56901487040599</v>
      </c>
      <c r="E54" s="10" t="n">
        <v>1.6697390888032</v>
      </c>
      <c r="F54" s="10" t="n">
        <v>1.76625759299291</v>
      </c>
      <c r="G54" s="10" t="n">
        <v>1.858544583715936</v>
      </c>
      <c r="H54" s="10" t="n">
        <v>1.946637618724539</v>
      </c>
      <c r="I54" s="10" t="n">
        <v>2.030622902363569</v>
      </c>
      <c r="J54" s="10" t="n">
        <v>2.110624710224255</v>
      </c>
      <c r="K54" s="10" t="n">
        <v>2.18679745305586</v>
      </c>
      <c r="L54" s="10" t="n">
        <v>2.259317172804494</v>
      </c>
      <c r="M54" s="10" t="n">
        <v>2.328364398484502</v>
      </c>
      <c r="N54" s="10" t="n">
        <v>2.394116191920031</v>
      </c>
      <c r="O54" s="10" t="n">
        <v>2.456746495768029</v>
      </c>
      <c r="P54" s="10" t="n">
        <v>2.516426671305684</v>
      </c>
      <c r="Q54" s="10" t="n">
        <v>2.573325727288783</v>
      </c>
      <c r="R54" s="10" t="n">
        <v>2.627605909304486</v>
      </c>
      <c r="S54" s="10" t="n">
        <v>2.679415718670791</v>
      </c>
      <c r="T54" s="10" t="n">
        <v>2.728889666256373</v>
      </c>
      <c r="U54" s="10" t="n">
        <v>2.7761487435898</v>
      </c>
      <c r="V54" s="10" t="n">
        <v>2.821302073893872</v>
      </c>
      <c r="W54" s="10" t="n">
        <v>2.864448521428304</v>
      </c>
      <c r="X54" s="10" t="n">
        <v>2.905677097624568</v>
      </c>
      <c r="Y54" s="10" t="n">
        <v>2.945066551688692</v>
      </c>
      <c r="Z54" s="10" t="n">
        <v>2.982686389856851</v>
      </c>
      <c r="AA54" s="10" t="n">
        <v>3.018598398765687</v>
      </c>
      <c r="AB54" s="10" t="n">
        <v>3.052858218071829</v>
      </c>
      <c r="AC54" s="10" t="n">
        <v>3.085516185258339</v>
      </c>
      <c r="AD54" s="10" t="n">
        <v>3.116617952611557</v>
      </c>
      <c r="AE54" s="10" t="n">
        <v>3.146205195785944</v>
      </c>
      <c r="AF54" s="10" t="n">
        <v>3.174317042115393</v>
      </c>
      <c r="AG54" s="10" t="n">
        <v>3.200990921109976</v>
      </c>
      <c r="AH54" s="10" t="n">
        <v>3.226262818208995</v>
      </c>
      <c r="AI54" s="10" t="n">
        <v>3.250167700129155</v>
      </c>
      <c r="AJ54" s="10" t="n">
        <v>3.272739777887953</v>
      </c>
      <c r="AK54" s="10" t="n">
        <v>3.294012588908525</v>
      </c>
    </row>
    <row r="55">
      <c r="A55" s="9" t="n">
        <v>-70</v>
      </c>
      <c r="B55" s="7" t="n">
        <v>41390</v>
      </c>
      <c r="C55" s="10" t="n">
        <v>1.419103585457597</v>
      </c>
      <c r="D55" s="10" t="n">
        <v>1.522516813468415</v>
      </c>
      <c r="E55" s="10" t="n">
        <v>1.622086979353314</v>
      </c>
      <c r="F55" s="10" t="n">
        <v>1.717684720233048</v>
      </c>
      <c r="G55" s="10" t="n">
        <v>1.80927106534691</v>
      </c>
      <c r="H55" s="10" t="n">
        <v>1.89686856149561</v>
      </c>
      <c r="I55" s="10" t="n">
        <v>1.980547034277949</v>
      </c>
      <c r="J55" s="10" t="n">
        <v>2.060413310091233</v>
      </c>
      <c r="K55" s="10" t="n">
        <v>2.136603502082799</v>
      </c>
      <c r="L55" s="10" t="n">
        <v>2.209274688965841</v>
      </c>
      <c r="M55" s="10" t="n">
        <v>2.27858849742079</v>
      </c>
      <c r="N55" s="10" t="n">
        <v>2.344703706301312</v>
      </c>
      <c r="O55" s="10" t="n">
        <v>2.4077765206252</v>
      </c>
      <c r="P55" s="10" t="n">
        <v>2.467961015339185</v>
      </c>
      <c r="Q55" s="10" t="n">
        <v>2.525409253043971</v>
      </c>
      <c r="R55" s="10" t="n">
        <v>2.580266290665703</v>
      </c>
      <c r="S55" s="10" t="n">
        <v>2.63266270912532</v>
      </c>
      <c r="T55" s="10" t="n">
        <v>2.682715403309712</v>
      </c>
      <c r="U55" s="10" t="n">
        <v>2.730529636398783</v>
      </c>
      <c r="V55" s="10" t="n">
        <v>2.776200708908237</v>
      </c>
      <c r="W55" s="10" t="n">
        <v>2.819815330578005</v>
      </c>
      <c r="X55" s="10" t="n">
        <v>2.861452498486449</v>
      </c>
      <c r="Y55" s="10" t="n">
        <v>2.901184037194089</v>
      </c>
      <c r="Z55" s="10" t="n">
        <v>2.939075444189591</v>
      </c>
      <c r="AA55" s="10" t="n">
        <v>2.975186889046092</v>
      </c>
      <c r="AB55" s="10" t="n">
        <v>3.00957420739142</v>
      </c>
      <c r="AC55" s="10" t="n">
        <v>3.042289475942484</v>
      </c>
      <c r="AD55" s="10" t="n">
        <v>3.073381449879852</v>
      </c>
      <c r="AE55" s="10" t="n">
        <v>3.102896059486808</v>
      </c>
      <c r="AF55" s="10" t="n">
        <v>3.130877363864776</v>
      </c>
      <c r="AG55" s="10" t="n">
        <v>3.157368113066184</v>
      </c>
      <c r="AH55" s="10" t="n">
        <v>3.182409896433372</v>
      </c>
      <c r="AI55" s="10" t="n">
        <v>3.206043237234294</v>
      </c>
      <c r="AJ55" s="10" t="n">
        <v>3.228307686783844</v>
      </c>
      <c r="AK55" s="10" t="n">
        <v>3.249241921072032</v>
      </c>
    </row>
    <row r="56">
      <c r="A56" s="9" t="n">
        <v>-69</v>
      </c>
      <c r="B56" s="7" t="n">
        <v>41393</v>
      </c>
      <c r="C56" s="10" t="n">
        <v>1.38764608650752</v>
      </c>
      <c r="D56" s="10" t="n">
        <v>1.490272353537359</v>
      </c>
      <c r="E56" s="10" t="n">
        <v>1.589288589348937</v>
      </c>
      <c r="F56" s="10" t="n">
        <v>1.684551704675056</v>
      </c>
      <c r="G56" s="10" t="n">
        <v>1.776005495420433</v>
      </c>
      <c r="H56" s="10" t="n">
        <v>1.863653985206642</v>
      </c>
      <c r="I56" s="10" t="n">
        <v>1.947547531943704</v>
      </c>
      <c r="J56" s="10" t="n">
        <v>2.027772755158676</v>
      </c>
      <c r="K56" s="10" t="n">
        <v>2.10444497619797</v>
      </c>
      <c r="L56" s="10" t="n">
        <v>2.177700270046713</v>
      </c>
      <c r="M56" s="10" t="n">
        <v>2.247680528609239</v>
      </c>
      <c r="N56" s="10" t="n">
        <v>2.314526661422811</v>
      </c>
      <c r="O56" s="10" t="n">
        <v>2.37837857050816</v>
      </c>
      <c r="P56" s="10" t="n">
        <v>2.439375324079232</v>
      </c>
      <c r="Q56" s="10" t="n">
        <v>2.497655061979096</v>
      </c>
      <c r="R56" s="10" t="n">
        <v>2.553350013217222</v>
      </c>
      <c r="S56" s="10" t="n">
        <v>2.606579264087806</v>
      </c>
      <c r="T56" s="10" t="n">
        <v>2.657449693125424</v>
      </c>
      <c r="U56" s="10" t="n">
        <v>2.706058229541711</v>
      </c>
      <c r="V56" s="10" t="n">
        <v>2.752493352273354</v>
      </c>
      <c r="W56" s="10" t="n">
        <v>2.796836260039579</v>
      </c>
      <c r="X56" s="10" t="n">
        <v>2.83916176868538</v>
      </c>
      <c r="Y56" s="10" t="n">
        <v>2.879539007630149</v>
      </c>
      <c r="Z56" s="10" t="n">
        <v>2.918032127552627</v>
      </c>
      <c r="AA56" s="10" t="n">
        <v>2.954701000228865</v>
      </c>
      <c r="AB56" s="10" t="n">
        <v>2.989601866880232</v>
      </c>
      <c r="AC56" s="10" t="n">
        <v>3.022787791797048</v>
      </c>
      <c r="AD56" s="10" t="n">
        <v>3.054309031941007</v>
      </c>
      <c r="AE56" s="10" t="n">
        <v>3.084213443249662</v>
      </c>
      <c r="AF56" s="10" t="n">
        <v>3.11254720947835</v>
      </c>
      <c r="AG56" s="10" t="n">
        <v>3.139355279881954</v>
      </c>
      <c r="AH56" s="10" t="n">
        <v>3.164681484759296</v>
      </c>
      <c r="AI56" s="10" t="n">
        <v>3.188568517390938</v>
      </c>
      <c r="AJ56" s="10" t="n">
        <v>3.211057975831871</v>
      </c>
      <c r="AK56" s="10" t="n">
        <v>3.232190469620668</v>
      </c>
    </row>
    <row r="57">
      <c r="A57" s="9" t="n">
        <v>-68</v>
      </c>
      <c r="B57" s="7" t="n">
        <v>41394</v>
      </c>
      <c r="C57" s="10" t="n">
        <v>1.403484995687355</v>
      </c>
      <c r="D57" s="10" t="n">
        <v>1.506374947344826</v>
      </c>
      <c r="E57" s="10" t="n">
        <v>1.60554516716862</v>
      </c>
      <c r="F57" s="10" t="n">
        <v>1.700849447162508</v>
      </c>
      <c r="G57" s="10" t="n">
        <v>1.792229673448958</v>
      </c>
      <c r="H57" s="10" t="n">
        <v>1.879689505339118</v>
      </c>
      <c r="I57" s="10" t="n">
        <v>1.963280155436712</v>
      </c>
      <c r="J57" s="10" t="n">
        <v>2.043090051965747</v>
      </c>
      <c r="K57" s="10" t="n">
        <v>2.119237080483656</v>
      </c>
      <c r="L57" s="10" t="n">
        <v>2.191860718439018</v>
      </c>
      <c r="M57" s="10" t="n">
        <v>2.261108231226743</v>
      </c>
      <c r="N57" s="10" t="n">
        <v>2.327128244940244</v>
      </c>
      <c r="O57" s="10" t="n">
        <v>2.390070332278981</v>
      </c>
      <c r="P57" s="10" t="n">
        <v>2.450084849340525</v>
      </c>
      <c r="Q57" s="10" t="n">
        <v>2.507322591160356</v>
      </c>
      <c r="R57" s="10" t="n">
        <v>2.561930110894351</v>
      </c>
      <c r="S57" s="10" t="n">
        <v>2.614043095513482</v>
      </c>
      <c r="T57" s="10" t="n">
        <v>2.663786010214567</v>
      </c>
      <c r="U57" s="10" t="n">
        <v>2.711272430741095</v>
      </c>
      <c r="V57" s="10" t="n">
        <v>2.756606381933417</v>
      </c>
      <c r="W57" s="10" t="n">
        <v>2.799883624668947</v>
      </c>
      <c r="X57" s="10" t="n">
        <v>2.841191868897319</v>
      </c>
      <c r="Y57" s="10" t="n">
        <v>2.88061035214946</v>
      </c>
      <c r="Z57" s="10" t="n">
        <v>2.918210679331981</v>
      </c>
      <c r="AA57" s="10" t="n">
        <v>2.954057899809045</v>
      </c>
      <c r="AB57" s="10" t="n">
        <v>2.98821150574978</v>
      </c>
      <c r="AC57" s="10" t="n">
        <v>3.020726126886489</v>
      </c>
      <c r="AD57" s="10" t="n">
        <v>3.051652096160057</v>
      </c>
      <c r="AE57" s="10" t="n">
        <v>3.081036040496505</v>
      </c>
      <c r="AF57" s="10" t="n">
        <v>3.108921827653059</v>
      </c>
      <c r="AG57" s="10" t="n">
        <v>3.135351159037067</v>
      </c>
      <c r="AH57" s="10" t="n">
        <v>3.160363832739995</v>
      </c>
      <c r="AI57" s="10" t="n">
        <v>3.183998053917608</v>
      </c>
      <c r="AJ57" s="10" t="n">
        <v>3.206290658415487</v>
      </c>
      <c r="AK57" s="10" t="n">
        <v>3.227277251968126</v>
      </c>
    </row>
    <row r="58">
      <c r="A58" s="9" t="n">
        <v>-67</v>
      </c>
      <c r="B58" s="7" t="n">
        <v>41395</v>
      </c>
      <c r="C58" s="10" t="n">
        <v>1.400029681742115</v>
      </c>
      <c r="D58" s="10" t="n">
        <v>1.50274743559083</v>
      </c>
      <c r="E58" s="10" t="n">
        <v>1.601635634794484</v>
      </c>
      <c r="F58" s="10" t="n">
        <v>1.696556205507516</v>
      </c>
      <c r="G58" s="10" t="n">
        <v>1.787459068376454</v>
      </c>
      <c r="H58" s="10" t="n">
        <v>1.874356598320308</v>
      </c>
      <c r="I58" s="10" t="n">
        <v>1.957309278062978</v>
      </c>
      <c r="J58" s="10" t="n">
        <v>2.036415239914802</v>
      </c>
      <c r="K58" s="10" t="n">
        <v>2.111802416481218</v>
      </c>
      <c r="L58" s="10" t="n">
        <v>2.183620501672969</v>
      </c>
      <c r="M58" s="10" t="n">
        <v>2.252026740532204</v>
      </c>
      <c r="N58" s="10" t="n">
        <v>2.317179415072593</v>
      </c>
      <c r="O58" s="10" t="n">
        <v>2.379237487178878</v>
      </c>
      <c r="P58" s="10" t="n">
        <v>2.438360481387729</v>
      </c>
      <c r="Q58" s="10" t="n">
        <v>2.494708140576611</v>
      </c>
      <c r="R58" s="10" t="n">
        <v>2.548435094393428</v>
      </c>
      <c r="S58" s="10" t="n">
        <v>2.599683395644626</v>
      </c>
      <c r="T58" s="10" t="n">
        <v>2.648582396370681</v>
      </c>
      <c r="U58" s="10" t="n">
        <v>2.695249490659177</v>
      </c>
      <c r="V58" s="10" t="n">
        <v>2.739791640282782</v>
      </c>
      <c r="W58" s="10" t="n">
        <v>2.782306782574052</v>
      </c>
      <c r="X58" s="10" t="n">
        <v>2.822884129189128</v>
      </c>
      <c r="Y58" s="10" t="n">
        <v>2.861603823506714</v>
      </c>
      <c r="Z58" s="10" t="n">
        <v>2.898537863836248</v>
      </c>
      <c r="AA58" s="10" t="n">
        <v>2.933751354844598</v>
      </c>
      <c r="AB58" s="10" t="n">
        <v>2.967303720435237</v>
      </c>
      <c r="AC58" s="10" t="n">
        <v>2.999249441257208</v>
      </c>
      <c r="AD58" s="10" t="n">
        <v>3.029638629798729</v>
      </c>
      <c r="AE58" s="10" t="n">
        <v>3.058517633389095</v>
      </c>
      <c r="AF58" s="10" t="n">
        <v>3.085930001389664</v>
      </c>
      <c r="AG58" s="10" t="n">
        <v>3.111917086146689</v>
      </c>
      <c r="AH58" s="10" t="n">
        <v>3.136518298417328</v>
      </c>
      <c r="AI58" s="10" t="n">
        <v>3.15977136494358</v>
      </c>
      <c r="AJ58" s="10" t="n">
        <v>3.181712530069785</v>
      </c>
      <c r="AK58" s="10" t="n">
        <v>3.202376705065548</v>
      </c>
    </row>
    <row r="59">
      <c r="A59" s="9" t="n">
        <v>-66</v>
      </c>
      <c r="B59" s="7" t="n">
        <v>41396</v>
      </c>
      <c r="C59" s="10" t="n">
        <v>1.347849554105641</v>
      </c>
      <c r="D59" s="10" t="n">
        <v>1.449473235351879</v>
      </c>
      <c r="E59" s="10" t="n">
        <v>1.547503008474833</v>
      </c>
      <c r="F59" s="10" t="n">
        <v>1.64177600616144</v>
      </c>
      <c r="G59" s="10" t="n">
        <v>1.732218213852768</v>
      </c>
      <c r="H59" s="10" t="n">
        <v>1.818819353349562</v>
      </c>
      <c r="I59" s="10" t="n">
        <v>1.901618267634143</v>
      </c>
      <c r="J59" s="10" t="n">
        <v>1.980692242352672</v>
      </c>
      <c r="K59" s="10" t="n">
        <v>2.056148991535215</v>
      </c>
      <c r="L59" s="10" t="n">
        <v>2.128118693473636</v>
      </c>
      <c r="M59" s="10" t="n">
        <v>2.196740736197749</v>
      </c>
      <c r="N59" s="10" t="n">
        <v>2.262157507631577</v>
      </c>
      <c r="O59" s="10" t="n">
        <v>2.32451371171065</v>
      </c>
      <c r="P59" s="10" t="n">
        <v>2.383955969069683</v>
      </c>
      <c r="Q59" s="10" t="n">
        <v>2.440632254040019</v>
      </c>
      <c r="R59" s="10" t="n">
        <v>2.494686625549601</v>
      </c>
      <c r="S59" s="10" t="n">
        <v>2.546252058651468</v>
      </c>
      <c r="T59" s="10" t="n">
        <v>2.595450351941813</v>
      </c>
      <c r="U59" s="10" t="n">
        <v>2.642392914975195</v>
      </c>
      <c r="V59" s="10" t="n">
        <v>2.687182115397367</v>
      </c>
      <c r="W59" s="10" t="n">
        <v>2.729912501387812</v>
      </c>
      <c r="X59" s="10" t="n">
        <v>2.770671123811795</v>
      </c>
      <c r="Y59" s="10" t="n">
        <v>2.809537347692164</v>
      </c>
      <c r="Z59" s="10" t="n">
        <v>2.846583649084562</v>
      </c>
      <c r="AA59" s="10" t="n">
        <v>2.8818766011993</v>
      </c>
      <c r="AB59" s="10" t="n">
        <v>2.915477791394549</v>
      </c>
      <c r="AC59" s="10" t="n">
        <v>2.947444446700742</v>
      </c>
      <c r="AD59" s="10" t="n">
        <v>2.977829941034192</v>
      </c>
      <c r="AE59" s="10" t="n">
        <v>3.006684305746743</v>
      </c>
      <c r="AF59" s="10" t="n">
        <v>3.034054970063342</v>
      </c>
      <c r="AG59" s="10" t="n">
        <v>3.059987241012734</v>
      </c>
      <c r="AH59" s="10" t="n">
        <v>3.084524499852812</v>
      </c>
      <c r="AI59" s="10" t="n">
        <v>3.107708218759118</v>
      </c>
      <c r="AJ59" s="10" t="n">
        <v>3.12957805782439</v>
      </c>
      <c r="AK59" s="10" t="n">
        <v>3.15017204278269</v>
      </c>
    </row>
    <row r="60">
      <c r="A60" s="9" t="n">
        <v>-65</v>
      </c>
      <c r="B60" s="7" t="n">
        <v>41397</v>
      </c>
      <c r="C60" s="10" t="n">
        <v>1.466892527249788</v>
      </c>
      <c r="D60" s="10" t="n">
        <v>1.569454312921527</v>
      </c>
      <c r="E60" s="10" t="n">
        <v>1.668011553397624</v>
      </c>
      <c r="F60" s="10" t="n">
        <v>1.762461682647516</v>
      </c>
      <c r="G60" s="10" t="n">
        <v>1.852790717222746</v>
      </c>
      <c r="H60" s="10" t="n">
        <v>1.939042745365604</v>
      </c>
      <c r="I60" s="10" t="n">
        <v>2.02130644409625</v>
      </c>
      <c r="J60" s="10" t="n">
        <v>2.099705386000136</v>
      </c>
      <c r="K60" s="10" t="n">
        <v>2.174390759382337</v>
      </c>
      <c r="L60" s="10" t="n">
        <v>2.245533072869097</v>
      </c>
      <c r="M60" s="10" t="n">
        <v>2.313305957383013</v>
      </c>
      <c r="N60" s="10" t="n">
        <v>2.377879592681093</v>
      </c>
      <c r="O60" s="10" t="n">
        <v>2.43942114281693</v>
      </c>
      <c r="P60" s="10" t="n">
        <v>2.498095276089569</v>
      </c>
      <c r="Q60" s="10" t="n">
        <v>2.554064301891132</v>
      </c>
      <c r="R60" s="10" t="n">
        <v>2.607483184701559</v>
      </c>
      <c r="S60" s="10" t="n">
        <v>2.658492802458295</v>
      </c>
      <c r="T60" s="10" t="n">
        <v>2.707220205238974</v>
      </c>
      <c r="U60" s="10" t="n">
        <v>2.753779599387596</v>
      </c>
      <c r="V60" s="10" t="n">
        <v>2.798274023688063</v>
      </c>
      <c r="W60" s="10" t="n">
        <v>2.840796861151619</v>
      </c>
      <c r="X60" s="10" t="n">
        <v>2.881432342932883</v>
      </c>
      <c r="Y60" s="10" t="n">
        <v>2.920255531361774</v>
      </c>
      <c r="Z60" s="10" t="n">
        <v>2.957333323514335</v>
      </c>
      <c r="AA60" s="10" t="n">
        <v>2.992725846264864</v>
      </c>
      <c r="AB60" s="10" t="n">
        <v>3.026487843932252</v>
      </c>
      <c r="AC60" s="10" t="n">
        <v>3.058669405120102</v>
      </c>
      <c r="AD60" s="10" t="n">
        <v>3.089316504591003</v>
      </c>
      <c r="AE60" s="10" t="n">
        <v>3.118471625768941</v>
      </c>
      <c r="AF60" s="10" t="n">
        <v>3.146174893303519</v>
      </c>
      <c r="AG60" s="10" t="n">
        <v>3.172464708546335</v>
      </c>
      <c r="AH60" s="10" t="n">
        <v>3.197377950222032</v>
      </c>
      <c r="AI60" s="10" t="n">
        <v>3.220950156055289</v>
      </c>
      <c r="AJ60" s="10" t="n">
        <v>3.243215671271477</v>
      </c>
      <c r="AK60" s="10" t="n">
        <v>3.264207768228281</v>
      </c>
    </row>
    <row r="61">
      <c r="A61" s="9" t="n">
        <v>-64</v>
      </c>
      <c r="B61" s="7" t="n">
        <v>41401</v>
      </c>
      <c r="C61" s="10" t="n">
        <v>1.534184686850502</v>
      </c>
      <c r="D61" s="10" t="n">
        <v>1.637601816107467</v>
      </c>
      <c r="E61" s="10" t="n">
        <v>1.736720099464396</v>
      </c>
      <c r="F61" s="10" t="n">
        <v>1.831475090947643</v>
      </c>
      <c r="G61" s="10" t="n">
        <v>1.921888943092966</v>
      </c>
      <c r="H61" s="10" t="n">
        <v>2.008037866186527</v>
      </c>
      <c r="I61" s="10" t="n">
        <v>2.090039490243928</v>
      </c>
      <c r="J61" s="10" t="n">
        <v>2.168043860721209</v>
      </c>
      <c r="K61" s="10" t="n">
        <v>2.24222667354317</v>
      </c>
      <c r="L61" s="10" t="n">
        <v>2.312781033680192</v>
      </c>
      <c r="M61" s="10" t="n">
        <v>2.379900287374541</v>
      </c>
      <c r="N61" s="10" t="n">
        <v>2.443771420051809</v>
      </c>
      <c r="O61" s="10" t="n">
        <v>2.504575998747131</v>
      </c>
      <c r="P61" s="10" t="n">
        <v>2.562491106310441</v>
      </c>
      <c r="Q61" s="10" t="n">
        <v>2.617689821045822</v>
      </c>
      <c r="R61" s="10" t="n">
        <v>2.670336810043207</v>
      </c>
      <c r="S61" s="10" t="n">
        <v>2.720582278471636</v>
      </c>
      <c r="T61" s="10" t="n">
        <v>2.768561950311536</v>
      </c>
      <c r="U61" s="10" t="n">
        <v>2.814397527833139</v>
      </c>
      <c r="V61" s="10" t="n">
        <v>2.858198445755296</v>
      </c>
      <c r="W61" s="10" t="n">
        <v>2.900063522514644</v>
      </c>
      <c r="X61" s="10" t="n">
        <v>2.940081343112592</v>
      </c>
      <c r="Y61" s="10" t="n">
        <v>2.978330021075462</v>
      </c>
      <c r="Z61" s="10" t="n">
        <v>3.014878319491646</v>
      </c>
      <c r="AA61" s="10" t="n">
        <v>3.049787259102335</v>
      </c>
      <c r="AB61" s="10" t="n">
        <v>3.083111714054247</v>
      </c>
      <c r="AC61" s="10" t="n">
        <v>3.114901241978444</v>
      </c>
      <c r="AD61" s="10" t="n">
        <v>3.145200702767687</v>
      </c>
      <c r="AE61" s="10" t="n">
        <v>3.174050959517424</v>
      </c>
      <c r="AF61" s="10" t="n">
        <v>3.201490114360918</v>
      </c>
      <c r="AG61" s="10" t="n">
        <v>3.227554206876758</v>
      </c>
      <c r="AH61" s="10" t="n">
        <v>3.25227747812775</v>
      </c>
      <c r="AI61" s="10" t="n">
        <v>3.275692707592064</v>
      </c>
      <c r="AJ61" s="10" t="n">
        <v>3.297831437184739</v>
      </c>
      <c r="AK61" s="10" t="n">
        <v>3.318724097411992</v>
      </c>
    </row>
    <row r="62">
      <c r="A62" s="9" t="n">
        <v>-63</v>
      </c>
      <c r="B62" s="7" t="n">
        <v>41402</v>
      </c>
      <c r="C62" s="10" t="n">
        <v>1.506808238537054</v>
      </c>
      <c r="D62" s="10" t="n">
        <v>1.609650180432104</v>
      </c>
      <c r="E62" s="10" t="n">
        <v>1.708319632984855</v>
      </c>
      <c r="F62" s="10" t="n">
        <v>1.802749581497414</v>
      </c>
      <c r="G62" s="10" t="n">
        <v>1.892958583215496</v>
      </c>
      <c r="H62" s="10" t="n">
        <v>1.979018488412823</v>
      </c>
      <c r="I62" s="10" t="n">
        <v>2.061041984565244</v>
      </c>
      <c r="J62" s="10" t="n">
        <v>2.139173718698099</v>
      </c>
      <c r="K62" s="10" t="n">
        <v>2.213583626043505</v>
      </c>
      <c r="L62" s="10" t="n">
        <v>2.284458578754387</v>
      </c>
      <c r="M62" s="10" t="n">
        <v>2.351984696468731</v>
      </c>
      <c r="N62" s="10" t="n">
        <v>2.416340720409243</v>
      </c>
      <c r="O62" s="10" t="n">
        <v>2.477699135806303</v>
      </c>
      <c r="P62" s="10" t="n">
        <v>2.536227250517338</v>
      </c>
      <c r="Q62" s="10" t="n">
        <v>2.592087757463716</v>
      </c>
      <c r="R62" s="10" t="n">
        <v>2.645433912667389</v>
      </c>
      <c r="S62" s="10" t="n">
        <v>2.696403040864597</v>
      </c>
      <c r="T62" s="10" t="n">
        <v>2.74511749696307</v>
      </c>
      <c r="U62" s="10" t="n">
        <v>2.791686428648909</v>
      </c>
      <c r="V62" s="10" t="n">
        <v>2.836207598724863</v>
      </c>
      <c r="W62" s="10" t="n">
        <v>2.878768946096144</v>
      </c>
      <c r="X62" s="10" t="n">
        <v>2.919449515224787</v>
      </c>
      <c r="Y62" s="10" t="n">
        <v>2.958320033848967</v>
      </c>
      <c r="Z62" s="10" t="n">
        <v>2.995443911564996</v>
      </c>
      <c r="AA62" s="10" t="n">
        <v>3.030878581684401</v>
      </c>
      <c r="AB62" s="10" t="n">
        <v>3.064676855807047</v>
      </c>
      <c r="AC62" s="10" t="n">
        <v>3.096887567112914</v>
      </c>
      <c r="AD62" s="10" t="n">
        <v>3.12755603349923</v>
      </c>
      <c r="AE62" s="10" t="n">
        <v>3.156724603261347</v>
      </c>
      <c r="AF62" s="10" t="n">
        <v>3.184433668392229</v>
      </c>
      <c r="AG62" s="10" t="n">
        <v>3.210722216681924</v>
      </c>
      <c r="AH62" s="10" t="n">
        <v>3.235627966743066</v>
      </c>
      <c r="AI62" s="10" t="n">
        <v>3.2591873835478</v>
      </c>
      <c r="AJ62" s="10" t="n">
        <v>3.281435748651569</v>
      </c>
      <c r="AK62" s="10" t="n">
        <v>3.302407276726897</v>
      </c>
    </row>
    <row r="63">
      <c r="A63" s="9" t="n">
        <v>-62</v>
      </c>
      <c r="B63" s="7" t="n">
        <v>41403</v>
      </c>
      <c r="C63" s="10" t="n">
        <v>1.524565141279233</v>
      </c>
      <c r="D63" s="10" t="n">
        <v>1.62812998122718</v>
      </c>
      <c r="E63" s="10" t="n">
        <v>1.727509106056776</v>
      </c>
      <c r="F63" s="10" t="n">
        <v>1.822649876442547</v>
      </c>
      <c r="G63" s="10" t="n">
        <v>1.913583664800343</v>
      </c>
      <c r="H63" s="10" t="n">
        <v>2.000392550851935</v>
      </c>
      <c r="I63" s="10" t="n">
        <v>2.083197423670619</v>
      </c>
      <c r="J63" s="10" t="n">
        <v>2.162149544865656</v>
      </c>
      <c r="K63" s="10" t="n">
        <v>2.237424205549415</v>
      </c>
      <c r="L63" s="10" t="n">
        <v>2.309212235511876</v>
      </c>
      <c r="M63" s="10" t="n">
        <v>2.377701085426745</v>
      </c>
      <c r="N63" s="10" t="n">
        <v>2.443068075834955</v>
      </c>
      <c r="O63" s="10" t="n">
        <v>2.50548199805189</v>
      </c>
      <c r="P63" s="10" t="n">
        <v>2.565104584723519</v>
      </c>
      <c r="Q63" s="10" t="n">
        <v>2.622091376968136</v>
      </c>
      <c r="R63" s="10" t="n">
        <v>2.676587097350886</v>
      </c>
      <c r="S63" s="10" t="n">
        <v>2.728719414975896</v>
      </c>
      <c r="T63" s="10" t="n">
        <v>2.778600708446077</v>
      </c>
      <c r="U63" s="10" t="n">
        <v>2.826330758804597</v>
      </c>
      <c r="V63" s="10" t="n">
        <v>2.871998613619986</v>
      </c>
      <c r="W63" s="10" t="n">
        <v>2.915684080071863</v>
      </c>
      <c r="X63" s="10" t="n">
        <v>2.957459017969355</v>
      </c>
      <c r="Y63" s="10" t="n">
        <v>2.997388450641678</v>
      </c>
      <c r="Z63" s="10" t="n">
        <v>3.035531473368644</v>
      </c>
      <c r="AA63" s="10" t="n">
        <v>3.071942412786559</v>
      </c>
      <c r="AB63" s="10" t="n">
        <v>3.106672014061321</v>
      </c>
      <c r="AC63" s="10" t="n">
        <v>3.139767956048659</v>
      </c>
      <c r="AD63" s="10" t="n">
        <v>3.171275208393235</v>
      </c>
      <c r="AE63" s="10" t="n">
        <v>3.201236486304599</v>
      </c>
      <c r="AF63" s="10" t="n">
        <v>3.229693178318879</v>
      </c>
      <c r="AG63" s="10" t="n">
        <v>3.256685822757567</v>
      </c>
      <c r="AH63" s="10" t="n">
        <v>3.28225414876508</v>
      </c>
      <c r="AI63" s="10" t="n">
        <v>3.306436886855799</v>
      </c>
      <c r="AJ63" s="10" t="n">
        <v>3.329271737069023</v>
      </c>
      <c r="AK63" s="10" t="n">
        <v>3.350795467916949</v>
      </c>
    </row>
    <row r="64">
      <c r="A64" s="9" t="n">
        <v>-61</v>
      </c>
      <c r="B64" s="7" t="n">
        <v>41404</v>
      </c>
      <c r="C64" s="10" t="n">
        <v>1.627224310712375</v>
      </c>
      <c r="D64" s="10" t="n">
        <v>1.733141953555348</v>
      </c>
      <c r="E64" s="10" t="n">
        <v>1.834287670992415</v>
      </c>
      <c r="F64" s="10" t="n">
        <v>1.93064468833209</v>
      </c>
      <c r="G64" s="10" t="n">
        <v>2.022285931947975</v>
      </c>
      <c r="H64" s="10" t="n">
        <v>2.109337643062113</v>
      </c>
      <c r="I64" s="10" t="n">
        <v>2.191966870636246</v>
      </c>
      <c r="J64" s="10" t="n">
        <v>2.270372600124062</v>
      </c>
      <c r="K64" s="10" t="n">
        <v>2.344779077895188</v>
      </c>
      <c r="L64" s="10" t="n">
        <v>2.415426187971264</v>
      </c>
      <c r="M64" s="10" t="n">
        <v>2.482547467775281</v>
      </c>
      <c r="N64" s="10" t="n">
        <v>2.546362811088016</v>
      </c>
      <c r="O64" s="10" t="n">
        <v>2.607080681370074</v>
      </c>
      <c r="P64" s="10" t="n">
        <v>2.664900082506749</v>
      </c>
      <c r="Q64" s="10" t="n">
        <v>2.720011797753793</v>
      </c>
      <c r="R64" s="10" t="n">
        <v>2.772593900678598</v>
      </c>
      <c r="S64" s="10" t="n">
        <v>2.822805773010513</v>
      </c>
      <c r="T64" s="10" t="n">
        <v>2.870789009386389</v>
      </c>
      <c r="U64" s="10" t="n">
        <v>2.916668862486715</v>
      </c>
      <c r="V64" s="10" t="n">
        <v>2.960556415372766</v>
      </c>
      <c r="W64" s="10" t="n">
        <v>3.002550504006392</v>
      </c>
      <c r="X64" s="10" t="n">
        <v>3.042738541624746</v>
      </c>
      <c r="Y64" s="10" t="n">
        <v>3.081196843099911</v>
      </c>
      <c r="Z64" s="10" t="n">
        <v>3.117991913426578</v>
      </c>
      <c r="AA64" s="10" t="n">
        <v>3.153182286691104</v>
      </c>
      <c r="AB64" s="10" t="n">
        <v>3.186820353896891</v>
      </c>
      <c r="AC64" s="10" t="n">
        <v>3.218953214373473</v>
      </c>
      <c r="AD64" s="10" t="n">
        <v>3.249623291979311</v>
      </c>
      <c r="AE64" s="10" t="n">
        <v>3.278869077244332</v>
      </c>
      <c r="AF64" s="10" t="n">
        <v>3.306726497532985</v>
      </c>
      <c r="AG64" s="10" t="n">
        <v>3.333229637399102</v>
      </c>
      <c r="AH64" s="10" t="n">
        <v>3.358410968552834</v>
      </c>
      <c r="AI64" s="10" t="n">
        <v>3.38230161091349</v>
      </c>
      <c r="AJ64" s="10" t="n">
        <v>3.404931514380875</v>
      </c>
      <c r="AK64" s="10" t="n">
        <v>3.426329577093613</v>
      </c>
    </row>
    <row r="65">
      <c r="A65" s="9" t="n">
        <v>-60</v>
      </c>
      <c r="B65" s="7" t="n">
        <v>41407</v>
      </c>
      <c r="C65" s="10" t="n">
        <v>1.623988290122599</v>
      </c>
      <c r="D65" s="10" t="n">
        <v>1.73041104212226</v>
      </c>
      <c r="E65" s="10" t="n">
        <v>1.831990457749491</v>
      </c>
      <c r="F65" s="10" t="n">
        <v>1.928703453077506</v>
      </c>
      <c r="G65" s="10" t="n">
        <v>2.020618656071567</v>
      </c>
      <c r="H65" s="10" t="n">
        <v>2.107860919397448</v>
      </c>
      <c r="I65" s="10" t="n">
        <v>2.190598197034496</v>
      </c>
      <c r="J65" s="10" t="n">
        <v>2.269032174424855</v>
      </c>
      <c r="K65" s="10" t="n">
        <v>2.343391217571377</v>
      </c>
      <c r="L65" s="10" t="n">
        <v>2.413920404693448</v>
      </c>
      <c r="M65" s="10" t="n">
        <v>2.48085933779043</v>
      </c>
      <c r="N65" s="10" t="n">
        <v>2.544434788389707</v>
      </c>
      <c r="O65" s="10" t="n">
        <v>2.604862773484725</v>
      </c>
      <c r="P65" s="10" t="n">
        <v>2.662350409764971</v>
      </c>
      <c r="Q65" s="10" t="n">
        <v>2.717097027760083</v>
      </c>
      <c r="R65" s="10" t="n">
        <v>2.769289182080057</v>
      </c>
      <c r="S65" s="10" t="n">
        <v>2.819094187737182</v>
      </c>
      <c r="T65" s="10" t="n">
        <v>2.866660961038107</v>
      </c>
      <c r="U65" s="10" t="n">
        <v>2.912121435651018</v>
      </c>
      <c r="V65" s="10" t="n">
        <v>2.955592812575349</v>
      </c>
      <c r="W65" s="10" t="n">
        <v>2.997179551407668</v>
      </c>
      <c r="X65" s="10" t="n">
        <v>3.03697410677038</v>
      </c>
      <c r="Y65" s="10" t="n">
        <v>3.0750571263461</v>
      </c>
      <c r="Z65" s="10" t="n">
        <v>3.111498797851898</v>
      </c>
      <c r="AA65" s="10" t="n">
        <v>3.14636065018101</v>
      </c>
      <c r="AB65" s="10" t="n">
        <v>3.179697290621951</v>
      </c>
      <c r="AC65" s="10" t="n">
        <v>3.211557323067983</v>
      </c>
      <c r="AD65" s="10" t="n">
        <v>3.241984046897171</v>
      </c>
      <c r="AE65" s="10" t="n">
        <v>3.271016244408138</v>
      </c>
      <c r="AF65" s="10" t="n">
        <v>3.298689488953191</v>
      </c>
      <c r="AG65" s="10" t="n">
        <v>3.325036870991645</v>
      </c>
      <c r="AH65" s="10" t="n">
        <v>3.350089335314904</v>
      </c>
      <c r="AI65" s="10" t="n">
        <v>3.373876175639433</v>
      </c>
      <c r="AJ65" s="10" t="n">
        <v>3.396425329241685</v>
      </c>
      <c r="AK65" s="10" t="n">
        <v>3.417763516136732</v>
      </c>
    </row>
    <row r="66">
      <c r="A66" s="9" t="n">
        <v>-59</v>
      </c>
      <c r="B66" s="7" t="n">
        <v>41408</v>
      </c>
      <c r="C66" s="10" t="n">
        <v>1.639922344054405</v>
      </c>
      <c r="D66" s="10" t="n">
        <v>1.746590260951042</v>
      </c>
      <c r="E66" s="10" t="n">
        <v>1.848362020082682</v>
      </c>
      <c r="F66" s="10" t="n">
        <v>1.945216706101758</v>
      </c>
      <c r="G66" s="10" t="n">
        <v>2.03722427479435</v>
      </c>
      <c r="H66" s="10" t="n">
        <v>2.124511157442366</v>
      </c>
      <c r="I66" s="10" t="n">
        <v>2.207247111516933</v>
      </c>
      <c r="J66" s="10" t="n">
        <v>2.285635801941603</v>
      </c>
      <c r="K66" s="10" t="n">
        <v>2.35990771245277</v>
      </c>
      <c r="L66" s="10" t="n">
        <v>2.430310156270093</v>
      </c>
      <c r="M66" s="10" t="n">
        <v>2.497085344370914</v>
      </c>
      <c r="N66" s="10" t="n">
        <v>2.560463185381248</v>
      </c>
      <c r="O66" s="10" t="n">
        <v>2.620663277833128</v>
      </c>
      <c r="P66" s="10" t="n">
        <v>2.677896687767011</v>
      </c>
      <c r="Q66" s="10" t="n">
        <v>2.732366997754362</v>
      </c>
      <c r="R66" s="10" t="n">
        <v>2.784265315648244</v>
      </c>
      <c r="S66" s="10" t="n">
        <v>2.83376391111599</v>
      </c>
      <c r="T66" s="10" t="n">
        <v>2.881016786350097</v>
      </c>
      <c r="U66" s="10" t="n">
        <v>2.926160754515024</v>
      </c>
      <c r="V66" s="10" t="n">
        <v>2.969317678924451</v>
      </c>
      <c r="W66" s="10" t="n">
        <v>3.010596481213247</v>
      </c>
      <c r="X66" s="10" t="n">
        <v>3.050093688929506</v>
      </c>
      <c r="Y66" s="10" t="n">
        <v>3.087893402096585</v>
      </c>
      <c r="Z66" s="10" t="n">
        <v>3.124068679453766</v>
      </c>
      <c r="AA66" s="10" t="n">
        <v>3.158683337579519</v>
      </c>
      <c r="AB66" s="10" t="n">
        <v>3.191793649328242</v>
      </c>
      <c r="AC66" s="10" t="n">
        <v>3.223449319746549</v>
      </c>
      <c r="AD66" s="10" t="n">
        <v>3.25369425057447</v>
      </c>
      <c r="AE66" s="10" t="n">
        <v>3.282567375616573</v>
      </c>
      <c r="AF66" s="10" t="n">
        <v>3.310103970486556</v>
      </c>
      <c r="AG66" s="10" t="n">
        <v>3.336336400677949</v>
      </c>
      <c r="AH66" s="10" t="n">
        <v>3.361294533133564</v>
      </c>
      <c r="AI66" s="10" t="n">
        <v>3.385006392005915</v>
      </c>
      <c r="AJ66" s="10" t="n">
        <v>3.407498528521669</v>
      </c>
      <c r="AK66" s="10" t="n">
        <v>3.42879617325292</v>
      </c>
    </row>
    <row r="67">
      <c r="A67" s="9" t="n">
        <v>-58</v>
      </c>
      <c r="B67" s="7" t="n">
        <v>41409</v>
      </c>
      <c r="C67" s="10" t="n">
        <v>1.670882021929284</v>
      </c>
      <c r="D67" s="10" t="n">
        <v>1.778076907945381</v>
      </c>
      <c r="E67" s="10" t="n">
        <v>1.880316597857279</v>
      </c>
      <c r="F67" s="10" t="n">
        <v>1.977577169925934</v>
      </c>
      <c r="G67" s="10" t="n">
        <v>2.06992657862413</v>
      </c>
      <c r="H67" s="10" t="n">
        <v>2.157490824827459</v>
      </c>
      <c r="I67" s="10" t="n">
        <v>2.240440477496129</v>
      </c>
      <c r="J67" s="10" t="n">
        <v>2.318980984960922</v>
      </c>
      <c r="K67" s="10" t="n">
        <v>2.393345381850899</v>
      </c>
      <c r="L67" s="10" t="n">
        <v>2.463784000270088</v>
      </c>
      <c r="M67" s="10" t="n">
        <v>2.530542113855973</v>
      </c>
      <c r="N67" s="10" t="n">
        <v>2.593852684850853</v>
      </c>
      <c r="O67" s="10" t="n">
        <v>2.653938361688436</v>
      </c>
      <c r="P67" s="10" t="n">
        <v>2.711013257236707</v>
      </c>
      <c r="Q67" s="10" t="n">
        <v>2.765283967271747</v>
      </c>
      <c r="R67" s="10" t="n">
        <v>2.816944187057899</v>
      </c>
      <c r="S67" s="10" t="n">
        <v>2.866168010046936</v>
      </c>
      <c r="T67" s="10" t="n">
        <v>2.913110930456372</v>
      </c>
      <c r="U67" s="10" t="n">
        <v>2.957911463251135</v>
      </c>
      <c r="V67" s="10" t="n">
        <v>3.000693421876598</v>
      </c>
      <c r="W67" s="10" t="n">
        <v>3.041567900735317</v>
      </c>
      <c r="X67" s="10" t="n">
        <v>3.080633966095037</v>
      </c>
      <c r="Y67" s="10" t="n">
        <v>3.117978831663335</v>
      </c>
      <c r="Z67" s="10" t="n">
        <v>3.153679205883384</v>
      </c>
      <c r="AA67" s="10" t="n">
        <v>3.187802951706021</v>
      </c>
      <c r="AB67" s="10" t="n">
        <v>3.220410632359278</v>
      </c>
      <c r="AC67" s="10" t="n">
        <v>3.251556443073007</v>
      </c>
      <c r="AD67" s="10" t="n">
        <v>3.281288952230113</v>
      </c>
      <c r="AE67" s="10" t="n">
        <v>3.309651884861577</v>
      </c>
      <c r="AF67" s="10" t="n">
        <v>3.336685273156876</v>
      </c>
      <c r="AG67" s="10" t="n">
        <v>3.362426137426623</v>
      </c>
      <c r="AH67" s="10" t="n">
        <v>3.386908842095301</v>
      </c>
      <c r="AI67" s="10" t="n">
        <v>3.41016549084206</v>
      </c>
      <c r="AJ67" s="10" t="n">
        <v>3.43222621110087</v>
      </c>
      <c r="AK67" s="10" t="n">
        <v>3.453119353124789</v>
      </c>
    </row>
    <row r="68">
      <c r="A68" s="9" t="n">
        <v>-57</v>
      </c>
      <c r="B68" s="7" t="n">
        <v>41410</v>
      </c>
      <c r="C68" s="10" t="n">
        <v>1.612835302456293</v>
      </c>
      <c r="D68" s="10" t="n">
        <v>1.719520229425765</v>
      </c>
      <c r="E68" s="10" t="n">
        <v>1.82149069818567</v>
      </c>
      <c r="F68" s="10" t="n">
        <v>1.918712086040403</v>
      </c>
      <c r="G68" s="10" t="n">
        <v>2.011237824332984</v>
      </c>
      <c r="H68" s="10" t="n">
        <v>2.099176848623709</v>
      </c>
      <c r="I68" s="10" t="n">
        <v>2.182680714297449</v>
      </c>
      <c r="J68" s="10" t="n">
        <v>2.261934331384392</v>
      </c>
      <c r="K68" s="10" t="n">
        <v>2.337148988463685</v>
      </c>
      <c r="L68" s="10" t="n">
        <v>2.408552396677399</v>
      </c>
      <c r="M68" s="10" t="n">
        <v>2.476367113171028</v>
      </c>
      <c r="N68" s="10" t="n">
        <v>2.540803665439774</v>
      </c>
      <c r="O68" s="10" t="n">
        <v>2.602062511981477</v>
      </c>
      <c r="P68" s="10" t="n">
        <v>2.660335778330645</v>
      </c>
      <c r="Q68" s="10" t="n">
        <v>2.715808256369874</v>
      </c>
      <c r="R68" s="10" t="n">
        <v>2.768652341290394</v>
      </c>
      <c r="S68" s="10" t="n">
        <v>2.819021861220028</v>
      </c>
      <c r="T68" s="10" t="n">
        <v>2.867053880765426</v>
      </c>
      <c r="U68" s="10" t="n">
        <v>2.912871208914246</v>
      </c>
      <c r="V68" s="10" t="n">
        <v>2.956584441155249</v>
      </c>
      <c r="W68" s="10" t="n">
        <v>2.998293645364269</v>
      </c>
      <c r="X68" s="10" t="n">
        <v>3.038089607003063</v>
      </c>
      <c r="Y68" s="10" t="n">
        <v>3.076054810463334</v>
      </c>
      <c r="Z68" s="10" t="n">
        <v>3.112264480585448</v>
      </c>
      <c r="AA68" s="10" t="n">
        <v>3.146787650770638</v>
      </c>
      <c r="AB68" s="10" t="n">
        <v>3.179688131929769</v>
      </c>
      <c r="AC68" s="10" t="n">
        <v>3.211025162505754</v>
      </c>
      <c r="AD68" s="10" t="n">
        <v>3.240853940465007</v>
      </c>
      <c r="AE68" s="10" t="n">
        <v>3.269226144527591</v>
      </c>
      <c r="AF68" s="10" t="n">
        <v>3.296190585542486</v>
      </c>
      <c r="AG68" s="10" t="n">
        <v>3.32179363510179</v>
      </c>
      <c r="AH68" s="10" t="n">
        <v>3.346079393433635</v>
      </c>
      <c r="AI68" s="10" t="n">
        <v>3.369089530972323</v>
      </c>
      <c r="AJ68" s="10" t="n">
        <v>3.390863359067286</v>
      </c>
      <c r="AK68" s="10" t="n">
        <v>3.411438061259315</v>
      </c>
    </row>
    <row r="69">
      <c r="A69" s="9" t="n">
        <v>-56</v>
      </c>
      <c r="B69" s="7" t="n">
        <v>41411</v>
      </c>
      <c r="C69" s="10" t="n">
        <v>1.628092371633687</v>
      </c>
      <c r="D69" s="10" t="n">
        <v>1.735178090236708</v>
      </c>
      <c r="E69" s="10" t="n">
        <v>1.837631603581478</v>
      </c>
      <c r="F69" s="10" t="n">
        <v>1.935402397369878</v>
      </c>
      <c r="G69" s="10" t="n">
        <v>2.028530819527882</v>
      </c>
      <c r="H69" s="10" t="n">
        <v>2.117114884878805</v>
      </c>
      <c r="I69" s="10" t="n">
        <v>2.201296917846725</v>
      </c>
      <c r="J69" s="10" t="n">
        <v>2.281253919934567</v>
      </c>
      <c r="K69" s="10" t="n">
        <v>2.357190313445276</v>
      </c>
      <c r="L69" s="10" t="n">
        <v>2.42932763565817</v>
      </c>
      <c r="M69" s="10" t="n">
        <v>2.497883012927637</v>
      </c>
      <c r="N69" s="10" t="n">
        <v>2.563062506104429</v>
      </c>
      <c r="O69" s="10" t="n">
        <v>2.625062920277318</v>
      </c>
      <c r="P69" s="10" t="n">
        <v>2.684073400594125</v>
      </c>
      <c r="Q69" s="10" t="n">
        <v>2.740276285236082</v>
      </c>
      <c r="R69" s="10" t="n">
        <v>2.793841757607193</v>
      </c>
      <c r="S69" s="10" t="n">
        <v>2.844921673786165</v>
      </c>
      <c r="T69" s="10" t="n">
        <v>2.893651381870765</v>
      </c>
      <c r="U69" s="10" t="n">
        <v>2.940152193539062</v>
      </c>
      <c r="V69" s="10" t="n">
        <v>2.984533394755209</v>
      </c>
      <c r="W69" s="10" t="n">
        <v>3.026893904993652</v>
      </c>
      <c r="X69" s="10" t="n">
        <v>3.067323500542111</v>
      </c>
      <c r="Y69" s="10" t="n">
        <v>3.105903785824973</v>
      </c>
      <c r="Z69" s="10" t="n">
        <v>3.142709224521248</v>
      </c>
      <c r="AA69" s="10" t="n">
        <v>3.177808242492389</v>
      </c>
      <c r="AB69" s="10" t="n">
        <v>3.211264234242543</v>
      </c>
      <c r="AC69" s="10" t="n">
        <v>3.243136196067946</v>
      </c>
      <c r="AD69" s="10" t="n">
        <v>3.273479237953397</v>
      </c>
      <c r="AE69" s="10" t="n">
        <v>3.302345109637377</v>
      </c>
      <c r="AF69" s="10" t="n">
        <v>3.329782914135865</v>
      </c>
      <c r="AG69" s="10" t="n">
        <v>3.355839542592071</v>
      </c>
      <c r="AH69" s="10" t="n">
        <v>3.380559799265265</v>
      </c>
      <c r="AI69" s="10" t="n">
        <v>3.403986162252697</v>
      </c>
      <c r="AJ69" s="10" t="n">
        <v>3.426158823362571</v>
      </c>
      <c r="AK69" s="10" t="n">
        <v>3.4471159119368</v>
      </c>
    </row>
    <row r="70">
      <c r="A70" s="9" t="n">
        <v>-55</v>
      </c>
      <c r="B70" s="7" t="n">
        <v>41414</v>
      </c>
      <c r="C70" s="10" t="n">
        <v>1.655619853306134</v>
      </c>
      <c r="D70" s="10" t="n">
        <v>1.763917225297186</v>
      </c>
      <c r="E70" s="10" t="n">
        <v>1.867498574344757</v>
      </c>
      <c r="F70" s="10" t="n">
        <v>1.966275505382248</v>
      </c>
      <c r="G70" s="10" t="n">
        <v>2.060260086898247</v>
      </c>
      <c r="H70" s="10" t="n">
        <v>2.149532694560664</v>
      </c>
      <c r="I70" s="10" t="n">
        <v>2.234226312561935</v>
      </c>
      <c r="J70" s="10" t="n">
        <v>2.314515096983254</v>
      </c>
      <c r="K70" s="10" t="n">
        <v>2.390605766453758</v>
      </c>
      <c r="L70" s="10" t="n">
        <v>2.462726467376615</v>
      </c>
      <c r="M70" s="10" t="n">
        <v>2.531105402029386</v>
      </c>
      <c r="N70" s="10" t="n">
        <v>2.595963836256944</v>
      </c>
      <c r="O70" s="10" t="n">
        <v>2.657517186599264</v>
      </c>
      <c r="P70" s="10" t="n">
        <v>2.715976028792261</v>
      </c>
      <c r="Q70" s="10" t="n">
        <v>2.771546383513602</v>
      </c>
      <c r="R70" s="10" t="n">
        <v>2.824422660374733</v>
      </c>
      <c r="S70" s="10" t="n">
        <v>2.874779794981826</v>
      </c>
      <c r="T70" s="10" t="n">
        <v>2.922774507746023</v>
      </c>
      <c r="U70" s="10" t="n">
        <v>2.968547324255576</v>
      </c>
      <c r="V70" s="10" t="n">
        <v>3.012224807790701</v>
      </c>
      <c r="W70" s="10" t="n">
        <v>3.053921436277831</v>
      </c>
      <c r="X70" s="10" t="n">
        <v>3.093740249469321</v>
      </c>
      <c r="Y70" s="10" t="n">
        <v>3.13177308259527</v>
      </c>
      <c r="Z70" s="10" t="n">
        <v>3.168101857098959</v>
      </c>
      <c r="AA70" s="10" t="n">
        <v>3.202800067427561</v>
      </c>
      <c r="AB70" s="10" t="n">
        <v>3.235934122922162</v>
      </c>
      <c r="AC70" s="10" t="n">
        <v>3.26756423044613</v>
      </c>
      <c r="AD70" s="10" t="n">
        <v>3.297745116268991</v>
      </c>
      <c r="AE70" s="10" t="n">
        <v>3.326526761983765</v>
      </c>
      <c r="AF70" s="10" t="n">
        <v>3.353955381384206</v>
      </c>
      <c r="AG70" s="10" t="n">
        <v>3.380074022932931</v>
      </c>
      <c r="AH70" s="10" t="n">
        <v>3.404922894495058</v>
      </c>
      <c r="AI70" s="10" t="n">
        <v>3.428539593435452</v>
      </c>
      <c r="AJ70" s="10" t="n">
        <v>3.450959344887883</v>
      </c>
      <c r="AK70" s="10" t="n">
        <v>3.472215238310471</v>
      </c>
    </row>
    <row r="71">
      <c r="A71" s="9" t="n">
        <v>-54</v>
      </c>
      <c r="B71" s="7" t="n">
        <v>41415</v>
      </c>
      <c r="C71" s="10" t="n">
        <v>1.673752170113716</v>
      </c>
      <c r="D71" s="10" t="n">
        <v>1.782978421491665</v>
      </c>
      <c r="E71" s="10" t="n">
        <v>1.887368221716158</v>
      </c>
      <c r="F71" s="10" t="n">
        <v>1.98682491332883</v>
      </c>
      <c r="G71" s="10" t="n">
        <v>2.081356305475396</v>
      </c>
      <c r="H71" s="10" t="n">
        <v>2.171041976638168</v>
      </c>
      <c r="I71" s="10" t="n">
        <v>2.256016801630075</v>
      </c>
      <c r="J71" s="10" t="n">
        <v>2.33645893065322</v>
      </c>
      <c r="K71" s="10" t="n">
        <v>2.412580740570117</v>
      </c>
      <c r="L71" s="10" t="n">
        <v>2.484617390832518</v>
      </c>
      <c r="M71" s="10" t="n">
        <v>2.552805503482074</v>
      </c>
      <c r="N71" s="10" t="n">
        <v>2.617376120815367</v>
      </c>
      <c r="O71" s="10" t="n">
        <v>2.678555558472091</v>
      </c>
      <c r="P71" s="10" t="n">
        <v>2.736566220375892</v>
      </c>
      <c r="Q71" s="10" t="n">
        <v>2.791626714544321</v>
      </c>
      <c r="R71" s="10" t="n">
        <v>2.843944586313554</v>
      </c>
      <c r="S71" s="10" t="n">
        <v>2.893708331216366</v>
      </c>
      <c r="T71" s="10" t="n">
        <v>2.941087941964874</v>
      </c>
      <c r="U71" s="10" t="n">
        <v>2.986236153341804</v>
      </c>
      <c r="V71" s="10" t="n">
        <v>3.029290728618972</v>
      </c>
      <c r="W71" s="10" t="n">
        <v>3.070376439283444</v>
      </c>
      <c r="X71" s="10" t="n">
        <v>3.109605269919302</v>
      </c>
      <c r="Y71" s="10" t="n">
        <v>3.147076124817319</v>
      </c>
      <c r="Z71" s="10" t="n">
        <v>3.182876274531442</v>
      </c>
      <c r="AA71" s="10" t="n">
        <v>3.21708307228261</v>
      </c>
      <c r="AB71" s="10" t="n">
        <v>3.249765492206369</v>
      </c>
      <c r="AC71" s="10" t="n">
        <v>3.280985167237202</v>
      </c>
      <c r="AD71" s="10" t="n">
        <v>3.310797243516884</v>
      </c>
      <c r="AE71" s="10" t="n">
        <v>3.339251244797197</v>
      </c>
      <c r="AF71" s="10" t="n">
        <v>3.366392196395509</v>
      </c>
      <c r="AG71" s="10" t="n">
        <v>3.392261326021206</v>
      </c>
      <c r="AH71" s="10" t="n">
        <v>3.416896502800292</v>
      </c>
      <c r="AI71" s="10" t="n">
        <v>3.440332704447447</v>
      </c>
      <c r="AJ71" s="10" t="n">
        <v>3.462602361813825</v>
      </c>
      <c r="AK71" s="10" t="n">
        <v>3.483735614720893</v>
      </c>
    </row>
    <row r="72">
      <c r="A72" s="9" t="n">
        <v>-53</v>
      </c>
      <c r="B72" s="7" t="n">
        <v>41416</v>
      </c>
      <c r="C72" s="10" t="n">
        <v>1.636315959219213</v>
      </c>
      <c r="D72" s="10" t="n">
        <v>1.745373675705854</v>
      </c>
      <c r="E72" s="10" t="n">
        <v>1.849729542112984</v>
      </c>
      <c r="F72" s="10" t="n">
        <v>1.949274147261179</v>
      </c>
      <c r="G72" s="10" t="n">
        <v>2.044002025084897</v>
      </c>
      <c r="H72" s="10" t="n">
        <v>2.133979559488459</v>
      </c>
      <c r="I72" s="10" t="n">
        <v>2.219328506454445</v>
      </c>
      <c r="J72" s="10" t="n">
        <v>2.300213956635391</v>
      </c>
      <c r="K72" s="10" t="n">
        <v>2.376835273937312</v>
      </c>
      <c r="L72" s="10" t="n">
        <v>2.449414778009791</v>
      </c>
      <c r="M72" s="10" t="n">
        <v>2.51817710611922</v>
      </c>
      <c r="N72" s="10" t="n">
        <v>2.583342377964787</v>
      </c>
      <c r="O72" s="10" t="n">
        <v>2.645126870234745</v>
      </c>
      <c r="P72" s="10" t="n">
        <v>2.703743679194513</v>
      </c>
      <c r="Q72" s="10" t="n">
        <v>2.759402701227384</v>
      </c>
      <c r="R72" s="10" t="n">
        <v>2.81230321082757</v>
      </c>
      <c r="S72" s="10" t="n">
        <v>2.862625869759295</v>
      </c>
      <c r="T72" s="10" t="n">
        <v>2.910533575806561</v>
      </c>
      <c r="U72" s="10" t="n">
        <v>2.956173040182251</v>
      </c>
      <c r="V72" s="10" t="n">
        <v>2.999676976270842</v>
      </c>
      <c r="W72" s="10" t="n">
        <v>3.041165960672541</v>
      </c>
      <c r="X72" s="10" t="n">
        <v>3.080748802410499</v>
      </c>
      <c r="Y72" s="10" t="n">
        <v>3.118522491245729</v>
      </c>
      <c r="Z72" s="10" t="n">
        <v>3.154573527762191</v>
      </c>
      <c r="AA72" s="10" t="n">
        <v>3.188979419191265</v>
      </c>
      <c r="AB72" s="10" t="n">
        <v>3.221810005018897</v>
      </c>
      <c r="AC72" s="10" t="n">
        <v>3.253128397493446</v>
      </c>
      <c r="AD72" s="10" t="n">
        <v>3.282991764533201</v>
      </c>
      <c r="AE72" s="10" t="n">
        <v>3.311452110227354</v>
      </c>
      <c r="AF72" s="10" t="n">
        <v>3.338557255103816</v>
      </c>
      <c r="AG72" s="10" t="n">
        <v>3.364351461069535</v>
      </c>
      <c r="AH72" s="10" t="n">
        <v>3.388875806531329</v>
      </c>
      <c r="AI72" s="10" t="n">
        <v>3.412168489709682</v>
      </c>
      <c r="AJ72" s="10" t="n">
        <v>3.4342651107391</v>
      </c>
      <c r="AK72" s="10" t="n">
        <v>3.455198931209969</v>
      </c>
    </row>
    <row r="73">
      <c r="A73" s="9" t="n">
        <v>-52</v>
      </c>
      <c r="B73" s="7" t="n">
        <v>41417</v>
      </c>
      <c r="C73" s="10" t="n">
        <v>1.657455257272818</v>
      </c>
      <c r="D73" s="10" t="n">
        <v>1.766172982324782</v>
      </c>
      <c r="E73" s="10" t="n">
        <v>1.870052298958911</v>
      </c>
      <c r="F73" s="10" t="n">
        <v>1.96898438461966</v>
      </c>
      <c r="G73" s="10" t="n">
        <v>2.062966720822799</v>
      </c>
      <c r="H73" s="10" t="n">
        <v>2.152071686214921</v>
      </c>
      <c r="I73" s="10" t="n">
        <v>2.236429414283819</v>
      </c>
      <c r="J73" s="10" t="n">
        <v>2.31621523795823</v>
      </c>
      <c r="K73" s="10" t="n">
        <v>2.391640238937389</v>
      </c>
      <c r="L73" s="10" t="n">
        <v>2.462939710290185</v>
      </c>
      <c r="M73" s="10" t="n">
        <v>2.530352758130708</v>
      </c>
      <c r="N73" s="10" t="n">
        <v>2.594115455916141</v>
      </c>
      <c r="O73" s="10" t="n">
        <v>2.654461262553128</v>
      </c>
      <c r="P73" s="10" t="n">
        <v>2.711621473182351</v>
      </c>
      <c r="Q73" s="10" t="n">
        <v>2.765824981052539</v>
      </c>
      <c r="R73" s="10" t="n">
        <v>2.817290162476021</v>
      </c>
      <c r="S73" s="10" t="n">
        <v>2.866216237623794</v>
      </c>
      <c r="T73" s="10" t="n">
        <v>2.912783125325226</v>
      </c>
      <c r="U73" s="10" t="n">
        <v>2.957152013649182</v>
      </c>
      <c r="V73" s="10" t="n">
        <v>2.999467768877349</v>
      </c>
      <c r="W73" s="10" t="n">
        <v>3.039861059533716</v>
      </c>
      <c r="X73" s="10" t="n">
        <v>3.078448127341908</v>
      </c>
      <c r="Y73" s="10" t="n">
        <v>3.115330013731386</v>
      </c>
      <c r="Z73" s="10" t="n">
        <v>3.150594213153883</v>
      </c>
      <c r="AA73" s="10" t="n">
        <v>3.184316800173133</v>
      </c>
      <c r="AB73" s="10" t="n">
        <v>3.216564353194283</v>
      </c>
      <c r="AC73" s="10" t="n">
        <v>3.247395148231194</v>
      </c>
      <c r="AD73" s="10" t="n">
        <v>3.276860125742085</v>
      </c>
      <c r="AE73" s="10" t="n">
        <v>3.305003940763307</v>
      </c>
      <c r="AF73" s="10" t="n">
        <v>3.33186648857813</v>
      </c>
      <c r="AG73" s="10" t="n">
        <v>3.357483765086084</v>
      </c>
      <c r="AH73" s="10" t="n">
        <v>3.38188840175732</v>
      </c>
      <c r="AI73" s="10" t="n">
        <v>3.405110443636084</v>
      </c>
      <c r="AJ73" s="10" t="n">
        <v>3.427177789286244</v>
      </c>
      <c r="AK73" s="10" t="n">
        <v>3.44811640932162</v>
      </c>
    </row>
    <row r="74">
      <c r="A74" s="9" t="n">
        <v>-51</v>
      </c>
      <c r="B74" s="7" t="n">
        <v>41418</v>
      </c>
      <c r="C74" s="10" t="n">
        <v>1.64066159205571</v>
      </c>
      <c r="D74" s="10" t="n">
        <v>1.747717149114795</v>
      </c>
      <c r="E74" s="10" t="n">
        <v>1.850155758545395</v>
      </c>
      <c r="F74" s="10" t="n">
        <v>1.947848728345725</v>
      </c>
      <c r="G74" s="10" t="n">
        <v>2.040771232110081</v>
      </c>
      <c r="H74" s="10" t="n">
        <v>2.128973468189455</v>
      </c>
      <c r="I74" s="10" t="n">
        <v>2.212563534757037</v>
      </c>
      <c r="J74" s="10" t="n">
        <v>2.291694842890342</v>
      </c>
      <c r="K74" s="10" t="n">
        <v>2.366556640932372</v>
      </c>
      <c r="L74" s="10" t="n">
        <v>2.43736293145594</v>
      </c>
      <c r="M74" s="10" t="n">
        <v>2.504334376617873</v>
      </c>
      <c r="N74" s="10" t="n">
        <v>2.567692116253296</v>
      </c>
      <c r="O74" s="10" t="n">
        <v>2.627657593054334</v>
      </c>
      <c r="P74" s="10" t="n">
        <v>2.68445250035339</v>
      </c>
      <c r="Q74" s="10" t="n">
        <v>2.738298075418543</v>
      </c>
      <c r="R74" s="10" t="n">
        <v>2.789406348638828</v>
      </c>
      <c r="S74" s="10" t="n">
        <v>2.837971398812855</v>
      </c>
      <c r="T74" s="10" t="n">
        <v>2.884169117963541</v>
      </c>
      <c r="U74" s="10" t="n">
        <v>2.92815773701056</v>
      </c>
      <c r="V74" s="10" t="n">
        <v>2.970080110849629</v>
      </c>
      <c r="W74" s="10" t="n">
        <v>3.010065694590829</v>
      </c>
      <c r="X74" s="10" t="n">
        <v>3.048230118227111</v>
      </c>
      <c r="Y74" s="10" t="n">
        <v>3.084674353788077</v>
      </c>
      <c r="Z74" s="10" t="n">
        <v>3.119486325394617</v>
      </c>
      <c r="AA74" s="10" t="n">
        <v>3.152743012969964</v>
      </c>
      <c r="AB74" s="10" t="n">
        <v>3.184512338672723</v>
      </c>
      <c r="AC74" s="10" t="n">
        <v>3.214854307069223</v>
      </c>
      <c r="AD74" s="10" t="n">
        <v>3.243821927379038</v>
      </c>
      <c r="AE74" s="10" t="n">
        <v>3.271462212934332</v>
      </c>
      <c r="AF74" s="10" t="n">
        <v>3.297817588752249</v>
      </c>
      <c r="AG74" s="10" t="n">
        <v>3.322926682713042</v>
      </c>
      <c r="AH74" s="10" t="n">
        <v>3.346824802392256</v>
      </c>
      <c r="AI74" s="10" t="n">
        <v>3.369544522540974</v>
      </c>
      <c r="AJ74" s="10" t="n">
        <v>3.3911160586245</v>
      </c>
      <c r="AK74" s="10" t="n">
        <v>3.411567504635895</v>
      </c>
    </row>
    <row r="75">
      <c r="A75" s="9" t="n">
        <v>-50</v>
      </c>
      <c r="B75" s="7" t="n">
        <v>41422</v>
      </c>
      <c r="C75" s="10" t="n">
        <v>1.702763155614024</v>
      </c>
      <c r="D75" s="10" t="n">
        <v>1.810834309803255</v>
      </c>
      <c r="E75" s="10" t="n">
        <v>1.913985496332156</v>
      </c>
      <c r="F75" s="10" t="n">
        <v>2.012119851274746</v>
      </c>
      <c r="G75" s="10" t="n">
        <v>2.105247460714106</v>
      </c>
      <c r="H75" s="10" t="n">
        <v>2.193452183367736</v>
      </c>
      <c r="I75" s="10" t="n">
        <v>2.276874750104368</v>
      </c>
      <c r="J75" s="10" t="n">
        <v>2.355700400432845</v>
      </c>
      <c r="K75" s="10" t="n">
        <v>2.430149562436382</v>
      </c>
      <c r="L75" s="10" t="n">
        <v>2.500465764320064</v>
      </c>
      <c r="M75" s="10" t="n">
        <v>2.566894213972276</v>
      </c>
      <c r="N75" s="10" t="n">
        <v>2.629675264889697</v>
      </c>
      <c r="O75" s="10" t="n">
        <v>2.689045173470049</v>
      </c>
      <c r="P75" s="10" t="n">
        <v>2.745236805408462</v>
      </c>
      <c r="Q75" s="10" t="n">
        <v>2.798479492579984</v>
      </c>
      <c r="R75" s="10" t="n">
        <v>2.848990359926379</v>
      </c>
      <c r="S75" s="10" t="n">
        <v>2.896965735426475</v>
      </c>
      <c r="T75" s="10" t="n">
        <v>2.942581855718792</v>
      </c>
      <c r="U75" s="10" t="n">
        <v>2.985996302720769</v>
      </c>
      <c r="V75" s="10" t="n">
        <v>3.027350503059912</v>
      </c>
      <c r="W75" s="10" t="n">
        <v>3.06677183891845</v>
      </c>
      <c r="X75" s="10" t="n">
        <v>3.104373711338868</v>
      </c>
      <c r="Y75" s="10" t="n">
        <v>3.140255229941835</v>
      </c>
      <c r="Z75" s="10" t="n">
        <v>3.17450284836783</v>
      </c>
      <c r="AA75" s="10" t="n">
        <v>3.207192561823073</v>
      </c>
      <c r="AB75" s="10" t="n">
        <v>3.238391892437344</v>
      </c>
      <c r="AC75" s="10" t="n">
        <v>3.268160976357223</v>
      </c>
      <c r="AD75" s="10" t="n">
        <v>3.296553424417445</v>
      </c>
      <c r="AE75" s="10" t="n">
        <v>3.323617290197632</v>
      </c>
      <c r="AF75" s="10" t="n">
        <v>3.349396497971488</v>
      </c>
      <c r="AG75" s="10" t="n">
        <v>3.373931606757654</v>
      </c>
      <c r="AH75" s="10" t="n">
        <v>3.397260175918575</v>
      </c>
      <c r="AI75" s="10" t="n">
        <v>3.419417082634137</v>
      </c>
      <c r="AJ75" s="10" t="n">
        <v>3.440434797532577</v>
      </c>
      <c r="AK75" s="10" t="n">
        <v>3.460343625383251</v>
      </c>
    </row>
    <row r="76">
      <c r="A76" s="9" t="n">
        <v>-49</v>
      </c>
      <c r="B76" s="7" t="n">
        <v>41423</v>
      </c>
      <c r="C76" s="10" t="n">
        <v>1.747149842082668</v>
      </c>
      <c r="D76" s="10" t="n">
        <v>1.855631862669006</v>
      </c>
      <c r="E76" s="10" t="n">
        <v>1.959129833512149</v>
      </c>
      <c r="F76" s="10" t="n">
        <v>2.057554893217361</v>
      </c>
      <c r="G76" s="10" t="n">
        <v>2.150921896303533</v>
      </c>
      <c r="H76" s="10" t="n">
        <v>2.239318080256358</v>
      </c>
      <c r="I76" s="10" t="n">
        <v>2.322886502644788</v>
      </c>
      <c r="J76" s="10" t="n">
        <v>2.401813906320332</v>
      </c>
      <c r="K76" s="10" t="n">
        <v>2.476321570186391</v>
      </c>
      <c r="L76" s="10" t="n">
        <v>2.546653458485911</v>
      </c>
      <c r="M76" s="10" t="n">
        <v>2.613055454451155</v>
      </c>
      <c r="N76" s="10" t="n">
        <v>2.675769066922721</v>
      </c>
      <c r="O76" s="10" t="n">
        <v>2.735032109773746</v>
      </c>
      <c r="P76" s="10" t="n">
        <v>2.791079338973251</v>
      </c>
      <c r="Q76" s="10" t="n">
        <v>2.844142217823093</v>
      </c>
      <c r="R76" s="10" t="n">
        <v>2.894439893329264</v>
      </c>
      <c r="S76" s="10" t="n">
        <v>2.942170407502727</v>
      </c>
      <c r="T76" s="10" t="n">
        <v>2.987511557946686</v>
      </c>
      <c r="U76" s="10" t="n">
        <v>3.030622504400272</v>
      </c>
      <c r="V76" s="10" t="n">
        <v>3.071646284112086</v>
      </c>
      <c r="W76" s="10" t="n">
        <v>3.110711921662316</v>
      </c>
      <c r="X76" s="10" t="n">
        <v>3.147934566602235</v>
      </c>
      <c r="Y76" s="10" t="n">
        <v>3.183415285797704</v>
      </c>
      <c r="Z76" s="10" t="n">
        <v>3.217242692925779</v>
      </c>
      <c r="AA76" s="10" t="n">
        <v>3.249495166062979</v>
      </c>
      <c r="AB76" s="10" t="n">
        <v>3.28024284916069</v>
      </c>
      <c r="AC76" s="10" t="n">
        <v>3.309548714207312</v>
      </c>
      <c r="AD76" s="10" t="n">
        <v>3.337469396988612</v>
      </c>
      <c r="AE76" s="10" t="n">
        <v>3.364056132287541</v>
      </c>
      <c r="AF76" s="10" t="n">
        <v>3.389356113826706</v>
      </c>
      <c r="AG76" s="10" t="n">
        <v>3.413413224972418</v>
      </c>
      <c r="AH76" s="10" t="n">
        <v>3.43626834932603</v>
      </c>
      <c r="AI76" s="10" t="n">
        <v>3.457959517540544</v>
      </c>
      <c r="AJ76" s="10" t="n">
        <v>3.47852213511373</v>
      </c>
      <c r="AK76" s="10" t="n">
        <v>3.497989243707786</v>
      </c>
    </row>
    <row r="77">
      <c r="A77" s="9" t="n">
        <v>-48</v>
      </c>
      <c r="B77" s="7" t="n">
        <v>41424</v>
      </c>
      <c r="C77" s="10" t="n">
        <v>1.708813353281397</v>
      </c>
      <c r="D77" s="10" t="n">
        <v>1.816357444763006</v>
      </c>
      <c r="E77" s="10" t="n">
        <v>1.91917823929928</v>
      </c>
      <c r="F77" s="10" t="n">
        <v>2.017176349685498</v>
      </c>
      <c r="G77" s="10" t="n">
        <v>2.110349327936002</v>
      </c>
      <c r="H77" s="10" t="n">
        <v>2.198763298660236</v>
      </c>
      <c r="I77" s="10" t="n">
        <v>2.282537287690219</v>
      </c>
      <c r="J77" s="10" t="n">
        <v>2.361831721814768</v>
      </c>
      <c r="K77" s="10" t="n">
        <v>2.436839759773485</v>
      </c>
      <c r="L77" s="10" t="n">
        <v>2.507776403544495</v>
      </c>
      <c r="M77" s="10" t="n">
        <v>2.57486007385521</v>
      </c>
      <c r="N77" s="10" t="n">
        <v>2.638306892073908</v>
      </c>
      <c r="O77" s="10" t="n">
        <v>2.698331006086362</v>
      </c>
      <c r="P77" s="10" t="n">
        <v>2.755144930551437</v>
      </c>
      <c r="Q77" s="10" t="n">
        <v>2.808959133877683</v>
      </c>
      <c r="R77" s="10" t="n">
        <v>2.859973717971618</v>
      </c>
      <c r="S77" s="10" t="n">
        <v>2.908370480169259</v>
      </c>
      <c r="T77" s="10" t="n">
        <v>2.954313963523717</v>
      </c>
      <c r="U77" s="10" t="n">
        <v>2.997953174983302</v>
      </c>
      <c r="V77" s="10" t="n">
        <v>3.03942371820737</v>
      </c>
      <c r="W77" s="10" t="n">
        <v>3.078849560700037</v>
      </c>
      <c r="X77" s="10" t="n">
        <v>3.11634334625677</v>
      </c>
      <c r="Y77" s="10" t="n">
        <v>3.152006443234453</v>
      </c>
      <c r="Z77" s="10" t="n">
        <v>3.185930256199664</v>
      </c>
      <c r="AA77" s="10" t="n">
        <v>3.218197781276733</v>
      </c>
      <c r="AB77" s="10" t="n">
        <v>3.2488849805169</v>
      </c>
      <c r="AC77" s="10" t="n">
        <v>3.278061656655338</v>
      </c>
      <c r="AD77" s="10" t="n">
        <v>3.305792170211343</v>
      </c>
      <c r="AE77" s="10" t="n">
        <v>3.332136161021201</v>
      </c>
      <c r="AF77" s="10" t="n">
        <v>3.357149432112839</v>
      </c>
      <c r="AG77" s="10" t="n">
        <v>3.380884501637773</v>
      </c>
      <c r="AH77" s="10" t="n">
        <v>3.403390792568015</v>
      </c>
      <c r="AI77" s="10" t="n">
        <v>3.424714392294659</v>
      </c>
      <c r="AJ77" s="10" t="n">
        <v>3.44489818051177</v>
      </c>
      <c r="AK77" s="10" t="n">
        <v>3.463982146079634</v>
      </c>
    </row>
    <row r="78">
      <c r="A78" s="9" t="n">
        <v>-47</v>
      </c>
      <c r="B78" s="7" t="n">
        <v>41425</v>
      </c>
      <c r="C78" s="10" t="n">
        <v>1.757374692984578</v>
      </c>
      <c r="D78" s="10" t="n">
        <v>1.866358557392561</v>
      </c>
      <c r="E78" s="10" t="n">
        <v>1.970401724107255</v>
      </c>
      <c r="F78" s="10" t="n">
        <v>2.069412762947975</v>
      </c>
      <c r="G78" s="10" t="n">
        <v>2.16339710303921</v>
      </c>
      <c r="H78" s="10" t="n">
        <v>2.252429919425992</v>
      </c>
      <c r="I78" s="10" t="n">
        <v>2.336640221545484</v>
      </c>
      <c r="J78" s="10" t="n">
        <v>2.416199150098251</v>
      </c>
      <c r="K78" s="10" t="n">
        <v>2.491311149829012</v>
      </c>
      <c r="L78" s="10" t="n">
        <v>2.562202851830746</v>
      </c>
      <c r="M78" s="10" t="n">
        <v>2.629104760932026</v>
      </c>
      <c r="N78" s="10" t="n">
        <v>2.692245702110304</v>
      </c>
      <c r="O78" s="10" t="n">
        <v>2.751853046460691</v>
      </c>
      <c r="P78" s="10" t="n">
        <v>2.808152961865328</v>
      </c>
      <c r="Q78" s="10" t="n">
        <v>2.861369905243234</v>
      </c>
      <c r="R78" s="10" t="n">
        <v>2.91171838801916</v>
      </c>
      <c r="S78" s="10" t="n">
        <v>2.959395383311776</v>
      </c>
      <c r="T78" s="10" t="n">
        <v>3.004580510700746</v>
      </c>
      <c r="U78" s="10" t="n">
        <v>3.047436892969654</v>
      </c>
      <c r="V78" s="10" t="n">
        <v>3.088113341657954</v>
      </c>
      <c r="W78" s="10" t="n">
        <v>3.126746189502148</v>
      </c>
      <c r="X78" s="10" t="n">
        <v>3.163459006537758</v>
      </c>
      <c r="Y78" s="10" t="n">
        <v>3.19836210448013</v>
      </c>
      <c r="Z78" s="10" t="n">
        <v>3.2315540323153</v>
      </c>
      <c r="AA78" s="10" t="n">
        <v>3.263123331468397</v>
      </c>
      <c r="AB78" s="10" t="n">
        <v>3.293150065683851</v>
      </c>
      <c r="AC78" s="10" t="n">
        <v>3.321706861909109</v>
      </c>
      <c r="AD78" s="10" t="n">
        <v>3.348859776182898</v>
      </c>
      <c r="AE78" s="10" t="n">
        <v>3.374669157857847</v>
      </c>
      <c r="AF78" s="10" t="n">
        <v>3.399190677696125</v>
      </c>
      <c r="AG78" s="10" t="n">
        <v>3.42247597950955</v>
      </c>
      <c r="AH78" s="10" t="n">
        <v>3.444573020285854</v>
      </c>
      <c r="AI78" s="10" t="n">
        <v>3.465526151546133</v>
      </c>
      <c r="AJ78" s="10" t="n">
        <v>3.485376377171023</v>
      </c>
      <c r="AK78" s="10" t="n">
        <v>3.504161686300793</v>
      </c>
    </row>
    <row r="79">
      <c r="A79" s="9" t="n">
        <v>-46</v>
      </c>
      <c r="B79" s="7" t="n">
        <v>41428</v>
      </c>
      <c r="C79" s="10" t="n">
        <v>1.749389377898363</v>
      </c>
      <c r="D79" s="10" t="n">
        <v>1.858185030795178</v>
      </c>
      <c r="E79" s="10" t="n">
        <v>1.962212915611874</v>
      </c>
      <c r="F79" s="10" t="n">
        <v>2.061391788893772</v>
      </c>
      <c r="G79" s="10" t="n">
        <v>2.155727010824342</v>
      </c>
      <c r="H79" s="10" t="n">
        <v>2.245285909550196</v>
      </c>
      <c r="I79" s="10" t="n">
        <v>2.330183639876641</v>
      </c>
      <c r="J79" s="10" t="n">
        <v>2.410572786167964</v>
      </c>
      <c r="K79" s="10" t="n">
        <v>2.486635517595066</v>
      </c>
      <c r="L79" s="10" t="n">
        <v>2.558573616042895</v>
      </c>
      <c r="M79" s="10" t="n">
        <v>2.626592087424361</v>
      </c>
      <c r="N79" s="10" t="n">
        <v>2.690894274680119</v>
      </c>
      <c r="O79" s="10" t="n">
        <v>2.751682090970788</v>
      </c>
      <c r="P79" s="10" t="n">
        <v>2.809156266190751</v>
      </c>
      <c r="Q79" s="10" t="n">
        <v>2.863515935703473</v>
      </c>
      <c r="R79" s="10" t="n">
        <v>2.914951704776682</v>
      </c>
      <c r="S79" s="10" t="n">
        <v>2.963639383443903</v>
      </c>
      <c r="T79" s="10" t="n">
        <v>3.009740686424455</v>
      </c>
      <c r="U79" s="10" t="n">
        <v>3.0534044501007</v>
      </c>
      <c r="V79" s="10" t="n">
        <v>3.094768387216202</v>
      </c>
      <c r="W79" s="10" t="n">
        <v>3.133960541004136</v>
      </c>
      <c r="X79" s="10" t="n">
        <v>3.17109945805216</v>
      </c>
      <c r="Y79" s="10" t="n">
        <v>3.206294201105115</v>
      </c>
      <c r="Z79" s="10" t="n">
        <v>3.239645433183396</v>
      </c>
      <c r="AA79" s="10" t="n">
        <v>3.271246411710433</v>
      </c>
      <c r="AB79" s="10" t="n">
        <v>3.301183831691885</v>
      </c>
      <c r="AC79" s="10" t="n">
        <v>3.329538600922174</v>
      </c>
      <c r="AD79" s="10" t="n">
        <v>3.356386512597964</v>
      </c>
      <c r="AE79" s="10" t="n">
        <v>3.381798794989335</v>
      </c>
      <c r="AF79" s="10" t="n">
        <v>3.405842514293994</v>
      </c>
      <c r="AG79" s="10" t="n">
        <v>3.428580986607911</v>
      </c>
      <c r="AH79" s="10" t="n">
        <v>3.450073906580152</v>
      </c>
      <c r="AI79" s="10" t="n">
        <v>3.470376836660868</v>
      </c>
      <c r="AJ79" s="10" t="n">
        <v>3.489541309832505</v>
      </c>
      <c r="AK79" s="10" t="n">
        <v>3.50761522730564</v>
      </c>
    </row>
    <row r="80">
      <c r="A80" s="9" t="n">
        <v>-45</v>
      </c>
      <c r="B80" s="7" t="n">
        <v>41429</v>
      </c>
      <c r="C80" s="10" t="n">
        <v>1.79505003215299</v>
      </c>
      <c r="D80" s="10" t="n">
        <v>1.904410164396124</v>
      </c>
      <c r="E80" s="10" t="n">
        <v>2.008879187590109</v>
      </c>
      <c r="F80" s="10" t="n">
        <v>2.10838202819516</v>
      </c>
      <c r="G80" s="10" t="n">
        <v>2.202928045198953</v>
      </c>
      <c r="H80" s="10" t="n">
        <v>2.292587990761231</v>
      </c>
      <c r="I80" s="10" t="n">
        <v>2.37748001669462</v>
      </c>
      <c r="J80" s="10" t="n">
        <v>2.45775937019226</v>
      </c>
      <c r="K80" s="10" t="n">
        <v>2.53361062174058</v>
      </c>
      <c r="L80" s="10" t="n">
        <v>2.605238132050093</v>
      </c>
      <c r="M80" s="10" t="n">
        <v>2.672850977632566</v>
      </c>
      <c r="N80" s="10" t="n">
        <v>2.736658293943903</v>
      </c>
      <c r="O80" s="10" t="n">
        <v>2.796869210246704</v>
      </c>
      <c r="P80" s="10" t="n">
        <v>2.853692850678081</v>
      </c>
      <c r="Q80" s="10" t="n">
        <v>2.907337756892749</v>
      </c>
      <c r="R80" s="10" t="n">
        <v>2.958005257361176</v>
      </c>
      <c r="S80" s="10" t="n">
        <v>3.005883489824861</v>
      </c>
      <c r="T80" s="10" t="n">
        <v>3.051146985304705</v>
      </c>
      <c r="U80" s="10" t="n">
        <v>3.093956837949695</v>
      </c>
      <c r="V80" s="10" t="n">
        <v>3.134462445410991</v>
      </c>
      <c r="W80" s="10" t="n">
        <v>3.172802984473051</v>
      </c>
      <c r="X80" s="10" t="n">
        <v>3.209106963932049</v>
      </c>
      <c r="Y80" s="10" t="n">
        <v>3.24349165767606</v>
      </c>
      <c r="Z80" s="10" t="n">
        <v>3.276064335655029</v>
      </c>
      <c r="AA80" s="10" t="n">
        <v>3.30692339582981</v>
      </c>
      <c r="AB80" s="10" t="n">
        <v>3.336159320376627</v>
      </c>
      <c r="AC80" s="10" t="n">
        <v>3.363855605580813</v>
      </c>
      <c r="AD80" s="10" t="n">
        <v>3.390089573794593</v>
      </c>
      <c r="AE80" s="10" t="n">
        <v>3.414933041018324</v>
      </c>
      <c r="AF80" s="10" t="n">
        <v>3.438452817627339</v>
      </c>
      <c r="AG80" s="10" t="n">
        <v>3.460711210614522</v>
      </c>
      <c r="AH80" s="10" t="n">
        <v>3.481766289764417</v>
      </c>
      <c r="AI80" s="10" t="n">
        <v>3.501671638988601</v>
      </c>
      <c r="AJ80" s="10" t="n">
        <v>3.520476569323509</v>
      </c>
      <c r="AK80" s="10" t="n">
        <v>3.538226542301016</v>
      </c>
    </row>
    <row r="81">
      <c r="A81" s="9" t="n">
        <v>-44</v>
      </c>
      <c r="B81" s="7" t="n">
        <v>41430</v>
      </c>
      <c r="C81" s="10" t="n">
        <v>1.768948957157841</v>
      </c>
      <c r="D81" s="10" t="n">
        <v>1.878001269619446</v>
      </c>
      <c r="E81" s="10" t="n">
        <v>1.98221602715274</v>
      </c>
      <c r="F81" s="10" t="n">
        <v>2.081525603247377</v>
      </c>
      <c r="G81" s="10" t="n">
        <v>2.175944614176797</v>
      </c>
      <c r="H81" s="10" t="n">
        <v>2.265547133134718</v>
      </c>
      <c r="I81" s="10" t="n">
        <v>2.350453134536526</v>
      </c>
      <c r="J81" s="10" t="n">
        <v>2.430818515492831</v>
      </c>
      <c r="K81" s="10" t="n">
        <v>2.506827562554246</v>
      </c>
      <c r="L81" s="10" t="n">
        <v>2.578683280288357</v>
      </c>
      <c r="M81" s="10" t="n">
        <v>2.64659168006781</v>
      </c>
      <c r="N81" s="10" t="n">
        <v>2.710757207600855</v>
      </c>
      <c r="O81" s="10" t="n">
        <v>2.771382966250582</v>
      </c>
      <c r="P81" s="10" t="n">
        <v>2.828670948473741</v>
      </c>
      <c r="Q81" s="10" t="n">
        <v>2.882821617395886</v>
      </c>
      <c r="R81" s="10" t="n">
        <v>2.934027246744381</v>
      </c>
      <c r="S81" s="10" t="n">
        <v>2.982466043618645</v>
      </c>
      <c r="T81" s="10" t="n">
        <v>3.028302491281353</v>
      </c>
      <c r="U81" s="10" t="n">
        <v>3.071688206295012</v>
      </c>
      <c r="V81" s="10" t="n">
        <v>3.112763664773826</v>
      </c>
      <c r="W81" s="10" t="n">
        <v>3.151659641122168</v>
      </c>
      <c r="X81" s="10" t="n">
        <v>3.188497207779572</v>
      </c>
      <c r="Y81" s="10" t="n">
        <v>3.223387615243755</v>
      </c>
      <c r="Z81" s="10" t="n">
        <v>3.25643340311823</v>
      </c>
      <c r="AA81" s="10" t="n">
        <v>3.287729383205789</v>
      </c>
      <c r="AB81" s="10" t="n">
        <v>3.317363471061642</v>
      </c>
      <c r="AC81" s="10" t="n">
        <v>3.345417496159064</v>
      </c>
      <c r="AD81" s="10" t="n">
        <v>3.371967909135547</v>
      </c>
      <c r="AE81" s="10" t="n">
        <v>3.397086352514798</v>
      </c>
      <c r="AF81" s="10" t="n">
        <v>3.420840064282794</v>
      </c>
      <c r="AG81" s="10" t="n">
        <v>3.443292307884928</v>
      </c>
      <c r="AH81" s="10" t="n">
        <v>3.464502542228928</v>
      </c>
      <c r="AI81" s="10" t="n">
        <v>3.484526008937792</v>
      </c>
      <c r="AJ81" s="10" t="n">
        <v>3.503413879306735</v>
      </c>
      <c r="AK81" s="10" t="n">
        <v>3.521213656929005</v>
      </c>
    </row>
    <row r="82">
      <c r="A82" s="9" t="n">
        <v>-43</v>
      </c>
      <c r="B82" s="7" t="n">
        <v>41431</v>
      </c>
      <c r="C82" s="10" t="n">
        <v>1.790577228009187</v>
      </c>
      <c r="D82" s="10" t="n">
        <v>1.89940514144319</v>
      </c>
      <c r="E82" s="10" t="n">
        <v>2.003289244357014</v>
      </c>
      <c r="F82" s="10" t="n">
        <v>2.102155521877778</v>
      </c>
      <c r="G82" s="10" t="n">
        <v>2.19601356808253</v>
      </c>
      <c r="H82" s="10" t="n">
        <v>2.284935794400673</v>
      </c>
      <c r="I82" s="10" t="n">
        <v>2.369043142189418</v>
      </c>
      <c r="J82" s="10" t="n">
        <v>2.448494532749472</v>
      </c>
      <c r="K82" s="10" t="n">
        <v>2.523478908861168</v>
      </c>
      <c r="L82" s="10" t="n">
        <v>2.594205628927788</v>
      </c>
      <c r="M82" s="10" t="n">
        <v>2.660889756489918</v>
      </c>
      <c r="N82" s="10" t="n">
        <v>2.723747472972093</v>
      </c>
      <c r="O82" s="10" t="n">
        <v>2.782995830057767</v>
      </c>
      <c r="P82" s="10" t="n">
        <v>2.838852599644668</v>
      </c>
      <c r="Q82" s="10" t="n">
        <v>2.891535472466822</v>
      </c>
      <c r="R82" s="10" t="n">
        <v>2.941254399534837</v>
      </c>
      <c r="S82" s="10" t="n">
        <v>2.988204885961348</v>
      </c>
      <c r="T82" s="10" t="n">
        <v>3.032567553898679</v>
      </c>
      <c r="U82" s="10" t="n">
        <v>3.074508381367041</v>
      </c>
      <c r="V82" s="10" t="n">
        <v>3.114180609367312</v>
      </c>
      <c r="W82" s="10" t="n">
        <v>3.151726333899159</v>
      </c>
      <c r="X82" s="10" t="n">
        <v>3.187275908282513</v>
      </c>
      <c r="Y82" s="10" t="n">
        <v>3.220947274332673</v>
      </c>
      <c r="Z82" s="10" t="n">
        <v>3.252847341029563</v>
      </c>
      <c r="AA82" s="10" t="n">
        <v>3.283073418692742</v>
      </c>
      <c r="AB82" s="10" t="n">
        <v>3.311714446586828</v>
      </c>
      <c r="AC82" s="10" t="n">
        <v>3.338851994953944</v>
      </c>
      <c r="AD82" s="10" t="n">
        <v>3.364561121901237</v>
      </c>
      <c r="AE82" s="10" t="n">
        <v>3.388911115601956</v>
      </c>
      <c r="AF82" s="10" t="n">
        <v>3.411966142359223</v>
      </c>
      <c r="AG82" s="10" t="n">
        <v>3.433785803684207</v>
      </c>
      <c r="AH82" s="10" t="n">
        <v>3.454425439932308</v>
      </c>
      <c r="AI82" s="10" t="n">
        <v>3.473935997468816</v>
      </c>
      <c r="AJ82" s="10" t="n">
        <v>3.492364277561539</v>
      </c>
      <c r="AK82" s="10" t="n">
        <v>3.509753347877199</v>
      </c>
    </row>
    <row r="83">
      <c r="A83" s="9" t="n">
        <v>-42</v>
      </c>
      <c r="B83" s="7" t="n">
        <v>41432</v>
      </c>
      <c r="C83" s="10" t="n">
        <v>1.832414921248941</v>
      </c>
      <c r="D83" s="10" t="n">
        <v>1.940166375215483</v>
      </c>
      <c r="E83" s="10" t="n">
        <v>2.042947417132819</v>
      </c>
      <c r="F83" s="10" t="n">
        <v>2.140699371491563</v>
      </c>
      <c r="G83" s="10" t="n">
        <v>2.233442120358277</v>
      </c>
      <c r="H83" s="10" t="n">
        <v>2.321254781020403</v>
      </c>
      <c r="I83" s="10" t="n">
        <v>2.404262236468143</v>
      </c>
      <c r="J83" s="10" t="n">
        <v>2.482625186328646</v>
      </c>
      <c r="K83" s="10" t="n">
        <v>2.556532638963959</v>
      </c>
      <c r="L83" s="10" t="n">
        <v>2.626192963372684</v>
      </c>
      <c r="M83" s="10" t="n">
        <v>2.69182069349354</v>
      </c>
      <c r="N83" s="10" t="n">
        <v>2.753632401002847</v>
      </c>
      <c r="O83" s="10" t="n">
        <v>2.811846294431034</v>
      </c>
      <c r="P83" s="10" t="n">
        <v>2.866681936946423</v>
      </c>
      <c r="Q83" s="10" t="n">
        <v>2.918359314362567</v>
      </c>
      <c r="R83" s="10" t="n">
        <v>2.967091188940871</v>
      </c>
      <c r="S83" s="10" t="n">
        <v>3.013076619783683</v>
      </c>
      <c r="T83" s="10" t="n">
        <v>3.056499945828208</v>
      </c>
      <c r="U83" s="10" t="n">
        <v>3.09753054245649</v>
      </c>
      <c r="V83" s="10" t="n">
        <v>3.136324741347297</v>
      </c>
      <c r="W83" s="10" t="n">
        <v>3.173027419113729</v>
      </c>
      <c r="X83" s="10" t="n">
        <v>3.207771020956364</v>
      </c>
      <c r="Y83" s="10" t="n">
        <v>3.2406746334503</v>
      </c>
      <c r="Z83" s="10" t="n">
        <v>3.271845470514177</v>
      </c>
      <c r="AA83" s="10" t="n">
        <v>3.301380504721936</v>
      </c>
      <c r="AB83" s="10" t="n">
        <v>3.329367863361866</v>
      </c>
      <c r="AC83" s="10" t="n">
        <v>3.355887894923985</v>
      </c>
      <c r="AD83" s="10" t="n">
        <v>3.381014074072448</v>
      </c>
      <c r="AE83" s="10" t="n">
        <v>3.404813820119906</v>
      </c>
      <c r="AF83" s="10" t="n">
        <v>3.42734928432387</v>
      </c>
      <c r="AG83" s="10" t="n">
        <v>3.448677958882241</v>
      </c>
      <c r="AH83" s="10" t="n">
        <v>3.46885301851839</v>
      </c>
      <c r="AI83" s="10" t="n">
        <v>3.487923298812624</v>
      </c>
      <c r="AJ83" s="10" t="n">
        <v>3.505933581971578</v>
      </c>
      <c r="AK83" s="10" t="n">
        <v>3.522924999996252</v>
      </c>
    </row>
    <row r="84">
      <c r="A84" s="9" t="n">
        <v>-41</v>
      </c>
      <c r="B84" s="7" t="n">
        <v>41435</v>
      </c>
      <c r="C84" s="10" t="n">
        <v>1.897060986142118</v>
      </c>
      <c r="D84" s="10" t="n">
        <v>2.00552117401676</v>
      </c>
      <c r="E84" s="10" t="n">
        <v>2.10878185984685</v>
      </c>
      <c r="F84" s="10" t="n">
        <v>2.206803507691356</v>
      </c>
      <c r="G84" s="10" t="n">
        <v>2.299626722671203</v>
      </c>
      <c r="H84" s="10" t="n">
        <v>2.387351354844941</v>
      </c>
      <c r="I84" s="10" t="n">
        <v>2.47012301371946</v>
      </c>
      <c r="J84" s="10" t="n">
        <v>2.548123120543829</v>
      </c>
      <c r="K84" s="10" t="n">
        <v>2.621561390652873</v>
      </c>
      <c r="L84" s="10" t="n">
        <v>2.690666242706657</v>
      </c>
      <c r="M84" s="10" t="n">
        <v>2.755670011153403</v>
      </c>
      <c r="N84" s="10" t="n">
        <v>2.816804738551251</v>
      </c>
      <c r="O84" s="10" t="n">
        <v>2.874302185874871</v>
      </c>
      <c r="P84" s="10" t="n">
        <v>2.928393881064352</v>
      </c>
      <c r="Q84" s="10" t="n">
        <v>2.979310387506065</v>
      </c>
      <c r="R84" s="10" t="n">
        <v>3.027273324065876</v>
      </c>
      <c r="S84" s="10" t="n">
        <v>3.07248871550141</v>
      </c>
      <c r="T84" s="10" t="n">
        <v>3.115146381637964</v>
      </c>
      <c r="U84" s="10" t="n">
        <v>3.155420086011966</v>
      </c>
      <c r="V84" s="10" t="n">
        <v>3.193469630722093</v>
      </c>
      <c r="W84" s="10" t="n">
        <v>3.229442572359234</v>
      </c>
      <c r="X84" s="10" t="n">
        <v>3.263473390893548</v>
      </c>
      <c r="Y84" s="10" t="n">
        <v>3.295682716355192</v>
      </c>
      <c r="Z84" s="10" t="n">
        <v>3.326178890453866</v>
      </c>
      <c r="AA84" s="10" t="n">
        <v>3.355059675218174</v>
      </c>
      <c r="AB84" s="10" t="n">
        <v>3.382413713615404</v>
      </c>
      <c r="AC84" s="10" t="n">
        <v>3.408321630520061</v>
      </c>
      <c r="AD84" s="10" t="n">
        <v>3.432856965484357</v>
      </c>
      <c r="AE84" s="10" t="n">
        <v>3.45608701195834</v>
      </c>
      <c r="AF84" s="10" t="n">
        <v>3.478073614383545</v>
      </c>
      <c r="AG84" s="10" t="n">
        <v>3.498873792806702</v>
      </c>
      <c r="AH84" s="10" t="n">
        <v>3.518540122094994</v>
      </c>
      <c r="AI84" s="10" t="n">
        <v>3.537120790093148</v>
      </c>
      <c r="AJ84" s="10" t="n">
        <v>3.554659912128877</v>
      </c>
      <c r="AK84" s="10" t="n">
        <v>3.571197936480039</v>
      </c>
    </row>
    <row r="85">
      <c r="A85" s="9" t="n">
        <v>-40</v>
      </c>
      <c r="B85" s="7" t="n">
        <v>41436</v>
      </c>
      <c r="C85" s="10" t="n">
        <v>1.955098296254492</v>
      </c>
      <c r="D85" s="10" t="n">
        <v>2.057114939960862</v>
      </c>
      <c r="E85" s="10" t="n">
        <v>2.154282652257741</v>
      </c>
      <c r="F85" s="10" t="n">
        <v>2.246629301591468</v>
      </c>
      <c r="G85" s="10" t="n">
        <v>2.334228564083872</v>
      </c>
      <c r="H85" s="10" t="n">
        <v>2.417190352505181</v>
      </c>
      <c r="I85" s="10" t="n">
        <v>2.495652595908402</v>
      </c>
      <c r="J85" s="10" t="n">
        <v>2.569775149133058</v>
      </c>
      <c r="K85" s="10" t="n">
        <v>2.639735197691919</v>
      </c>
      <c r="L85" s="10" t="n">
        <v>2.70572196460958</v>
      </c>
      <c r="M85" s="10" t="n">
        <v>2.76792926090809</v>
      </c>
      <c r="N85" s="10" t="n">
        <v>2.826553058329336</v>
      </c>
      <c r="O85" s="10" t="n">
        <v>2.881791085146297</v>
      </c>
      <c r="P85" s="10" t="n">
        <v>2.933842523312858</v>
      </c>
      <c r="Q85" s="10" t="n">
        <v>2.982907154604777</v>
      </c>
      <c r="R85" s="10" t="n">
        <v>3.029178906972531</v>
      </c>
      <c r="S85" s="10" t="n">
        <v>3.072840473980737</v>
      </c>
      <c r="T85" s="10" t="n">
        <v>3.114061888738453</v>
      </c>
      <c r="U85" s="10" t="n">
        <v>3.152999869859353</v>
      </c>
      <c r="V85" s="10" t="n">
        <v>3.18979950311684</v>
      </c>
      <c r="W85" s="10" t="n">
        <v>3.224595624634138</v>
      </c>
      <c r="X85" s="10" t="n">
        <v>3.257511657424375</v>
      </c>
      <c r="Y85" s="10" t="n">
        <v>3.288658586733857</v>
      </c>
      <c r="Z85" s="10" t="n">
        <v>3.318136358910352</v>
      </c>
      <c r="AA85" s="10" t="n">
        <v>3.346035620198044</v>
      </c>
      <c r="AB85" s="10" t="n">
        <v>3.372439201074695</v>
      </c>
      <c r="AC85" s="10" t="n">
        <v>3.397423077776444</v>
      </c>
      <c r="AD85" s="10" t="n">
        <v>3.421057170150752</v>
      </c>
      <c r="AE85" s="10" t="n">
        <v>3.443406094369722</v>
      </c>
      <c r="AF85" s="10" t="n">
        <v>3.464529944875423</v>
      </c>
      <c r="AG85" s="10" t="n">
        <v>3.484484845841413</v>
      </c>
      <c r="AH85" s="10" t="n">
        <v>3.503323156990782</v>
      </c>
      <c r="AI85" s="10" t="n">
        <v>3.521093219525303</v>
      </c>
      <c r="AJ85" s="10" t="n">
        <v>3.537839556344563</v>
      </c>
      <c r="AK85" s="10" t="n">
        <v>3.553603251149298</v>
      </c>
    </row>
    <row r="86">
      <c r="A86" s="9" t="n">
        <v>-39</v>
      </c>
      <c r="B86" s="7" t="n">
        <v>41437</v>
      </c>
      <c r="C86" s="10" t="n">
        <v>1.929777885067166</v>
      </c>
      <c r="D86" s="10" t="n">
        <v>2.033716911586029</v>
      </c>
      <c r="E86" s="10" t="n">
        <v>2.132476110596941</v>
      </c>
      <c r="F86" s="10" t="n">
        <v>2.226117743063279</v>
      </c>
      <c r="G86" s="10" t="n">
        <v>2.314759067508684</v>
      </c>
      <c r="H86" s="10" t="n">
        <v>2.398553953391835</v>
      </c>
      <c r="I86" s="10" t="n">
        <v>2.477684503018748</v>
      </c>
      <c r="J86" s="10" t="n">
        <v>2.552354913967253</v>
      </c>
      <c r="K86" s="10" t="n">
        <v>2.62278680244898</v>
      </c>
      <c r="L86" s="10" t="n">
        <v>2.689210938143608</v>
      </c>
      <c r="M86" s="10" t="n">
        <v>2.751852214828794</v>
      </c>
      <c r="N86" s="10" t="n">
        <v>2.810926713189373</v>
      </c>
      <c r="O86" s="10" t="n">
        <v>2.866643229271163</v>
      </c>
      <c r="P86" s="10" t="n">
        <v>2.919204530453182</v>
      </c>
      <c r="Q86" s="10" t="n">
        <v>2.968807657645319</v>
      </c>
      <c r="R86" s="10" t="n">
        <v>3.015637660883517</v>
      </c>
      <c r="S86" s="10" t="n">
        <v>3.059862684795782</v>
      </c>
      <c r="T86" s="10" t="n">
        <v>3.101635647814005</v>
      </c>
      <c r="U86" s="10" t="n">
        <v>3.141096185971777</v>
      </c>
      <c r="V86" s="10" t="n">
        <v>3.178372524924864</v>
      </c>
      <c r="W86" s="10" t="n">
        <v>3.213583015930033</v>
      </c>
      <c r="X86" s="10" t="n">
        <v>3.246836943793156</v>
      </c>
      <c r="Y86" s="10" t="n">
        <v>3.278235204173412</v>
      </c>
      <c r="Z86" s="10" t="n">
        <v>3.307871366672057</v>
      </c>
      <c r="AA86" s="10" t="n">
        <v>3.335832945234889</v>
      </c>
      <c r="AB86" s="10" t="n">
        <v>3.362202478530365</v>
      </c>
      <c r="AC86" s="10" t="n">
        <v>3.38705815210426</v>
      </c>
      <c r="AD86" s="10" t="n">
        <v>3.410474304231073</v>
      </c>
      <c r="AE86" s="10" t="n">
        <v>3.432521839103922</v>
      </c>
      <c r="AF86" s="10" t="n">
        <v>3.45326853760646</v>
      </c>
      <c r="AG86" s="10" t="n">
        <v>3.47277936732218</v>
      </c>
      <c r="AH86" s="10" t="n">
        <v>3.491116296833941</v>
      </c>
      <c r="AI86" s="10" t="n">
        <v>3.508337185430419</v>
      </c>
      <c r="AJ86" s="10" t="n">
        <v>3.524495746274543</v>
      </c>
      <c r="AK86" s="10" t="n">
        <v>3.539641955270617</v>
      </c>
    </row>
    <row r="87">
      <c r="A87" s="9" t="n">
        <v>-38</v>
      </c>
      <c r="B87" s="7" t="n">
        <v>41438</v>
      </c>
      <c r="C87" s="10" t="n">
        <v>1.894848570381765</v>
      </c>
      <c r="D87" s="10" t="n">
        <v>1.998945038381897</v>
      </c>
      <c r="E87" s="10" t="n">
        <v>2.098143484634139</v>
      </c>
      <c r="F87" s="10" t="n">
        <v>2.192482330860456</v>
      </c>
      <c r="G87" s="10" t="n">
        <v>2.282053433033843</v>
      </c>
      <c r="H87" s="10" t="n">
        <v>2.366984449815198</v>
      </c>
      <c r="I87" s="10" t="n">
        <v>2.447430654020589</v>
      </c>
      <c r="J87" s="10" t="n">
        <v>2.52356892954404</v>
      </c>
      <c r="K87" s="10" t="n">
        <v>2.595593202863173</v>
      </c>
      <c r="L87" s="10" t="n">
        <v>2.663706851764568</v>
      </c>
      <c r="M87" s="10" t="n">
        <v>2.728109425415132</v>
      </c>
      <c r="N87" s="10" t="n">
        <v>2.788993920317048</v>
      </c>
      <c r="O87" s="10" t="n">
        <v>2.846547913032473</v>
      </c>
      <c r="P87" s="10" t="n">
        <v>2.900954494655882</v>
      </c>
      <c r="Q87" s="10" t="n">
        <v>2.952392395005624</v>
      </c>
      <c r="R87" s="10" t="n">
        <v>3.001030408171264</v>
      </c>
      <c r="S87" s="10" t="n">
        <v>3.047023110367204</v>
      </c>
      <c r="T87" s="10" t="n">
        <v>3.090512506265377</v>
      </c>
      <c r="U87" s="10" t="n">
        <v>3.131629857223952</v>
      </c>
      <c r="V87" s="10" t="n">
        <v>3.170497214304737</v>
      </c>
      <c r="W87" s="10" t="n">
        <v>3.207228669099249</v>
      </c>
      <c r="X87" s="10" t="n">
        <v>3.24193112798085</v>
      </c>
      <c r="Y87" s="10" t="n">
        <v>3.274704965855263</v>
      </c>
      <c r="Z87" s="10" t="n">
        <v>3.305644831161269</v>
      </c>
      <c r="AA87" s="10" t="n">
        <v>3.334840291691292</v>
      </c>
      <c r="AB87" s="10" t="n">
        <v>3.362376387514916</v>
      </c>
      <c r="AC87" s="10" t="n">
        <v>3.388334164263353</v>
      </c>
      <c r="AD87" s="10" t="n">
        <v>3.412791136152085</v>
      </c>
      <c r="AE87" s="10" t="n">
        <v>3.435821583881288</v>
      </c>
      <c r="AF87" s="10" t="n">
        <v>3.457496612766947</v>
      </c>
      <c r="AG87" s="10" t="n">
        <v>3.477884394812275</v>
      </c>
      <c r="AH87" s="10" t="n">
        <v>3.497049967476261</v>
      </c>
      <c r="AI87" s="10" t="n">
        <v>3.515054075976103</v>
      </c>
      <c r="AJ87" s="10" t="n">
        <v>3.531953141411697</v>
      </c>
      <c r="AK87" s="10" t="n">
        <v>3.547799687443585</v>
      </c>
    </row>
    <row r="88">
      <c r="A88" s="9" t="n">
        <v>-37</v>
      </c>
      <c r="B88" s="7" t="n">
        <v>41439</v>
      </c>
      <c r="C88" s="10" t="n">
        <v>1.836314686302563</v>
      </c>
      <c r="D88" s="10" t="n">
        <v>1.940185896595841</v>
      </c>
      <c r="E88" s="10" t="n">
        <v>2.039474348711786</v>
      </c>
      <c r="F88" s="10" t="n">
        <v>2.134200680958571</v>
      </c>
      <c r="G88" s="10" t="n">
        <v>2.224434365490264</v>
      </c>
      <c r="H88" s="10" t="n">
        <v>2.310276809781074</v>
      </c>
      <c r="I88" s="10" t="n">
        <v>2.39185404851077</v>
      </c>
      <c r="J88" s="10" t="n">
        <v>2.469311389824346</v>
      </c>
      <c r="K88" s="10" t="n">
        <v>2.542809340910068</v>
      </c>
      <c r="L88" s="10" t="n">
        <v>2.612517142119779</v>
      </c>
      <c r="M88" s="10" t="n">
        <v>2.678602045834495</v>
      </c>
      <c r="N88" s="10" t="n">
        <v>2.741227078877825</v>
      </c>
      <c r="O88" s="10" t="n">
        <v>2.800551771436815</v>
      </c>
      <c r="P88" s="10" t="n">
        <v>2.856732759929669</v>
      </c>
      <c r="Q88" s="10" t="n">
        <v>2.909923821906213</v>
      </c>
      <c r="R88" s="10" t="n">
        <v>2.960272038872076</v>
      </c>
      <c r="S88" s="10" t="n">
        <v>3.007914975330267</v>
      </c>
      <c r="T88" s="10" t="n">
        <v>3.052981672534623</v>
      </c>
      <c r="U88" s="10" t="n">
        <v>3.095593772519893</v>
      </c>
      <c r="V88" s="10" t="n">
        <v>3.135866564674167</v>
      </c>
      <c r="W88" s="10" t="n">
        <v>3.173909863433861</v>
      </c>
      <c r="X88" s="10" t="n">
        <v>3.209828701394012</v>
      </c>
      <c r="Y88" s="10" t="n">
        <v>3.243723914845386</v>
      </c>
      <c r="Z88" s="10" t="n">
        <v>3.275692630217211</v>
      </c>
      <c r="AA88" s="10" t="n">
        <v>3.305828253249479</v>
      </c>
      <c r="AB88" s="10" t="n">
        <v>3.334220486613293</v>
      </c>
      <c r="AC88" s="10" t="n">
        <v>3.360955735037994</v>
      </c>
      <c r="AD88" s="10" t="n">
        <v>3.38611748516216</v>
      </c>
      <c r="AE88" s="10" t="n">
        <v>3.409786400098711</v>
      </c>
      <c r="AF88" s="10" t="n">
        <v>3.432039968447306</v>
      </c>
      <c r="AG88" s="10" t="n">
        <v>3.452952636355406</v>
      </c>
      <c r="AH88" s="10" t="n">
        <v>3.47259552013146</v>
      </c>
      <c r="AI88" s="10" t="n">
        <v>3.491035054270027</v>
      </c>
      <c r="AJ88" s="10" t="n">
        <v>3.508332951590755</v>
      </c>
      <c r="AK88" s="10" t="n">
        <v>3.524546669676147</v>
      </c>
    </row>
    <row r="89">
      <c r="A89" s="9" t="n">
        <v>-36</v>
      </c>
      <c r="B89" s="7" t="n">
        <v>41442</v>
      </c>
      <c r="C89" s="10" t="n">
        <v>1.851025824998532</v>
      </c>
      <c r="D89" s="10" t="n">
        <v>1.955034219322814</v>
      </c>
      <c r="E89" s="10" t="n">
        <v>2.054480097619299</v>
      </c>
      <c r="F89" s="10" t="n">
        <v>2.149396799475126</v>
      </c>
      <c r="G89" s="10" t="n">
        <v>2.239864035005614</v>
      </c>
      <c r="H89" s="10" t="n">
        <v>2.325991055243926</v>
      </c>
      <c r="I89" s="10" t="n">
        <v>2.407909885174532</v>
      </c>
      <c r="J89" s="10" t="n">
        <v>2.485770372874238</v>
      </c>
      <c r="K89" s="10" t="n">
        <v>2.559736411337123</v>
      </c>
      <c r="L89" s="10" t="n">
        <v>2.629979465475334</v>
      </c>
      <c r="M89" s="10" t="n">
        <v>2.696667566617918</v>
      </c>
      <c r="N89" s="10" t="n">
        <v>2.759963231559609</v>
      </c>
      <c r="O89" s="10" t="n">
        <v>2.820024421477206</v>
      </c>
      <c r="P89" s="10" t="n">
        <v>2.877005327379794</v>
      </c>
      <c r="Q89" s="10" t="n">
        <v>2.931056543420719</v>
      </c>
      <c r="R89" s="10" t="n">
        <v>2.982321342904046</v>
      </c>
      <c r="S89" s="10" t="n">
        <v>3.030933005065624</v>
      </c>
      <c r="T89" s="10" t="n">
        <v>3.077015983052763</v>
      </c>
      <c r="U89" s="10" t="n">
        <v>3.120687158277062</v>
      </c>
      <c r="V89" s="10" t="n">
        <v>3.16205691862342</v>
      </c>
      <c r="W89" s="10" t="n">
        <v>3.201230064429188</v>
      </c>
      <c r="X89" s="10" t="n">
        <v>3.238306604426914</v>
      </c>
      <c r="Y89" s="10" t="n">
        <v>3.273382423927673</v>
      </c>
      <c r="Z89" s="10" t="n">
        <v>3.306549758570135</v>
      </c>
      <c r="AA89" s="10" t="n">
        <v>3.337897084696048</v>
      </c>
      <c r="AB89" s="10" t="n">
        <v>3.367509063977551</v>
      </c>
      <c r="AC89" s="10" t="n">
        <v>3.395466956145127</v>
      </c>
      <c r="AD89" s="10" t="n">
        <v>3.421849010905591</v>
      </c>
      <c r="AE89" s="10" t="n">
        <v>3.446730578166921</v>
      </c>
      <c r="AF89" s="10" t="n">
        <v>3.470183788274702</v>
      </c>
      <c r="AG89" s="10" t="n">
        <v>3.49227770021047</v>
      </c>
      <c r="AH89" s="10" t="n">
        <v>3.513078145997826</v>
      </c>
      <c r="AI89" s="10" t="n">
        <v>3.532646743465166</v>
      </c>
      <c r="AJ89" s="10" t="n">
        <v>3.551040928194264</v>
      </c>
      <c r="AK89" s="10" t="n">
        <v>3.568314367482959</v>
      </c>
    </row>
    <row r="90">
      <c r="A90" s="9" t="n">
        <v>-35</v>
      </c>
      <c r="B90" s="7" t="n">
        <v>41443</v>
      </c>
      <c r="C90" s="10" t="n">
        <v>1.910091351980729</v>
      </c>
      <c r="D90" s="10" t="n">
        <v>2.014451263651571</v>
      </c>
      <c r="E90" s="10" t="n">
        <v>2.113933740677206</v>
      </c>
      <c r="F90" s="10" t="n">
        <v>2.208581841372145</v>
      </c>
      <c r="G90" s="10" t="n">
        <v>2.298488530137018</v>
      </c>
      <c r="H90" s="10" t="n">
        <v>2.383779594935009</v>
      </c>
      <c r="I90" s="10" t="n">
        <v>2.464606141291223</v>
      </c>
      <c r="J90" s="10" t="n">
        <v>2.541139088474887</v>
      </c>
      <c r="K90" s="10" t="n">
        <v>2.613564975983086</v>
      </c>
      <c r="L90" s="10" t="n">
        <v>2.682079242151794</v>
      </c>
      <c r="M90" s="10" t="n">
        <v>2.746875253679158</v>
      </c>
      <c r="N90" s="10" t="n">
        <v>2.808142088822196</v>
      </c>
      <c r="O90" s="10" t="n">
        <v>2.866065279330867</v>
      </c>
      <c r="P90" s="10" t="n">
        <v>2.920827421912753</v>
      </c>
      <c r="Q90" s="10" t="n">
        <v>2.972608159399509</v>
      </c>
      <c r="R90" s="10" t="n">
        <v>3.021579926331877</v>
      </c>
      <c r="S90" s="10" t="n">
        <v>3.067904760226071</v>
      </c>
      <c r="T90" s="10" t="n">
        <v>3.111733901854549</v>
      </c>
      <c r="U90" s="10" t="n">
        <v>3.153207912711928</v>
      </c>
      <c r="V90" s="10" t="n">
        <v>3.192458085591713</v>
      </c>
      <c r="W90" s="10" t="n">
        <v>3.229607592121179</v>
      </c>
      <c r="X90" s="10" t="n">
        <v>3.264771208694951</v>
      </c>
      <c r="Y90" s="10" t="n">
        <v>3.298055170663124</v>
      </c>
      <c r="Z90" s="10" t="n">
        <v>3.32955813658152</v>
      </c>
      <c r="AA90" s="10" t="n">
        <v>3.35937185320414</v>
      </c>
      <c r="AB90" s="10" t="n">
        <v>3.387581745253528</v>
      </c>
      <c r="AC90" s="10" t="n">
        <v>3.414267647978242</v>
      </c>
      <c r="AD90" s="10" t="n">
        <v>3.439504455062836</v>
      </c>
      <c r="AE90" s="10" t="n">
        <v>3.463362555224073</v>
      </c>
      <c r="AF90" s="10" t="n">
        <v>3.48590799108631</v>
      </c>
      <c r="AG90" s="10" t="n">
        <v>3.507202824151959</v>
      </c>
      <c r="AH90" s="10" t="n">
        <v>3.527305225874394</v>
      </c>
      <c r="AI90" s="10" t="n">
        <v>3.546268981069188</v>
      </c>
      <c r="AJ90" s="10" t="n">
        <v>3.564143667728736</v>
      </c>
      <c r="AK90" s="10" t="n">
        <v>3.580975074932729</v>
      </c>
    </row>
    <row r="91">
      <c r="A91" s="9" t="n">
        <v>-34</v>
      </c>
      <c r="B91" s="7" t="n">
        <v>41444</v>
      </c>
      <c r="C91" s="10" t="n">
        <v>1.900599972774721</v>
      </c>
      <c r="D91" s="10" t="n">
        <v>2.003848655224034</v>
      </c>
      <c r="E91" s="10" t="n">
        <v>2.102233260682103</v>
      </c>
      <c r="F91" s="10" t="n">
        <v>2.195813721197878</v>
      </c>
      <c r="G91" s="10" t="n">
        <v>2.284695171054483</v>
      </c>
      <c r="H91" s="10" t="n">
        <v>2.369012579003929</v>
      </c>
      <c r="I91" s="10" t="n">
        <v>2.448923928375658</v>
      </c>
      <c r="J91" s="10" t="n">
        <v>2.524605213907544</v>
      </c>
      <c r="K91" s="10" t="n">
        <v>2.596246618392385</v>
      </c>
      <c r="L91" s="10" t="n">
        <v>2.66404589178346</v>
      </c>
      <c r="M91" s="10" t="n">
        <v>2.728197278972869</v>
      </c>
      <c r="N91" s="10" t="n">
        <v>2.788889502661046</v>
      </c>
      <c r="O91" s="10" t="n">
        <v>2.846306725860219</v>
      </c>
      <c r="P91" s="10" t="n">
        <v>2.900629338043806</v>
      </c>
      <c r="Q91" s="10" t="n">
        <v>2.952033978720913</v>
      </c>
      <c r="R91" s="10" t="n">
        <v>3.000688591727244</v>
      </c>
      <c r="S91" s="10" t="n">
        <v>3.046748883100828</v>
      </c>
      <c r="T91" s="10" t="n">
        <v>3.090358870310842</v>
      </c>
      <c r="U91" s="10" t="n">
        <v>3.131651775002575</v>
      </c>
      <c r="V91" s="10" t="n">
        <v>3.170751501670944</v>
      </c>
      <c r="W91" s="10" t="n">
        <v>3.207773835872609</v>
      </c>
      <c r="X91" s="10" t="n">
        <v>3.242826615665523</v>
      </c>
      <c r="Y91" s="10" t="n">
        <v>3.276009943366041</v>
      </c>
      <c r="Z91" s="10" t="n">
        <v>3.307417097038344</v>
      </c>
      <c r="AA91" s="10" t="n">
        <v>3.337135253522951</v>
      </c>
      <c r="AB91" s="10" t="n">
        <v>3.365246117223689</v>
      </c>
      <c r="AC91" s="10" t="n">
        <v>3.391826562599767</v>
      </c>
      <c r="AD91" s="10" t="n">
        <v>3.416949194321933</v>
      </c>
      <c r="AE91" s="10" t="n">
        <v>3.440682744788387</v>
      </c>
      <c r="AF91" s="10" t="n">
        <v>3.463092267575998</v>
      </c>
      <c r="AG91" s="10" t="n">
        <v>3.48423946099183</v>
      </c>
      <c r="AH91" s="10" t="n">
        <v>3.504182637613836</v>
      </c>
      <c r="AI91" s="10" t="n">
        <v>3.522976037745008</v>
      </c>
      <c r="AJ91" s="10" t="n">
        <v>3.540669940284407</v>
      </c>
      <c r="AK91" s="10" t="n">
        <v>3.557311055820464</v>
      </c>
    </row>
    <row r="92">
      <c r="A92" s="9" t="n">
        <v>-33</v>
      </c>
      <c r="B92" s="7" t="n">
        <v>41445</v>
      </c>
      <c r="C92" s="10" t="n">
        <v>2.0917630606745</v>
      </c>
      <c r="D92" s="10" t="n">
        <v>2.19023621576887</v>
      </c>
      <c r="E92" s="10" t="n">
        <v>2.283470553182939</v>
      </c>
      <c r="F92" s="10" t="n">
        <v>2.371694070099567</v>
      </c>
      <c r="G92" s="10" t="n">
        <v>2.455137024093587</v>
      </c>
      <c r="H92" s="10" t="n">
        <v>2.534027508453711</v>
      </c>
      <c r="I92" s="10" t="n">
        <v>2.608591912151806</v>
      </c>
      <c r="J92" s="10" t="n">
        <v>2.679055290346545</v>
      </c>
      <c r="K92" s="10" t="n">
        <v>2.745641578107078</v>
      </c>
      <c r="L92" s="10" t="n">
        <v>2.808570486812162</v>
      </c>
      <c r="M92" s="10" t="n">
        <v>2.868049962422977</v>
      </c>
      <c r="N92" s="10" t="n">
        <v>2.92427607804381</v>
      </c>
      <c r="O92" s="10" t="n">
        <v>2.97743513455877</v>
      </c>
      <c r="P92" s="10" t="n">
        <v>3.027705345492445</v>
      </c>
      <c r="Q92" s="10" t="n">
        <v>3.075257643286301</v>
      </c>
      <c r="R92" s="10" t="n">
        <v>3.120251963747137</v>
      </c>
      <c r="S92" s="10" t="n">
        <v>3.162834718963417</v>
      </c>
      <c r="T92" s="10" t="n">
        <v>3.203139920421083</v>
      </c>
      <c r="U92" s="10" t="n">
        <v>3.241290469502225</v>
      </c>
      <c r="V92" s="10" t="n">
        <v>3.277399704280215</v>
      </c>
      <c r="W92" s="10" t="n">
        <v>3.311572669398867</v>
      </c>
      <c r="X92" s="10" t="n">
        <v>3.343906681835703</v>
      </c>
      <c r="Y92" s="10" t="n">
        <v>3.374491853673776</v>
      </c>
      <c r="Z92" s="10" t="n">
        <v>3.403412006895667</v>
      </c>
      <c r="AA92" s="10" t="n">
        <v>3.430745737622736</v>
      </c>
      <c r="AB92" s="10" t="n">
        <v>3.456567296949702</v>
      </c>
      <c r="AC92" s="10" t="n">
        <v>3.480947126891347</v>
      </c>
      <c r="AD92" s="10" t="n">
        <v>3.503952302565073</v>
      </c>
      <c r="AE92" s="10" t="n">
        <v>3.525646872112805</v>
      </c>
      <c r="AF92" s="10" t="n">
        <v>3.54609207920797</v>
      </c>
      <c r="AG92" s="10" t="n">
        <v>3.565346626223234</v>
      </c>
      <c r="AH92" s="10" t="n">
        <v>3.583466452803565</v>
      </c>
      <c r="AI92" s="10" t="n">
        <v>3.600503719315637</v>
      </c>
      <c r="AJ92" s="10" t="n">
        <v>3.616506814996348</v>
      </c>
      <c r="AK92" s="10" t="n">
        <v>3.631520731419454</v>
      </c>
    </row>
    <row r="93">
      <c r="A93" s="9" t="n">
        <v>-32</v>
      </c>
      <c r="B93" s="7" t="n">
        <v>41446</v>
      </c>
      <c r="C93" s="10" t="n">
        <v>2.187518026743403</v>
      </c>
      <c r="D93" s="10" t="n">
        <v>2.290584482546288</v>
      </c>
      <c r="E93" s="10" t="n">
        <v>2.387519950220109</v>
      </c>
      <c r="F93" s="10" t="n">
        <v>2.478578573686911</v>
      </c>
      <c r="G93" s="10" t="n">
        <v>2.564036950186737</v>
      </c>
      <c r="H93" s="10" t="n">
        <v>2.644181935007455</v>
      </c>
      <c r="I93" s="10" t="n">
        <v>2.719308260115234</v>
      </c>
      <c r="J93" s="10" t="n">
        <v>2.789716821833177</v>
      </c>
      <c r="K93" s="10" t="n">
        <v>2.855713259248041</v>
      </c>
      <c r="L93" s="10" t="n">
        <v>2.917600429476989</v>
      </c>
      <c r="M93" s="10" t="n">
        <v>2.975663037174958</v>
      </c>
      <c r="N93" s="10" t="n">
        <v>3.03016681000845</v>
      </c>
      <c r="O93" s="10" t="n">
        <v>3.081361855465206</v>
      </c>
      <c r="P93" s="10" t="n">
        <v>3.129485353969557</v>
      </c>
      <c r="Q93" s="10" t="n">
        <v>3.174762901212589</v>
      </c>
      <c r="R93" s="10" t="n">
        <v>3.217403374811173</v>
      </c>
      <c r="S93" s="10" t="n">
        <v>3.257595630519588</v>
      </c>
      <c r="T93" s="10" t="n">
        <v>3.29550986653873</v>
      </c>
      <c r="U93" s="10" t="n">
        <v>3.33129931310758</v>
      </c>
      <c r="V93" s="10" t="n">
        <v>3.365102580561925</v>
      </c>
      <c r="W93" s="10" t="n">
        <v>3.397045555599463</v>
      </c>
      <c r="X93" s="10" t="n">
        <v>3.427241901834268</v>
      </c>
      <c r="Y93" s="10" t="n">
        <v>3.455793621306514</v>
      </c>
      <c r="Z93" s="10" t="n">
        <v>3.482792544957757</v>
      </c>
      <c r="AA93" s="10" t="n">
        <v>3.508322258096032</v>
      </c>
      <c r="AB93" s="10" t="n">
        <v>3.532459658813839</v>
      </c>
      <c r="AC93" s="10" t="n">
        <v>3.555275794439196</v>
      </c>
      <c r="AD93" s="10" t="n">
        <v>3.576836542525894</v>
      </c>
      <c r="AE93" s="10" t="n">
        <v>3.597203234126089</v>
      </c>
      <c r="AF93" s="10" t="n">
        <v>3.616433250917233</v>
      </c>
      <c r="AG93" s="10" t="n">
        <v>3.634580472247237</v>
      </c>
      <c r="AH93" s="10" t="n">
        <v>3.6516952266247</v>
      </c>
      <c r="AI93" s="10" t="n">
        <v>3.667823584471075</v>
      </c>
      <c r="AJ93" s="10" t="n">
        <v>3.683007492753256</v>
      </c>
      <c r="AK93" s="10" t="n">
        <v>3.697285184727522</v>
      </c>
    </row>
    <row r="94">
      <c r="A94" s="9" t="n">
        <v>-31</v>
      </c>
      <c r="B94" s="7" t="n">
        <v>41449</v>
      </c>
      <c r="C94" s="10" t="n">
        <v>2.358921642602458</v>
      </c>
      <c r="D94" s="10" t="n">
        <v>2.459148183248012</v>
      </c>
      <c r="E94" s="10" t="n">
        <v>2.55285365218261</v>
      </c>
      <c r="F94" s="10" t="n">
        <v>2.640380139762813</v>
      </c>
      <c r="G94" s="10" t="n">
        <v>2.722068780216112</v>
      </c>
      <c r="H94" s="10" t="n">
        <v>2.798254481459411</v>
      </c>
      <c r="I94" s="10" t="n">
        <v>2.869267301642382</v>
      </c>
      <c r="J94" s="10" t="n">
        <v>2.935433503444695</v>
      </c>
      <c r="K94" s="10" t="n">
        <v>2.997076232994963</v>
      </c>
      <c r="L94" s="10" t="n">
        <v>3.054510928253834</v>
      </c>
      <c r="M94" s="10" t="n">
        <v>3.108034343562116</v>
      </c>
      <c r="N94" s="10" t="n">
        <v>3.157924773449561</v>
      </c>
      <c r="O94" s="10" t="n">
        <v>3.204445325274242</v>
      </c>
      <c r="P94" s="10" t="n">
        <v>3.247846537683328</v>
      </c>
      <c r="Q94" s="10" t="n">
        <v>3.288367912074454</v>
      </c>
      <c r="R94" s="10" t="n">
        <v>3.326234910108617</v>
      </c>
      <c r="S94" s="10" t="n">
        <v>3.361656869277316</v>
      </c>
      <c r="T94" s="10" t="n">
        <v>3.394825873368812</v>
      </c>
      <c r="U94" s="10" t="n">
        <v>3.425916562743356</v>
      </c>
      <c r="V94" s="10" t="n">
        <v>3.455088433071403</v>
      </c>
      <c r="W94" s="10" t="n">
        <v>3.482487642081058</v>
      </c>
      <c r="X94" s="10" t="n">
        <v>3.508246160188133</v>
      </c>
      <c r="Y94" s="10" t="n">
        <v>3.532481386861596</v>
      </c>
      <c r="Z94" s="10" t="n">
        <v>3.555297916014867</v>
      </c>
      <c r="AA94" s="10" t="n">
        <v>3.576789684996176</v>
      </c>
      <c r="AB94" s="10" t="n">
        <v>3.597041732105829</v>
      </c>
      <c r="AC94" s="10" t="n">
        <v>3.616131288878934</v>
      </c>
      <c r="AD94" s="10" t="n">
        <v>3.634128687207106</v>
      </c>
      <c r="AE94" s="10" t="n">
        <v>3.651098109961602</v>
      </c>
      <c r="AF94" s="10" t="n">
        <v>3.66709818941086</v>
      </c>
      <c r="AG94" s="10" t="n">
        <v>3.682182579941902</v>
      </c>
      <c r="AH94" s="10" t="n">
        <v>3.696400117849799</v>
      </c>
      <c r="AI94" s="10" t="n">
        <v>3.709794390082227</v>
      </c>
      <c r="AJ94" s="10" t="n">
        <v>3.722404013459546</v>
      </c>
      <c r="AK94" s="10" t="n">
        <v>3.734263129543409</v>
      </c>
    </row>
    <row r="95">
      <c r="A95" s="9" t="n">
        <v>-30</v>
      </c>
      <c r="B95" s="7" t="n">
        <v>41450</v>
      </c>
      <c r="C95" s="10" t="n">
        <v>2.31201778533485</v>
      </c>
      <c r="D95" s="10" t="n">
        <v>2.416155535795067</v>
      </c>
      <c r="E95" s="10" t="n">
        <v>2.513460387500837</v>
      </c>
      <c r="F95" s="10" t="n">
        <v>2.604263147951693</v>
      </c>
      <c r="G95" s="10" t="n">
        <v>2.688908772101693</v>
      </c>
      <c r="H95" s="10" t="n">
        <v>2.767746197037673</v>
      </c>
      <c r="I95" s="10" t="n">
        <v>2.841127391222392</v>
      </c>
      <c r="J95" s="10" t="n">
        <v>2.909406695499776</v>
      </c>
      <c r="K95" s="10" t="n">
        <v>2.972940162740599</v>
      </c>
      <c r="L95" s="10" t="n">
        <v>3.032077665342898</v>
      </c>
      <c r="M95" s="10" t="n">
        <v>3.087146269349569</v>
      </c>
      <c r="N95" s="10" t="n">
        <v>3.138449890487995</v>
      </c>
      <c r="O95" s="10" t="n">
        <v>3.186273395916479</v>
      </c>
      <c r="P95" s="10" t="n">
        <v>3.230885888424673</v>
      </c>
      <c r="Q95" s="10" t="n">
        <v>3.272542417039911</v>
      </c>
      <c r="R95" s="10" t="n">
        <v>3.311478578026291</v>
      </c>
      <c r="S95" s="10" t="n">
        <v>3.347907261115891</v>
      </c>
      <c r="T95" s="10" t="n">
        <v>3.382020621649829</v>
      </c>
      <c r="U95" s="10" t="n">
        <v>3.413992275756879</v>
      </c>
      <c r="V95" s="10" t="n">
        <v>3.443979889322806</v>
      </c>
      <c r="W95" s="10" t="n">
        <v>3.472127234780411</v>
      </c>
      <c r="X95" s="10" t="n">
        <v>3.498564673346627</v>
      </c>
      <c r="Y95" s="10" t="n">
        <v>3.523409749670448</v>
      </c>
      <c r="Z95" s="10" t="n">
        <v>3.546768806854452</v>
      </c>
      <c r="AA95" s="10" t="n">
        <v>3.568738872815306</v>
      </c>
      <c r="AB95" s="10" t="n">
        <v>3.589409197504625</v>
      </c>
      <c r="AC95" s="10" t="n">
        <v>3.608862207179389</v>
      </c>
      <c r="AD95" s="10" t="n">
        <v>3.62717429548688</v>
      </c>
      <c r="AE95" s="10" t="n">
        <v>3.644416388900951</v>
      </c>
      <c r="AF95" s="10" t="n">
        <v>3.66065425328082</v>
      </c>
      <c r="AG95" s="10" t="n">
        <v>3.67594896121317</v>
      </c>
      <c r="AH95" s="10" t="n">
        <v>3.690356811599472</v>
      </c>
      <c r="AI95" s="10" t="n">
        <v>3.703928382978665</v>
      </c>
      <c r="AJ95" s="10" t="n">
        <v>3.71670872557537</v>
      </c>
      <c r="AK95" s="10" t="n">
        <v>3.728737910976742</v>
      </c>
    </row>
    <row r="96">
      <c r="A96" s="9" t="n">
        <v>-29</v>
      </c>
      <c r="B96" s="7" t="n">
        <v>41451</v>
      </c>
      <c r="C96" s="10" t="n">
        <v>2.222456110336031</v>
      </c>
      <c r="D96" s="10" t="n">
        <v>2.329961337167401</v>
      </c>
      <c r="E96" s="10" t="n">
        <v>2.430526506305418</v>
      </c>
      <c r="F96" s="10" t="n">
        <v>2.524473625931538</v>
      </c>
      <c r="G96" s="10" t="n">
        <v>2.61214537224056</v>
      </c>
      <c r="H96" s="10" t="n">
        <v>2.693891270586055</v>
      </c>
      <c r="I96" s="10" t="n">
        <v>2.770066081373467</v>
      </c>
      <c r="J96" s="10" t="n">
        <v>2.841028662005363</v>
      </c>
      <c r="K96" s="10" t="n">
        <v>2.907140921801153</v>
      </c>
      <c r="L96" s="10" t="n">
        <v>2.968758725604369</v>
      </c>
      <c r="M96" s="10" t="n">
        <v>3.026213279330941</v>
      </c>
      <c r="N96" s="10" t="n">
        <v>3.079810692090561</v>
      </c>
      <c r="O96" s="10" t="n">
        <v>3.129836423815907</v>
      </c>
      <c r="P96" s="10" t="n">
        <v>3.176558845427885</v>
      </c>
      <c r="Q96" s="10" t="n">
        <v>3.220231316060232</v>
      </c>
      <c r="R96" s="10" t="n">
        <v>3.261088255436334</v>
      </c>
      <c r="S96" s="10" t="n">
        <v>3.299342901505859</v>
      </c>
      <c r="T96" s="10" t="n">
        <v>3.33518890642483</v>
      </c>
      <c r="U96" s="10" t="n">
        <v>3.368802189454119</v>
      </c>
      <c r="V96" s="10" t="n">
        <v>3.400343399861309</v>
      </c>
      <c r="W96" s="10" t="n">
        <v>3.429959887680604</v>
      </c>
      <c r="X96" s="10" t="n">
        <v>3.457786200131365</v>
      </c>
      <c r="Y96" s="10" t="n">
        <v>3.483944688396572</v>
      </c>
      <c r="Z96" s="10" t="n">
        <v>3.508546984289292</v>
      </c>
      <c r="AA96" s="10" t="n">
        <v>3.531695252325777</v>
      </c>
      <c r="AB96" s="10" t="n">
        <v>3.553483272636103</v>
      </c>
      <c r="AC96" s="10" t="n">
        <v>3.57399743413293</v>
      </c>
      <c r="AD96" s="10" t="n">
        <v>3.593317588650455</v>
      </c>
      <c r="AE96" s="10" t="n">
        <v>3.611517531805889</v>
      </c>
      <c r="AF96" s="10" t="n">
        <v>3.628665027544315</v>
      </c>
      <c r="AG96" s="10" t="n">
        <v>3.644822279054222</v>
      </c>
      <c r="AH96" s="10" t="n">
        <v>3.660046020398684</v>
      </c>
      <c r="AI96" s="10" t="n">
        <v>3.674386858262543</v>
      </c>
      <c r="AJ96" s="10" t="n">
        <v>3.687889568434755</v>
      </c>
      <c r="AK96" s="10" t="n">
        <v>3.700593676348798</v>
      </c>
    </row>
    <row r="97">
      <c r="A97" s="9" t="n">
        <v>-28</v>
      </c>
      <c r="B97" s="7" t="n">
        <v>41452</v>
      </c>
      <c r="C97" s="10" t="n">
        <v>2.202458195340709</v>
      </c>
      <c r="D97" s="10" t="n">
        <v>2.3093646764157</v>
      </c>
      <c r="E97" s="10" t="n">
        <v>2.409368399637791</v>
      </c>
      <c r="F97" s="10" t="n">
        <v>2.502791130209981</v>
      </c>
      <c r="G97" s="10" t="n">
        <v>2.589978326871301</v>
      </c>
      <c r="H97" s="10" t="n">
        <v>2.671283645075988</v>
      </c>
      <c r="I97" s="10" t="n">
        <v>2.74706701298807</v>
      </c>
      <c r="J97" s="10" t="n">
        <v>2.81769326784882</v>
      </c>
      <c r="K97" s="10" t="n">
        <v>2.883530919087697</v>
      </c>
      <c r="L97" s="10" t="n">
        <v>2.944942162855439</v>
      </c>
      <c r="M97" s="10" t="n">
        <v>3.002262800775506</v>
      </c>
      <c r="N97" s="10" t="n">
        <v>3.055801809683782</v>
      </c>
      <c r="O97" s="10" t="n">
        <v>3.10584609712886</v>
      </c>
      <c r="P97" s="10" t="n">
        <v>3.152664306373524</v>
      </c>
      <c r="Q97" s="10" t="n">
        <v>3.196509068136291</v>
      </c>
      <c r="R97" s="10" t="n">
        <v>3.237613156761745</v>
      </c>
      <c r="S97" s="10" t="n">
        <v>3.276187392030411</v>
      </c>
      <c r="T97" s="10" t="n">
        <v>3.312422392894628</v>
      </c>
      <c r="U97" s="10" t="n">
        <v>3.346490560919294</v>
      </c>
      <c r="V97" s="10" t="n">
        <v>3.378548616278636</v>
      </c>
      <c r="W97" s="10" t="n">
        <v>3.40873961910977</v>
      </c>
      <c r="X97" s="10" t="n">
        <v>3.437193478577642</v>
      </c>
      <c r="Y97" s="10" t="n">
        <v>3.46402758870171</v>
      </c>
      <c r="Z97" s="10" t="n">
        <v>3.48934833668594</v>
      </c>
      <c r="AA97" s="10" t="n">
        <v>3.513252314057341</v>
      </c>
      <c r="AB97" s="10" t="n">
        <v>3.535827378537071</v>
      </c>
      <c r="AC97" s="10" t="n">
        <v>3.557153684721308</v>
      </c>
      <c r="AD97" s="10" t="n">
        <v>3.577304574802689</v>
      </c>
      <c r="AE97" s="10" t="n">
        <v>3.59634711262434</v>
      </c>
      <c r="AF97" s="10" t="n">
        <v>3.614342194438507</v>
      </c>
      <c r="AG97" s="10" t="n">
        <v>3.631345056025304</v>
      </c>
      <c r="AH97" s="10" t="n">
        <v>3.647405522118202</v>
      </c>
      <c r="AI97" s="10" t="n">
        <v>3.662567714805917</v>
      </c>
      <c r="AJ97" s="10" t="n">
        <v>3.676870409433245</v>
      </c>
      <c r="AK97" s="10" t="n">
        <v>3.690347567589391</v>
      </c>
    </row>
    <row r="98">
      <c r="A98" s="9" t="n">
        <v>-27</v>
      </c>
      <c r="B98" s="7" t="n">
        <v>41453</v>
      </c>
      <c r="C98" s="10" t="n">
        <v>2.220196104640215</v>
      </c>
      <c r="D98" s="10" t="n">
        <v>2.330250925701134</v>
      </c>
      <c r="E98" s="10" t="n">
        <v>2.432840649245128</v>
      </c>
      <c r="F98" s="10" t="n">
        <v>2.52831703948364</v>
      </c>
      <c r="G98" s="10" t="n">
        <v>2.617065189837736</v>
      </c>
      <c r="H98" s="10" t="n">
        <v>2.699483123989165</v>
      </c>
      <c r="I98" s="10" t="n">
        <v>2.77597878909791</v>
      </c>
      <c r="J98" s="10" t="n">
        <v>2.846967898524304</v>
      </c>
      <c r="K98" s="10" t="n">
        <v>2.912872024148989</v>
      </c>
      <c r="L98" s="10" t="n">
        <v>2.974105808595942</v>
      </c>
      <c r="M98" s="10" t="n">
        <v>3.031052527647378</v>
      </c>
      <c r="N98" s="10" t="n">
        <v>3.084063713506768</v>
      </c>
      <c r="O98" s="10" t="n">
        <v>3.133464787759768</v>
      </c>
      <c r="P98" s="10" t="n">
        <v>3.17955956310294</v>
      </c>
      <c r="Q98" s="10" t="n">
        <v>3.222632897805477</v>
      </c>
      <c r="R98" s="10" t="n">
        <v>3.26294641165005</v>
      </c>
      <c r="S98" s="10" t="n">
        <v>3.300736295301877</v>
      </c>
      <c r="T98" s="10" t="n">
        <v>3.336214800219071</v>
      </c>
      <c r="U98" s="10" t="n">
        <v>3.369572211049697</v>
      </c>
      <c r="V98" s="10" t="n">
        <v>3.40097988470147</v>
      </c>
      <c r="W98" s="10" t="n">
        <v>3.430592627841435</v>
      </c>
      <c r="X98" s="10" t="n">
        <v>3.458548883638859</v>
      </c>
      <c r="Y98" s="10" t="n">
        <v>3.484971265722904</v>
      </c>
      <c r="Z98" s="10" t="n">
        <v>3.50996846427964</v>
      </c>
      <c r="AA98" s="10" t="n">
        <v>3.533636860126108</v>
      </c>
      <c r="AB98" s="10" t="n">
        <v>3.556061927622563</v>
      </c>
      <c r="AC98" s="10" t="n">
        <v>3.577319526690992</v>
      </c>
      <c r="AD98" s="10" t="n">
        <v>3.597477016899848</v>
      </c>
      <c r="AE98" s="10" t="n">
        <v>3.616594050931461</v>
      </c>
      <c r="AF98" s="10" t="n">
        <v>3.634723024655692</v>
      </c>
      <c r="AG98" s="10" t="n">
        <v>3.651909759540337</v>
      </c>
      <c r="AH98" s="10" t="n">
        <v>3.66819408562109</v>
      </c>
      <c r="AI98" s="10" t="n">
        <v>3.683610194310486</v>
      </c>
      <c r="AJ98" s="10" t="n">
        <v>3.698187144845612</v>
      </c>
      <c r="AK98" s="10" t="n">
        <v>3.711949377049395</v>
      </c>
    </row>
    <row r="99">
      <c r="A99" s="9" t="n">
        <v>-26</v>
      </c>
      <c r="B99" s="7" t="n">
        <v>41456</v>
      </c>
      <c r="C99" s="10" t="n">
        <v>2.203281772738417</v>
      </c>
      <c r="D99" s="10" t="n">
        <v>2.312315648847309</v>
      </c>
      <c r="E99" s="10" t="n">
        <v>2.413908749250881</v>
      </c>
      <c r="F99" s="10" t="n">
        <v>2.508423539625917</v>
      </c>
      <c r="G99" s="10" t="n">
        <v>2.596250574158307</v>
      </c>
      <c r="H99" s="10" t="n">
        <v>2.677789883057558</v>
      </c>
      <c r="I99" s="10" t="n">
        <v>2.753448756571396</v>
      </c>
      <c r="J99" s="10" t="n">
        <v>2.823640166716588</v>
      </c>
      <c r="K99" s="10" t="n">
        <v>2.888781297304792</v>
      </c>
      <c r="L99" s="10" t="n">
        <v>2.949281500055972</v>
      </c>
      <c r="M99" s="10" t="n">
        <v>3.005519253582623</v>
      </c>
      <c r="N99" s="10" t="n">
        <v>3.057842066476498</v>
      </c>
      <c r="O99" s="10" t="n">
        <v>3.106571975682315</v>
      </c>
      <c r="P99" s="10" t="n">
        <v>3.152009938043509</v>
      </c>
      <c r="Q99" s="10" t="n">
        <v>3.194438423375092</v>
      </c>
      <c r="R99" s="10" t="n">
        <v>3.234117368657158</v>
      </c>
      <c r="S99" s="10" t="n">
        <v>3.27128216429401</v>
      </c>
      <c r="T99" s="10" t="n">
        <v>3.306144956424187</v>
      </c>
      <c r="U99" s="10" t="n">
        <v>3.338896475904195</v>
      </c>
      <c r="V99" s="10" t="n">
        <v>3.369708997688122</v>
      </c>
      <c r="W99" s="10" t="n">
        <v>3.398738635955891</v>
      </c>
      <c r="X99" s="10" t="n">
        <v>3.426125373772182</v>
      </c>
      <c r="Y99" s="10" t="n">
        <v>3.451993504173307</v>
      </c>
      <c r="Z99" s="10" t="n">
        <v>3.476453506265008</v>
      </c>
      <c r="AA99" s="10" t="n">
        <v>3.499603569825283</v>
      </c>
      <c r="AB99" s="10" t="n">
        <v>3.521530938725959</v>
      </c>
      <c r="AC99" s="10" t="n">
        <v>3.542313204120673</v>
      </c>
      <c r="AD99" s="10" t="n">
        <v>3.562019421973152</v>
      </c>
      <c r="AE99" s="10" t="n">
        <v>3.580710871022539</v>
      </c>
      <c r="AF99" s="10" t="n">
        <v>3.598441423848581</v>
      </c>
      <c r="AG99" s="10" t="n">
        <v>3.615258223807623</v>
      </c>
      <c r="AH99" s="10" t="n">
        <v>3.63120223642141</v>
      </c>
      <c r="AI99" s="10" t="n">
        <v>3.646308513908938</v>
      </c>
      <c r="AJ99" s="10" t="n">
        <v>3.66060670356512</v>
      </c>
      <c r="AK99" s="10" t="n">
        <v>3.674121587649549</v>
      </c>
    </row>
    <row r="100">
      <c r="A100" s="9" t="n">
        <v>-25</v>
      </c>
      <c r="B100" s="7" t="n">
        <v>41457</v>
      </c>
      <c r="C100" s="10" t="n">
        <v>2.169599439423222</v>
      </c>
      <c r="D100" s="10" t="n">
        <v>2.278234873203865</v>
      </c>
      <c r="E100" s="10" t="n">
        <v>2.379564437543055</v>
      </c>
      <c r="F100" s="10" t="n">
        <v>2.473967893726163</v>
      </c>
      <c r="G100" s="10" t="n">
        <v>2.561848330903551</v>
      </c>
      <c r="H100" s="10" t="n">
        <v>2.643613728712088</v>
      </c>
      <c r="I100" s="10" t="n">
        <v>2.719675781390519</v>
      </c>
      <c r="J100" s="10" t="n">
        <v>2.790449090257318</v>
      </c>
      <c r="K100" s="10" t="n">
        <v>2.856350237434196</v>
      </c>
      <c r="L100" s="10" t="n">
        <v>2.917785142725205</v>
      </c>
      <c r="M100" s="10" t="n">
        <v>2.975124603063882</v>
      </c>
      <c r="N100" s="10" t="n">
        <v>3.028704600472921</v>
      </c>
      <c r="O100" s="10" t="n">
        <v>3.078832486392257</v>
      </c>
      <c r="P100" s="10" t="n">
        <v>3.12579191782672</v>
      </c>
      <c r="Q100" s="10" t="n">
        <v>3.169845743236894</v>
      </c>
      <c r="R100" s="10" t="n">
        <v>3.211231360637734</v>
      </c>
      <c r="S100" s="10" t="n">
        <v>3.250158797162273</v>
      </c>
      <c r="T100" s="10" t="n">
        <v>3.286814681271669</v>
      </c>
      <c r="U100" s="10" t="n">
        <v>3.321365821871821</v>
      </c>
      <c r="V100" s="10" t="n">
        <v>3.353962048209367</v>
      </c>
      <c r="W100" s="10" t="n">
        <v>3.38473851377207</v>
      </c>
      <c r="X100" s="10" t="n">
        <v>3.413817249197371</v>
      </c>
      <c r="Y100" s="10" t="n">
        <v>3.441308557088805</v>
      </c>
      <c r="Z100" s="10" t="n">
        <v>3.467312461139824</v>
      </c>
      <c r="AA100" s="10" t="n">
        <v>3.491919733828722</v>
      </c>
      <c r="AB100" s="10" t="n">
        <v>3.515212829413084</v>
      </c>
      <c r="AC100" s="10" t="n">
        <v>3.537266861967079</v>
      </c>
      <c r="AD100" s="10" t="n">
        <v>3.558150452483736</v>
      </c>
      <c r="AE100" s="10" t="n">
        <v>3.577926195350194</v>
      </c>
      <c r="AF100" s="10" t="n">
        <v>3.596650704362555</v>
      </c>
      <c r="AG100" s="10" t="n">
        <v>3.614375099598936</v>
      </c>
      <c r="AH100" s="10" t="n">
        <v>3.631145252265501</v>
      </c>
      <c r="AI100" s="10" t="n">
        <v>3.647001556974847</v>
      </c>
      <c r="AJ100" s="10" t="n">
        <v>3.661979298957573</v>
      </c>
      <c r="AK100" s="10" t="n">
        <v>3.676109163833005</v>
      </c>
    </row>
    <row r="101">
      <c r="A101" s="9" t="n">
        <v>-24</v>
      </c>
      <c r="B101" s="7" t="n">
        <v>41458</v>
      </c>
      <c r="C101" s="10" t="n">
        <v>2.182797500096521</v>
      </c>
      <c r="D101" s="10" t="n">
        <v>2.289748629314239</v>
      </c>
      <c r="E101" s="10" t="n">
        <v>2.389708005044492</v>
      </c>
      <c r="F101" s="10" t="n">
        <v>2.483026373646168</v>
      </c>
      <c r="G101" s="10" t="n">
        <v>2.570075750929509</v>
      </c>
      <c r="H101" s="10" t="n">
        <v>2.651233021343395</v>
      </c>
      <c r="I101" s="10" t="n">
        <v>2.726878777315791</v>
      </c>
      <c r="J101" s="10" t="n">
        <v>2.797396513171341</v>
      </c>
      <c r="K101" s="10" t="n">
        <v>2.863171727112134</v>
      </c>
      <c r="L101" s="10" t="n">
        <v>2.924580576343276</v>
      </c>
      <c r="M101" s="10" t="n">
        <v>2.981968271196228</v>
      </c>
      <c r="N101" s="10" t="n">
        <v>3.035649408836623</v>
      </c>
      <c r="O101" s="10" t="n">
        <v>3.085913412733309</v>
      </c>
      <c r="P101" s="10" t="n">
        <v>3.13302887278076</v>
      </c>
      <c r="Q101" s="10" t="n">
        <v>3.177246047221244</v>
      </c>
      <c r="R101" s="10" t="n">
        <v>3.218792627904122</v>
      </c>
      <c r="S101" s="10" t="n">
        <v>3.257871986206708</v>
      </c>
      <c r="T101" s="10" t="n">
        <v>3.294666398288573</v>
      </c>
      <c r="U101" s="10" t="n">
        <v>3.32934003879862</v>
      </c>
      <c r="V101" s="10" t="n">
        <v>3.362041560204891</v>
      </c>
      <c r="W101" s="10" t="n">
        <v>3.392906157261883</v>
      </c>
      <c r="X101" s="10" t="n">
        <v>3.422056673336144</v>
      </c>
      <c r="Y101" s="10" t="n">
        <v>3.449604682758776</v>
      </c>
      <c r="Z101" s="10" t="n">
        <v>3.475651846805033</v>
      </c>
      <c r="AA101" s="10" t="n">
        <v>3.500290736382611</v>
      </c>
      <c r="AB101" s="10" t="n">
        <v>3.523605628269751</v>
      </c>
      <c r="AC101" s="10" t="n">
        <v>3.545673473284521</v>
      </c>
      <c r="AD101" s="10" t="n">
        <v>3.566564740374776</v>
      </c>
      <c r="AE101" s="10" t="n">
        <v>3.586343832315029</v>
      </c>
      <c r="AF101" s="10" t="n">
        <v>3.605069031373695</v>
      </c>
      <c r="AG101" s="10" t="n">
        <v>3.622792977410021</v>
      </c>
      <c r="AH101" s="10" t="n">
        <v>3.63956292385937</v>
      </c>
      <c r="AI101" s="10" t="n">
        <v>3.655420523461121</v>
      </c>
      <c r="AJ101" s="10" t="n">
        <v>3.67040221044122</v>
      </c>
      <c r="AK101" s="10" t="n">
        <v>3.684539721258179</v>
      </c>
    </row>
    <row r="102">
      <c r="A102" s="9" t="n">
        <v>-23</v>
      </c>
      <c r="B102" s="7" t="n">
        <v>41459</v>
      </c>
      <c r="C102" s="10" t="n">
        <v>2.170011756630331</v>
      </c>
      <c r="D102" s="10" t="n">
        <v>2.280864938309636</v>
      </c>
      <c r="E102" s="10" t="n">
        <v>2.384368855218974</v>
      </c>
      <c r="F102" s="10" t="n">
        <v>2.480866305541516</v>
      </c>
      <c r="G102" s="10" t="n">
        <v>2.570734361623142</v>
      </c>
      <c r="H102" s="10" t="n">
        <v>2.654362870471024</v>
      </c>
      <c r="I102" s="10" t="n">
        <v>2.732151489593011</v>
      </c>
      <c r="J102" s="10" t="n">
        <v>2.804507554280087</v>
      </c>
      <c r="K102" s="10" t="n">
        <v>2.87184413588398</v>
      </c>
      <c r="L102" s="10" t="n">
        <v>2.934566432024485</v>
      </c>
      <c r="M102" s="10" t="n">
        <v>2.993046955656146</v>
      </c>
      <c r="N102" s="10" t="n">
        <v>3.047625597132756</v>
      </c>
      <c r="O102" s="10" t="n">
        <v>3.098615420862339</v>
      </c>
      <c r="P102" s="10" t="n">
        <v>3.146307290273366</v>
      </c>
      <c r="Q102" s="10" t="n">
        <v>3.190972599311423</v>
      </c>
      <c r="R102" s="10" t="n">
        <v>3.232859339768966</v>
      </c>
      <c r="S102" s="10" t="n">
        <v>3.272190515171531</v>
      </c>
      <c r="T102" s="10" t="n">
        <v>3.309166660350646</v>
      </c>
      <c r="U102" s="10" t="n">
        <v>3.343968436701248</v>
      </c>
      <c r="V102" s="10" t="n">
        <v>3.376759428919331</v>
      </c>
      <c r="W102" s="10" t="n">
        <v>3.407688349451822</v>
      </c>
      <c r="X102" s="10" t="n">
        <v>3.436889763687137</v>
      </c>
      <c r="Y102" s="10" t="n">
        <v>3.464484984075036</v>
      </c>
      <c r="Z102" s="10" t="n">
        <v>3.490583643857161</v>
      </c>
      <c r="AA102" s="10" t="n">
        <v>3.515284664903052</v>
      </c>
      <c r="AB102" s="10" t="n">
        <v>3.538677199299344</v>
      </c>
      <c r="AC102" s="10" t="n">
        <v>3.560841770359718</v>
      </c>
      <c r="AD102" s="10" t="n">
        <v>3.581851267720649</v>
      </c>
      <c r="AE102" s="10" t="n">
        <v>3.601771482167277</v>
      </c>
      <c r="AF102" s="10" t="n">
        <v>3.620661148573366</v>
      </c>
      <c r="AG102" s="10" t="n">
        <v>3.63857252532275</v>
      </c>
      <c r="AH102" s="10" t="n">
        <v>3.655551808189019</v>
      </c>
      <c r="AI102" s="10" t="n">
        <v>3.671639150228444</v>
      </c>
      <c r="AJ102" s="10" t="n">
        <v>3.686869131013956</v>
      </c>
      <c r="AK102" s="10" t="n">
        <v>3.701271313159509</v>
      </c>
    </row>
    <row r="103">
      <c r="A103" s="9" t="n">
        <v>-22</v>
      </c>
      <c r="B103" s="7" t="n">
        <v>41460</v>
      </c>
      <c r="C103" s="10" t="n">
        <v>2.272889293128411</v>
      </c>
      <c r="D103" s="10" t="n">
        <v>2.386027978210524</v>
      </c>
      <c r="E103" s="10" t="n">
        <v>2.491083615028949</v>
      </c>
      <c r="F103" s="10" t="n">
        <v>2.588446003424484</v>
      </c>
      <c r="G103" s="10" t="n">
        <v>2.678545092229377</v>
      </c>
      <c r="H103" s="10" t="n">
        <v>2.761827348400826</v>
      </c>
      <c r="I103" s="10" t="n">
        <v>2.838751947380205</v>
      </c>
      <c r="J103" s="10" t="n">
        <v>2.909788010379109</v>
      </c>
      <c r="K103" s="10" t="n">
        <v>2.975412102758876</v>
      </c>
      <c r="L103" s="10" t="n">
        <v>3.036092154039411</v>
      </c>
      <c r="M103" s="10" t="n">
        <v>3.092259405995634</v>
      </c>
      <c r="N103" s="10" t="n">
        <v>3.144308712255402</v>
      </c>
      <c r="O103" s="10" t="n">
        <v>3.192605009087415</v>
      </c>
      <c r="P103" s="10" t="n">
        <v>3.237488473159866</v>
      </c>
      <c r="Q103" s="10" t="n">
        <v>3.279277313180311</v>
      </c>
      <c r="R103" s="10" t="n">
        <v>3.318261989463273</v>
      </c>
      <c r="S103" s="10" t="n">
        <v>3.354702783999189</v>
      </c>
      <c r="T103" s="10" t="n">
        <v>3.388832138464072</v>
      </c>
      <c r="U103" s="10" t="n">
        <v>3.420857423493306</v>
      </c>
      <c r="V103" s="10" t="n">
        <v>3.450964445228459</v>
      </c>
      <c r="W103" s="10" t="n">
        <v>3.479320116512825</v>
      </c>
      <c r="X103" s="10" t="n">
        <v>3.506072632441943</v>
      </c>
      <c r="Y103" s="10" t="n">
        <v>3.531352205890252</v>
      </c>
      <c r="Z103" s="10" t="n">
        <v>3.555273270204394</v>
      </c>
      <c r="AA103" s="10" t="n">
        <v>3.577936443407829</v>
      </c>
      <c r="AB103" s="10" t="n">
        <v>3.599430207107326</v>
      </c>
      <c r="AC103" s="10" t="n">
        <v>3.619832350966631</v>
      </c>
      <c r="AD103" s="10" t="n">
        <v>3.639211211640896</v>
      </c>
      <c r="AE103" s="10" t="n">
        <v>3.657626585106678</v>
      </c>
      <c r="AF103" s="10" t="n">
        <v>3.67513032578289</v>
      </c>
      <c r="AG103" s="10" t="n">
        <v>3.691767125649174</v>
      </c>
      <c r="AH103" s="10" t="n">
        <v>3.707575176474506</v>
      </c>
      <c r="AI103" s="10" t="n">
        <v>3.722586633265591</v>
      </c>
      <c r="AJ103" s="10" t="n">
        <v>3.736828180802771</v>
      </c>
      <c r="AK103" s="10" t="n">
        <v>3.750321580420922</v>
      </c>
    </row>
    <row r="104">
      <c r="A104" s="9" t="n">
        <v>-21</v>
      </c>
      <c r="B104" s="7" t="n">
        <v>41463</v>
      </c>
      <c r="C104" s="10" t="n">
        <v>2.265078589822521</v>
      </c>
      <c r="D104" s="10" t="n">
        <v>2.379853604223084</v>
      </c>
      <c r="E104" s="10" t="n">
        <v>2.486448082950377</v>
      </c>
      <c r="F104" s="10" t="n">
        <v>2.585264088759708</v>
      </c>
      <c r="G104" s="10" t="n">
        <v>2.676743877721669</v>
      </c>
      <c r="H104" s="10" t="n">
        <v>2.761345170188873</v>
      </c>
      <c r="I104" s="10" t="n">
        <v>2.839537579296748</v>
      </c>
      <c r="J104" s="10" t="n">
        <v>2.911800025575958</v>
      </c>
      <c r="K104" s="10" t="n">
        <v>2.978618326313379</v>
      </c>
      <c r="L104" s="10" t="n">
        <v>3.040468159921709</v>
      </c>
      <c r="M104" s="10" t="n">
        <v>3.097785520326968</v>
      </c>
      <c r="N104" s="10" t="n">
        <v>3.150967274159844</v>
      </c>
      <c r="O104" s="10" t="n">
        <v>3.200378120796294</v>
      </c>
      <c r="P104" s="10" t="n">
        <v>3.246356137955423</v>
      </c>
      <c r="Q104" s="10" t="n">
        <v>3.289215825429252</v>
      </c>
      <c r="R104" s="10" t="n">
        <v>3.329242319883438</v>
      </c>
      <c r="S104" s="10" t="n">
        <v>3.366689239997675</v>
      </c>
      <c r="T104" s="10" t="n">
        <v>3.401782149271656</v>
      </c>
      <c r="U104" s="10" t="n">
        <v>3.434722016197362</v>
      </c>
      <c r="V104" s="10" t="n">
        <v>3.465688690786423</v>
      </c>
      <c r="W104" s="10" t="n">
        <v>3.494843610643355</v>
      </c>
      <c r="X104" s="10" t="n">
        <v>3.522330646913319</v>
      </c>
      <c r="Y104" s="10" t="n">
        <v>3.548277236760506</v>
      </c>
      <c r="Z104" s="10" t="n">
        <v>3.572796413756323</v>
      </c>
      <c r="AA104" s="10" t="n">
        <v>3.595988548605125</v>
      </c>
      <c r="AB104" s="10" t="n">
        <v>3.617942851201687</v>
      </c>
      <c r="AC104" s="10" t="n">
        <v>3.638738696921203</v>
      </c>
      <c r="AD104" s="10" t="n">
        <v>3.658446764644947</v>
      </c>
      <c r="AE104" s="10" t="n">
        <v>3.677129822617639</v>
      </c>
      <c r="AF104" s="10" t="n">
        <v>3.694843175341805</v>
      </c>
      <c r="AG104" s="10" t="n">
        <v>3.711635369467939</v>
      </c>
      <c r="AH104" s="10" t="n">
        <v>3.727548688516589</v>
      </c>
      <c r="AI104" s="10" t="n">
        <v>3.742619329889173</v>
      </c>
      <c r="AJ104" s="10" t="n">
        <v>3.756877917313911</v>
      </c>
      <c r="AK104" s="10" t="n">
        <v>3.77035005770654</v>
      </c>
    </row>
    <row r="105">
      <c r="A105" s="9" t="n">
        <v>-20</v>
      </c>
      <c r="B105" s="7" t="n">
        <v>41464</v>
      </c>
      <c r="C105" s="10" t="n">
        <v>2.206568833757802</v>
      </c>
      <c r="D105" s="10" t="n">
        <v>2.323085886123883</v>
      </c>
      <c r="E105" s="10" t="n">
        <v>2.431515469522907</v>
      </c>
      <c r="F105" s="10" t="n">
        <v>2.532227364341782</v>
      </c>
      <c r="G105" s="10" t="n">
        <v>2.625637375989894</v>
      </c>
      <c r="H105" s="10" t="n">
        <v>2.712181649899692</v>
      </c>
      <c r="I105" s="10" t="n">
        <v>2.792311996289098</v>
      </c>
      <c r="J105" s="10" t="n">
        <v>2.866492484773375</v>
      </c>
      <c r="K105" s="10" t="n">
        <v>2.935196402405522</v>
      </c>
      <c r="L105" s="10" t="n">
        <v>2.998888574939737</v>
      </c>
      <c r="M105" s="10" t="n">
        <v>3.057995524085615</v>
      </c>
      <c r="N105" s="10" t="n">
        <v>3.112905865769601</v>
      </c>
      <c r="O105" s="10" t="n">
        <v>3.163977053732873</v>
      </c>
      <c r="P105" s="10" t="n">
        <v>3.211540751747378</v>
      </c>
      <c r="Q105" s="10" t="n">
        <v>3.255905653431938</v>
      </c>
      <c r="R105" s="10" t="n">
        <v>3.297351160528325</v>
      </c>
      <c r="S105" s="10" t="n">
        <v>3.336125120716023</v>
      </c>
      <c r="T105" s="10" t="n">
        <v>3.372448158310371</v>
      </c>
      <c r="U105" s="10" t="n">
        <v>3.40651761908379</v>
      </c>
      <c r="V105" s="10" t="n">
        <v>3.438510892527636</v>
      </c>
      <c r="W105" s="10" t="n">
        <v>3.468588015703596</v>
      </c>
      <c r="X105" s="10" t="n">
        <v>3.49689282195792</v>
      </c>
      <c r="Y105" s="10" t="n">
        <v>3.523554224457491</v>
      </c>
      <c r="Z105" s="10" t="n">
        <v>3.548688023157772</v>
      </c>
      <c r="AA105" s="10" t="n">
        <v>3.572398140788287</v>
      </c>
      <c r="AB105" s="10" t="n">
        <v>3.594777789844507</v>
      </c>
      <c r="AC105" s="10" t="n">
        <v>3.615910732037109</v>
      </c>
      <c r="AD105" s="10" t="n">
        <v>3.635872368612608</v>
      </c>
      <c r="AE105" s="10" t="n">
        <v>3.654730382278227</v>
      </c>
      <c r="AF105" s="10" t="n">
        <v>3.672544944979288</v>
      </c>
      <c r="AG105" s="10" t="n">
        <v>3.689369379478137</v>
      </c>
      <c r="AH105" s="10" t="n">
        <v>3.70525061903566</v>
      </c>
      <c r="AI105" s="10" t="n">
        <v>3.720229309819221</v>
      </c>
      <c r="AJ105" s="10" t="n">
        <v>3.73434032552585</v>
      </c>
      <c r="AK105" s="10" t="n">
        <v>3.747613344064547</v>
      </c>
    </row>
    <row r="106">
      <c r="A106" s="9" t="n">
        <v>-19</v>
      </c>
      <c r="B106" s="7" t="n">
        <v>41465</v>
      </c>
      <c r="C106" s="10" t="n">
        <v>2.188680946710888</v>
      </c>
      <c r="D106" s="10" t="n">
        <v>2.304143095134221</v>
      </c>
      <c r="E106" s="10" t="n">
        <v>2.411834767715378</v>
      </c>
      <c r="F106" s="10" t="n">
        <v>2.512025937647041</v>
      </c>
      <c r="G106" s="10" t="n">
        <v>2.605058824750867</v>
      </c>
      <c r="H106" s="10" t="n">
        <v>2.691328157419475</v>
      </c>
      <c r="I106" s="10" t="n">
        <v>2.771261439704503</v>
      </c>
      <c r="J106" s="10" t="n">
        <v>2.845296516197803</v>
      </c>
      <c r="K106" s="10" t="n">
        <v>2.913875827262722</v>
      </c>
      <c r="L106" s="10" t="n">
        <v>2.977433707364272</v>
      </c>
      <c r="M106" s="10" t="n">
        <v>3.036374834393552</v>
      </c>
      <c r="N106" s="10" t="n">
        <v>3.091074871426874</v>
      </c>
      <c r="O106" s="10" t="n">
        <v>3.141885630533436</v>
      </c>
      <c r="P106" s="10" t="n">
        <v>3.189139184180984</v>
      </c>
      <c r="Q106" s="10" t="n">
        <v>3.233149234831992</v>
      </c>
      <c r="R106" s="10" t="n">
        <v>3.274201244583481</v>
      </c>
      <c r="S106" s="10" t="n">
        <v>3.31254827612787</v>
      </c>
      <c r="T106" s="10" t="n">
        <v>3.348415870561654</v>
      </c>
      <c r="U106" s="10" t="n">
        <v>3.382006382884747</v>
      </c>
      <c r="V106" s="10" t="n">
        <v>3.41350230966332</v>
      </c>
      <c r="W106" s="10" t="n">
        <v>3.443068760300396</v>
      </c>
      <c r="X106" s="10" t="n">
        <v>3.470853792449507</v>
      </c>
      <c r="Y106" s="10" t="n">
        <v>3.496989243893439</v>
      </c>
      <c r="Z106" s="10" t="n">
        <v>3.521592696169081</v>
      </c>
      <c r="AA106" s="10" t="n">
        <v>3.544769000931686</v>
      </c>
      <c r="AB106" s="10" t="n">
        <v>3.566611656021091</v>
      </c>
      <c r="AC106" s="10" t="n">
        <v>3.587204147519339</v>
      </c>
      <c r="AD106" s="10" t="n">
        <v>3.606621106794857</v>
      </c>
      <c r="AE106" s="10" t="n">
        <v>3.624929067905291</v>
      </c>
      <c r="AF106" s="10" t="n">
        <v>3.642186848917513</v>
      </c>
      <c r="AG106" s="10" t="n">
        <v>3.658446271082709</v>
      </c>
      <c r="AH106" s="10" t="n">
        <v>3.673752776751718</v>
      </c>
      <c r="AI106" s="10" t="n">
        <v>3.688145832717922</v>
      </c>
      <c r="AJ106" s="10" t="n">
        <v>3.701659481906922</v>
      </c>
      <c r="AK106" s="10" t="n">
        <v>3.714322885517132</v>
      </c>
    </row>
    <row r="107">
      <c r="A107" s="9" t="n">
        <v>-18</v>
      </c>
      <c r="B107" s="7" t="n">
        <v>41466</v>
      </c>
      <c r="C107" s="10" t="n">
        <v>2.155166225257744</v>
      </c>
      <c r="D107" s="10" t="n">
        <v>2.270186139200643</v>
      </c>
      <c r="E107" s="10" t="n">
        <v>2.377579359558756</v>
      </c>
      <c r="F107" s="10" t="n">
        <v>2.477592444166236</v>
      </c>
      <c r="G107" s="10" t="n">
        <v>2.57054422152617</v>
      </c>
      <c r="H107" s="10" t="n">
        <v>2.656806486326087</v>
      </c>
      <c r="I107" s="10" t="n">
        <v>2.736784920800372</v>
      </c>
      <c r="J107" s="10" t="n">
        <v>2.810898071501958</v>
      </c>
      <c r="K107" s="10" t="n">
        <v>2.879571477601601</v>
      </c>
      <c r="L107" s="10" t="n">
        <v>2.943225135081299</v>
      </c>
      <c r="M107" s="10" t="n">
        <v>3.002252980106255</v>
      </c>
      <c r="N107" s="10" t="n">
        <v>3.057023246356754</v>
      </c>
      <c r="O107" s="10" t="n">
        <v>3.107883039533443</v>
      </c>
      <c r="P107" s="10" t="n">
        <v>3.155161979211492</v>
      </c>
      <c r="Q107" s="10" t="n">
        <v>3.199173262368594</v>
      </c>
      <c r="R107" s="10" t="n">
        <v>3.240204122938949</v>
      </c>
      <c r="S107" s="10" t="n">
        <v>3.278511675910288</v>
      </c>
      <c r="T107" s="10" t="n">
        <v>3.314326327857443</v>
      </c>
      <c r="U107" s="10" t="n">
        <v>3.347855209314195</v>
      </c>
      <c r="V107" s="10" t="n">
        <v>3.379285473705434</v>
      </c>
      <c r="W107" s="10" t="n">
        <v>3.408786659976586</v>
      </c>
      <c r="X107" s="10" t="n">
        <v>3.436510222445119</v>
      </c>
      <c r="Y107" s="10" t="n">
        <v>3.462589936195602</v>
      </c>
      <c r="Z107" s="10" t="n">
        <v>3.487144034381395</v>
      </c>
      <c r="AA107" s="10" t="n">
        <v>3.510277007325282</v>
      </c>
      <c r="AB107" s="10" t="n">
        <v>3.532081180569763</v>
      </c>
      <c r="AC107" s="10" t="n">
        <v>3.552638157838647</v>
      </c>
      <c r="AD107" s="10" t="n">
        <v>3.572020064158242</v>
      </c>
      <c r="AE107" s="10" t="n">
        <v>3.590290499856851</v>
      </c>
      <c r="AF107" s="10" t="n">
        <v>3.607505234342835</v>
      </c>
      <c r="AG107" s="10" t="n">
        <v>3.623713002322477</v>
      </c>
      <c r="AH107" s="10" t="n">
        <v>3.638956283136582</v>
      </c>
      <c r="AI107" s="10" t="n">
        <v>3.653272016265824</v>
      </c>
      <c r="AJ107" s="10" t="n">
        <v>3.666692180641234</v>
      </c>
      <c r="AK107" s="10" t="n">
        <v>3.679244290755756</v>
      </c>
    </row>
    <row r="108">
      <c r="A108" s="9" t="n">
        <v>-17</v>
      </c>
      <c r="B108" s="7" t="n">
        <v>41467</v>
      </c>
      <c r="C108" s="10" t="n">
        <v>2.096947272838976</v>
      </c>
      <c r="D108" s="10" t="n">
        <v>2.210513312849391</v>
      </c>
      <c r="E108" s="10" t="n">
        <v>2.316820131227119</v>
      </c>
      <c r="F108" s="10" t="n">
        <v>2.416085230258309</v>
      </c>
      <c r="G108" s="10" t="n">
        <v>2.508597091562726</v>
      </c>
      <c r="H108" s="10" t="n">
        <v>2.594697148195269</v>
      </c>
      <c r="I108" s="10" t="n">
        <v>2.674761070359804</v>
      </c>
      <c r="J108" s="10" t="n">
        <v>2.749178823555095</v>
      </c>
      <c r="K108" s="10" t="n">
        <v>2.81834880893496</v>
      </c>
      <c r="L108" s="10" t="n">
        <v>2.882664762475869</v>
      </c>
      <c r="M108" s="10" t="n">
        <v>2.942495319270857</v>
      </c>
      <c r="N108" s="10" t="n">
        <v>2.998184422411406</v>
      </c>
      <c r="O108" s="10" t="n">
        <v>3.050055720003395</v>
      </c>
      <c r="P108" s="10" t="n">
        <v>3.098416062993436</v>
      </c>
      <c r="Q108" s="10" t="n">
        <v>3.143556330347063</v>
      </c>
      <c r="R108" s="10" t="n">
        <v>3.185741557723309</v>
      </c>
      <c r="S108" s="10" t="n">
        <v>3.225207092953481</v>
      </c>
      <c r="T108" s="10" t="n">
        <v>3.26216334595595</v>
      </c>
      <c r="U108" s="10" t="n">
        <v>3.29679987313242</v>
      </c>
      <c r="V108" s="10" t="n">
        <v>3.329288377087533</v>
      </c>
      <c r="W108" s="10" t="n">
        <v>3.359784919285963</v>
      </c>
      <c r="X108" s="10" t="n">
        <v>3.388430265557104</v>
      </c>
      <c r="Y108" s="10" t="n">
        <v>3.415350717259004</v>
      </c>
      <c r="Z108" s="10" t="n">
        <v>3.44065985076162</v>
      </c>
      <c r="AA108" s="10" t="n">
        <v>3.464459759532873</v>
      </c>
      <c r="AB108" s="10" t="n">
        <v>3.486842225311582</v>
      </c>
      <c r="AC108" s="10" t="n">
        <v>3.507889934115148</v>
      </c>
      <c r="AD108" s="10" t="n">
        <v>3.527677526481003</v>
      </c>
      <c r="AE108" s="10" t="n">
        <v>3.546272275304649</v>
      </c>
      <c r="AF108" s="10" t="n">
        <v>3.563734435320641</v>
      </c>
      <c r="AG108" s="10" t="n">
        <v>3.580117902424278</v>
      </c>
      <c r="AH108" s="10" t="n">
        <v>3.595470757814269</v>
      </c>
      <c r="AI108" s="10" t="n">
        <v>3.609835613016265</v>
      </c>
      <c r="AJ108" s="10" t="n">
        <v>3.623250113109676</v>
      </c>
      <c r="AK108" s="10" t="n">
        <v>3.635747433182199</v>
      </c>
    </row>
    <row r="109">
      <c r="A109" s="9" t="n">
        <v>-16</v>
      </c>
      <c r="B109" s="7" t="n">
        <v>41470</v>
      </c>
      <c r="C109" s="10" t="n">
        <v>2.117861907922642</v>
      </c>
      <c r="D109" s="10" t="n">
        <v>2.231702109161138</v>
      </c>
      <c r="E109" s="10" t="n">
        <v>2.338219087041951</v>
      </c>
      <c r="F109" s="10" t="n">
        <v>2.437630792028647</v>
      </c>
      <c r="G109" s="10" t="n">
        <v>2.530229159681118</v>
      </c>
      <c r="H109" s="10" t="n">
        <v>2.616361434712991</v>
      </c>
      <c r="I109" s="10" t="n">
        <v>2.696410790919254</v>
      </c>
      <c r="J109" s="10" t="n">
        <v>2.770775931134164</v>
      </c>
      <c r="K109" s="10" t="n">
        <v>2.83986494808369</v>
      </c>
      <c r="L109" s="10" t="n">
        <v>2.904081177576141</v>
      </c>
      <c r="M109" s="10" t="n">
        <v>2.963801456374969</v>
      </c>
      <c r="N109" s="10" t="n">
        <v>3.019376588287342</v>
      </c>
      <c r="O109" s="10" t="n">
        <v>3.071135980761048</v>
      </c>
      <c r="P109" s="10" t="n">
        <v>3.119391332301058</v>
      </c>
      <c r="Q109" s="10" t="n">
        <v>3.164437377313513</v>
      </c>
      <c r="R109" s="10" t="n">
        <v>3.206540910172077</v>
      </c>
      <c r="S109" s="10" t="n">
        <v>3.24593668945862</v>
      </c>
      <c r="T109" s="10" t="n">
        <v>3.282833313096964</v>
      </c>
      <c r="U109" s="10" t="n">
        <v>3.317417989087034</v>
      </c>
      <c r="V109" s="10" t="n">
        <v>3.349859636259445</v>
      </c>
      <c r="W109" s="10" t="n">
        <v>3.380311226387882</v>
      </c>
      <c r="X109" s="10" t="n">
        <v>3.408910646811507</v>
      </c>
      <c r="Y109" s="10" t="n">
        <v>3.435781831979301</v>
      </c>
      <c r="Z109" s="10" t="n">
        <v>3.461036468605802</v>
      </c>
      <c r="AA109" s="10" t="n">
        <v>3.484775269117771</v>
      </c>
      <c r="AB109" s="10" t="n">
        <v>3.507089142665464</v>
      </c>
      <c r="AC109" s="10" t="n">
        <v>3.52806035388139</v>
      </c>
      <c r="AD109" s="10" t="n">
        <v>3.547763520090621</v>
      </c>
      <c r="AE109" s="10" t="n">
        <v>3.566266231414832</v>
      </c>
      <c r="AF109" s="10" t="n">
        <v>3.583629343611515</v>
      </c>
      <c r="AG109" s="10" t="n">
        <v>3.599907601471615</v>
      </c>
      <c r="AH109" s="10" t="n">
        <v>3.615150082438375</v>
      </c>
      <c r="AI109" s="10" t="n">
        <v>3.629400384711507</v>
      </c>
      <c r="AJ109" s="10" t="n">
        <v>3.64269710278012</v>
      </c>
      <c r="AK109" s="10" t="n">
        <v>3.65507432751941</v>
      </c>
    </row>
    <row r="110">
      <c r="A110" s="9" t="n">
        <v>-15</v>
      </c>
      <c r="B110" s="7" t="n">
        <v>41471</v>
      </c>
      <c r="C110" s="10" t="n">
        <v>2.047318226313208</v>
      </c>
      <c r="D110" s="10" t="n">
        <v>2.162290915897662</v>
      </c>
      <c r="E110" s="10" t="n">
        <v>2.270119594948812</v>
      </c>
      <c r="F110" s="10" t="n">
        <v>2.371000621075025</v>
      </c>
      <c r="G110" s="10" t="n">
        <v>2.465208107823123</v>
      </c>
      <c r="H110" s="10" t="n">
        <v>2.553074061059776</v>
      </c>
      <c r="I110" s="10" t="n">
        <v>2.634966984286425</v>
      </c>
      <c r="J110" s="10" t="n">
        <v>2.711268899196012</v>
      </c>
      <c r="K110" s="10" t="n">
        <v>2.782369193670696</v>
      </c>
      <c r="L110" s="10" t="n">
        <v>2.848651423056521</v>
      </c>
      <c r="M110" s="10" t="n">
        <v>2.910473040758968</v>
      </c>
      <c r="N110" s="10" t="n">
        <v>2.968166096263346</v>
      </c>
      <c r="O110" s="10" t="n">
        <v>3.022041760875965</v>
      </c>
      <c r="P110" s="10" t="n">
        <v>3.072393925820065</v>
      </c>
      <c r="Q110" s="10" t="n">
        <v>3.119500097850405</v>
      </c>
      <c r="R110" s="10" t="n">
        <v>3.163611887576474</v>
      </c>
      <c r="S110" s="10" t="n">
        <v>3.204951693628535</v>
      </c>
      <c r="T110" s="10" t="n">
        <v>3.243718315136134</v>
      </c>
      <c r="U110" s="10" t="n">
        <v>3.280091402567658</v>
      </c>
      <c r="V110" s="10" t="n">
        <v>3.314234240200304</v>
      </c>
      <c r="W110" s="10" t="n">
        <v>3.34629585885757</v>
      </c>
      <c r="X110" s="10" t="n">
        <v>3.376411930824018</v>
      </c>
      <c r="Y110" s="10" t="n">
        <v>3.404705854771864</v>
      </c>
      <c r="Z110" s="10" t="n">
        <v>3.431290193852413</v>
      </c>
      <c r="AA110" s="10" t="n">
        <v>3.456267387938902</v>
      </c>
      <c r="AB110" s="10" t="n">
        <v>3.479730575891873</v>
      </c>
      <c r="AC110" s="10" t="n">
        <v>3.501764682754158</v>
      </c>
      <c r="AD110" s="10" t="n">
        <v>3.522447364159568</v>
      </c>
      <c r="AE110" s="10" t="n">
        <v>3.541849505763071</v>
      </c>
      <c r="AF110" s="10" t="n">
        <v>3.560035342840405</v>
      </c>
      <c r="AG110" s="10" t="n">
        <v>3.57706304587512</v>
      </c>
      <c r="AH110" s="10" t="n">
        <v>3.592985155991934</v>
      </c>
      <c r="AI110" s="10" t="n">
        <v>3.607848767784219</v>
      </c>
      <c r="AJ110" s="10" t="n">
        <v>3.621696002372844</v>
      </c>
      <c r="AK110" s="10" t="n">
        <v>3.63456450449626</v>
      </c>
    </row>
    <row r="111">
      <c r="A111" s="9" t="n">
        <v>-14</v>
      </c>
      <c r="B111" s="7" t="n">
        <v>41472</v>
      </c>
      <c r="C111" s="10" t="n">
        <v>2.065338459280397</v>
      </c>
      <c r="D111" s="10" t="n">
        <v>2.183080239003505</v>
      </c>
      <c r="E111" s="10" t="n">
        <v>2.293275744499632</v>
      </c>
      <c r="F111" s="10" t="n">
        <v>2.396137083158825</v>
      </c>
      <c r="G111" s="10" t="n">
        <v>2.491962453780219</v>
      </c>
      <c r="H111" s="10" t="n">
        <v>2.581113334564745</v>
      </c>
      <c r="I111" s="10" t="n">
        <v>2.663990428624919</v>
      </c>
      <c r="J111" s="10" t="n">
        <v>2.741007684938837</v>
      </c>
      <c r="K111" s="10" t="n">
        <v>2.812585743020156</v>
      </c>
      <c r="L111" s="10" t="n">
        <v>2.879138022195779</v>
      </c>
      <c r="M111" s="10" t="n">
        <v>2.941049449433815</v>
      </c>
      <c r="N111" s="10" t="n">
        <v>2.998677414629594</v>
      </c>
      <c r="O111" s="10" t="n">
        <v>3.052356677429994</v>
      </c>
      <c r="P111" s="10" t="n">
        <v>3.102403267119803</v>
      </c>
      <c r="Q111" s="10" t="n">
        <v>3.149115459951042</v>
      </c>
      <c r="R111" s="10" t="n">
        <v>3.192763695862909</v>
      </c>
      <c r="S111" s="10" t="n">
        <v>3.233587124952399</v>
      </c>
      <c r="T111" s="10" t="n">
        <v>3.271799247020553</v>
      </c>
      <c r="U111" s="10" t="n">
        <v>3.307592479148919</v>
      </c>
      <c r="V111" s="10" t="n">
        <v>3.341141204823034</v>
      </c>
      <c r="W111" s="10" t="n">
        <v>3.37260404653224</v>
      </c>
      <c r="X111" s="10" t="n">
        <v>3.402124524636331</v>
      </c>
      <c r="Y111" s="10" t="n">
        <v>3.429832096259744</v>
      </c>
      <c r="Z111" s="10" t="n">
        <v>3.455843818165765</v>
      </c>
      <c r="AA111" s="10" t="n">
        <v>3.48026531498614</v>
      </c>
      <c r="AB111" s="10" t="n">
        <v>3.50319180431638</v>
      </c>
      <c r="AC111" s="10" t="n">
        <v>3.524709318018187</v>
      </c>
      <c r="AD111" s="10" t="n">
        <v>3.544895761448069</v>
      </c>
      <c r="AE111" s="10" t="n">
        <v>3.563821571357036</v>
      </c>
      <c r="AF111" s="10" t="n">
        <v>3.581550037597067</v>
      </c>
      <c r="AG111" s="10" t="n">
        <v>3.598137972399092</v>
      </c>
      <c r="AH111" s="10" t="n">
        <v>3.613636272722288</v>
      </c>
      <c r="AI111" s="10" t="n">
        <v>3.62809029560255</v>
      </c>
      <c r="AJ111" s="10" t="n">
        <v>3.641540374765611</v>
      </c>
      <c r="AK111" s="10" t="n">
        <v>3.654022322814842</v>
      </c>
    </row>
    <row r="112">
      <c r="A112" s="9" t="n">
        <v>-13</v>
      </c>
      <c r="B112" s="7" t="n">
        <v>41473</v>
      </c>
      <c r="C112" s="10" t="n">
        <v>2.029921761560364</v>
      </c>
      <c r="D112" s="10" t="n">
        <v>2.148734242802134</v>
      </c>
      <c r="E112" s="10" t="n">
        <v>2.260090566099404</v>
      </c>
      <c r="F112" s="10" t="n">
        <v>2.364178357870466</v>
      </c>
      <c r="G112" s="10" t="n">
        <v>2.461275309134952</v>
      </c>
      <c r="H112" s="10" t="n">
        <v>2.551725538653212</v>
      </c>
      <c r="I112" s="10" t="n">
        <v>2.635915378337897</v>
      </c>
      <c r="J112" s="10" t="n">
        <v>2.714247943962695</v>
      </c>
      <c r="K112" s="10" t="n">
        <v>2.787136094699676</v>
      </c>
      <c r="L112" s="10" t="n">
        <v>2.854987644691566</v>
      </c>
      <c r="M112" s="10" t="n">
        <v>2.918183466776531</v>
      </c>
      <c r="N112" s="10" t="n">
        <v>2.977078181224058</v>
      </c>
      <c r="O112" s="10" t="n">
        <v>3.032004833848906</v>
      </c>
      <c r="P112" s="10" t="n">
        <v>3.083278613582404</v>
      </c>
      <c r="Q112" s="10" t="n">
        <v>3.131197569651347</v>
      </c>
      <c r="R112" s="10" t="n">
        <v>3.17603193201799</v>
      </c>
      <c r="S112" s="10" t="n">
        <v>3.21802043387775</v>
      </c>
      <c r="T112" s="10" t="n">
        <v>3.257375884668053</v>
      </c>
      <c r="U112" s="10" t="n">
        <v>3.294289709223946</v>
      </c>
      <c r="V112" s="10" t="n">
        <v>3.328935036134282</v>
      </c>
      <c r="W112" s="10" t="n">
        <v>3.361469003085178</v>
      </c>
      <c r="X112" s="10" t="n">
        <v>3.392033444586019</v>
      </c>
      <c r="Y112" s="10" t="n">
        <v>3.420755967228549</v>
      </c>
      <c r="Z112" s="10" t="n">
        <v>3.447751673381965</v>
      </c>
      <c r="AA112" s="10" t="n">
        <v>3.473124385803615</v>
      </c>
      <c r="AB112" s="10" t="n">
        <v>3.496967811089021</v>
      </c>
      <c r="AC112" s="10" t="n">
        <v>3.519366734033987</v>
      </c>
      <c r="AD112" s="10" t="n">
        <v>3.540398048710079</v>
      </c>
      <c r="AE112" s="10" t="n">
        <v>3.560131469500434</v>
      </c>
      <c r="AF112" s="10" t="n">
        <v>3.578629977920165</v>
      </c>
      <c r="AG112" s="10" t="n">
        <v>3.595950479881561</v>
      </c>
      <c r="AH112" s="10" t="n">
        <v>3.61214432985203</v>
      </c>
      <c r="AI112" s="10" t="n">
        <v>3.627257679605608</v>
      </c>
      <c r="AJ112" s="10" t="n">
        <v>3.641331963342502</v>
      </c>
      <c r="AK112" s="10" t="n">
        <v>3.654404369319286</v>
      </c>
    </row>
    <row r="113">
      <c r="A113" s="9" t="n">
        <v>-12</v>
      </c>
      <c r="B113" s="7" t="n">
        <v>41474</v>
      </c>
      <c r="C113" s="10" t="n">
        <v>2.065600665864851</v>
      </c>
      <c r="D113" s="10" t="n">
        <v>2.183058239776198</v>
      </c>
      <c r="E113" s="10" t="n">
        <v>2.293268589268054</v>
      </c>
      <c r="F113" s="10" t="n">
        <v>2.396397276699471</v>
      </c>
      <c r="G113" s="10" t="n">
        <v>2.492696643657649</v>
      </c>
      <c r="H113" s="10" t="n">
        <v>2.582483177146562</v>
      </c>
      <c r="I113" s="10" t="n">
        <v>2.666115234626271</v>
      </c>
      <c r="J113" s="10" t="n">
        <v>2.743970709443763</v>
      </c>
      <c r="K113" s="10" t="n">
        <v>2.816440082544097</v>
      </c>
      <c r="L113" s="10" t="n">
        <v>2.883911704348671</v>
      </c>
      <c r="M113" s="10" t="n">
        <v>2.946751245115508</v>
      </c>
      <c r="N113" s="10" t="n">
        <v>3.005302114340434</v>
      </c>
      <c r="O113" s="10" t="n">
        <v>3.059889428739518</v>
      </c>
      <c r="P113" s="10" t="n">
        <v>3.11082316347573</v>
      </c>
      <c r="Q113" s="10" t="n">
        <v>3.158398472746468</v>
      </c>
      <c r="R113" s="10" t="n">
        <v>3.202885518855967</v>
      </c>
      <c r="S113" s="10" t="n">
        <v>3.244525963217347</v>
      </c>
      <c r="T113" s="10" t="n">
        <v>3.283536927180196</v>
      </c>
      <c r="U113" s="10" t="n">
        <v>3.320114576224587</v>
      </c>
      <c r="V113" s="10" t="n">
        <v>3.354437112211213</v>
      </c>
      <c r="W113" s="10" t="n">
        <v>3.386666878713549</v>
      </c>
      <c r="X113" s="10" t="n">
        <v>3.416950172711101</v>
      </c>
      <c r="Y113" s="10" t="n">
        <v>3.445417923584349</v>
      </c>
      <c r="Z113" s="10" t="n">
        <v>3.472187538355029</v>
      </c>
      <c r="AA113" s="10" t="n">
        <v>3.497364240802712</v>
      </c>
      <c r="AB113" s="10" t="n">
        <v>3.521042344896179</v>
      </c>
      <c r="AC113" s="10" t="n">
        <v>3.543306544183049</v>
      </c>
      <c r="AD113" s="10" t="n">
        <v>3.564233024174679</v>
      </c>
      <c r="AE113" s="10" t="n">
        <v>3.583890257063915</v>
      </c>
      <c r="AF113" s="10" t="n">
        <v>3.602339545016248</v>
      </c>
      <c r="AG113" s="10" t="n">
        <v>3.619635738656539</v>
      </c>
      <c r="AH113" s="10" t="n">
        <v>3.6358279094974</v>
      </c>
      <c r="AI113" s="10" t="n">
        <v>3.650959926959347</v>
      </c>
      <c r="AJ113" s="10" t="n">
        <v>3.665070984419311</v>
      </c>
      <c r="AK113" s="10" t="n">
        <v>3.678196066803869</v>
      </c>
    </row>
    <row r="114">
      <c r="A114" s="9" t="n">
        <v>-11</v>
      </c>
      <c r="B114" s="7" t="n">
        <v>41477</v>
      </c>
      <c r="C114" s="10" t="n">
        <v>2.043330832215357</v>
      </c>
      <c r="D114" s="10" t="n">
        <v>2.15973657156665</v>
      </c>
      <c r="E114" s="10" t="n">
        <v>2.269129409891162</v>
      </c>
      <c r="F114" s="10" t="n">
        <v>2.371650621882186</v>
      </c>
      <c r="G114" s="10" t="n">
        <v>2.467524986177386</v>
      </c>
      <c r="H114" s="10" t="n">
        <v>2.557039245519257</v>
      </c>
      <c r="I114" s="10" t="n">
        <v>2.640521380469852</v>
      </c>
      <c r="J114" s="10" t="n">
        <v>2.718320359099424</v>
      </c>
      <c r="K114" s="10" t="n">
        <v>2.790799302997425</v>
      </c>
      <c r="L114" s="10" t="n">
        <v>2.858321601039107</v>
      </c>
      <c r="M114" s="10" t="n">
        <v>2.921232092344916</v>
      </c>
      <c r="N114" s="10" t="n">
        <v>2.979857163489633</v>
      </c>
      <c r="O114" s="10" t="n">
        <v>3.034508037690812</v>
      </c>
      <c r="P114" s="10" t="n">
        <v>3.085483386545941</v>
      </c>
      <c r="Q114" s="10" t="n">
        <v>3.133069433949563</v>
      </c>
      <c r="R114" s="10" t="n">
        <v>3.177530787900206</v>
      </c>
      <c r="S114" s="10" t="n">
        <v>3.219107161861356</v>
      </c>
      <c r="T114" s="10" t="n">
        <v>3.258016045424277</v>
      </c>
      <c r="U114" s="10" t="n">
        <v>3.294455483010341</v>
      </c>
      <c r="V114" s="10" t="n">
        <v>3.328606830323163</v>
      </c>
      <c r="W114" s="10" t="n">
        <v>3.360636600070578</v>
      </c>
      <c r="X114" s="10" t="n">
        <v>3.39069568271907</v>
      </c>
      <c r="Y114" s="10" t="n">
        <v>3.418919711227595</v>
      </c>
      <c r="Z114" s="10" t="n">
        <v>3.445430832521947</v>
      </c>
      <c r="AA114" s="10" t="n">
        <v>3.470338761419248</v>
      </c>
      <c r="AB114" s="10" t="n">
        <v>3.493741919280256</v>
      </c>
      <c r="AC114" s="10" t="n">
        <v>3.515728762083729</v>
      </c>
      <c r="AD114" s="10" t="n">
        <v>3.53637892853508</v>
      </c>
      <c r="AE114" s="10" t="n">
        <v>3.555763955527571</v>
      </c>
      <c r="AF114" s="10" t="n">
        <v>3.573947662326625</v>
      </c>
      <c r="AG114" s="10" t="n">
        <v>3.590986891646753</v>
      </c>
      <c r="AH114" s="10" t="n">
        <v>3.606932254545784</v>
      </c>
      <c r="AI114" s="10" t="n">
        <v>3.621828784806073</v>
      </c>
      <c r="AJ114" s="10" t="n">
        <v>3.63571650903485</v>
      </c>
      <c r="AK114" s="10" t="n">
        <v>3.64863094738391</v>
      </c>
    </row>
    <row r="115">
      <c r="A115" s="9" t="n">
        <v>-10</v>
      </c>
      <c r="B115" s="7" t="n">
        <v>41478</v>
      </c>
      <c r="C115" s="10" t="n">
        <v>2.083233264261369</v>
      </c>
      <c r="D115" s="10" t="n">
        <v>2.199138084301598</v>
      </c>
      <c r="E115" s="10" t="n">
        <v>2.308109658210669</v>
      </c>
      <c r="F115" s="10" t="n">
        <v>2.410306219031157</v>
      </c>
      <c r="G115" s="10" t="n">
        <v>2.505960917926612</v>
      </c>
      <c r="H115" s="10" t="n">
        <v>2.595362518863477</v>
      </c>
      <c r="I115" s="10" t="n">
        <v>2.678836952037658</v>
      </c>
      <c r="J115" s="10" t="n">
        <v>2.756729487194026</v>
      </c>
      <c r="K115" s="10" t="n">
        <v>2.829398529345033</v>
      </c>
      <c r="L115" s="10" t="n">
        <v>2.897201869227589</v>
      </c>
      <c r="M115" s="10" t="n">
        <v>2.960478146896561</v>
      </c>
      <c r="N115" s="10" t="n">
        <v>3.019547126168939</v>
      </c>
      <c r="O115" s="10" t="n">
        <v>3.074713059970652</v>
      </c>
      <c r="P115" s="10" t="n">
        <v>3.126267361667845</v>
      </c>
      <c r="Q115" s="10" t="n">
        <v>3.174488674397943</v>
      </c>
      <c r="R115" s="10" t="n">
        <v>3.219633454518287</v>
      </c>
      <c r="S115" s="10" t="n">
        <v>3.261932776797349</v>
      </c>
      <c r="T115" s="10" t="n">
        <v>3.301595597852341</v>
      </c>
      <c r="U115" s="10" t="n">
        <v>3.338811827259442</v>
      </c>
      <c r="V115" s="10" t="n">
        <v>3.373755040474513</v>
      </c>
      <c r="W115" s="10" t="n">
        <v>3.406584330402753</v>
      </c>
      <c r="X115" s="10" t="n">
        <v>3.437443839315788</v>
      </c>
      <c r="Y115" s="10" t="n">
        <v>3.466463271223309</v>
      </c>
      <c r="Z115" s="10" t="n">
        <v>3.493759560145636</v>
      </c>
      <c r="AA115" s="10" t="n">
        <v>3.519437786752647</v>
      </c>
      <c r="AB115" s="10" t="n">
        <v>3.543592222739298</v>
      </c>
      <c r="AC115" s="10" t="n">
        <v>3.566307600531741</v>
      </c>
      <c r="AD115" s="10" t="n">
        <v>3.587660211247714</v>
      </c>
      <c r="AE115" s="10" t="n">
        <v>3.607718567531469</v>
      </c>
      <c r="AF115" s="10" t="n">
        <v>3.626543740381488</v>
      </c>
      <c r="AG115" s="10" t="n">
        <v>3.644190072587695</v>
      </c>
      <c r="AH115" s="10" t="n">
        <v>3.660705979274055</v>
      </c>
      <c r="AI115" s="10" t="n">
        <v>3.676134715896275</v>
      </c>
      <c r="AJ115" s="10" t="n">
        <v>3.690514932748271</v>
      </c>
      <c r="AK115" s="10" t="n">
        <v>3.703881135535822</v>
      </c>
    </row>
    <row r="116">
      <c r="A116" s="9" t="n">
        <v>-9</v>
      </c>
      <c r="B116" s="7" t="n">
        <v>41479</v>
      </c>
      <c r="C116" s="10" t="n">
        <v>2.169561383549191</v>
      </c>
      <c r="D116" s="10" t="n">
        <v>2.286960536548349</v>
      </c>
      <c r="E116" s="10" t="n">
        <v>2.396869368312809</v>
      </c>
      <c r="F116" s="10" t="n">
        <v>2.499480856490296</v>
      </c>
      <c r="G116" s="10" t="n">
        <v>2.595067697930117</v>
      </c>
      <c r="H116" s="10" t="n">
        <v>2.683961391067887</v>
      </c>
      <c r="I116" s="10" t="n">
        <v>2.766532466480038</v>
      </c>
      <c r="J116" s="10" t="n">
        <v>2.843171379820962</v>
      </c>
      <c r="K116" s="10" t="n">
        <v>2.914282012220708</v>
      </c>
      <c r="L116" s="10" t="n">
        <v>2.98026700854005</v>
      </c>
      <c r="M116" s="10" t="n">
        <v>3.041508168007983</v>
      </c>
      <c r="N116" s="10" t="n">
        <v>3.098366871954298</v>
      </c>
      <c r="O116" s="10" t="n">
        <v>3.151187724571384</v>
      </c>
      <c r="P116" s="10" t="n">
        <v>3.200301442074623</v>
      </c>
      <c r="Q116" s="10" t="n">
        <v>3.246024926181266</v>
      </c>
      <c r="R116" s="10" t="n">
        <v>3.288651244315289</v>
      </c>
      <c r="S116" s="10" t="n">
        <v>3.328446016333583</v>
      </c>
      <c r="T116" s="10" t="n">
        <v>3.365649230068868</v>
      </c>
      <c r="U116" s="10" t="n">
        <v>3.400477821029205</v>
      </c>
      <c r="V116" s="10" t="n">
        <v>3.433128915789328</v>
      </c>
      <c r="W116" s="10" t="n">
        <v>3.463781871709686</v>
      </c>
      <c r="X116" s="10" t="n">
        <v>3.492596599198297</v>
      </c>
      <c r="Y116" s="10" t="n">
        <v>3.519713702964577</v>
      </c>
      <c r="Z116" s="10" t="n">
        <v>3.545256766353456</v>
      </c>
      <c r="AA116" s="10" t="n">
        <v>3.569333989573873</v>
      </c>
      <c r="AB116" s="10" t="n">
        <v>3.592039780237776</v>
      </c>
      <c r="AC116" s="10" t="n">
        <v>3.613456383421152</v>
      </c>
      <c r="AD116" s="10" t="n">
        <v>3.633655288845266</v>
      </c>
      <c r="AE116" s="10" t="n">
        <v>3.652698270796923</v>
      </c>
      <c r="AF116" s="10" t="n">
        <v>3.670638147148247</v>
      </c>
      <c r="AG116" s="10" t="n">
        <v>3.687519709156821</v>
      </c>
      <c r="AH116" s="10" t="n">
        <v>3.703380969302247</v>
      </c>
      <c r="AI116" s="10" t="n">
        <v>3.718254557034431</v>
      </c>
      <c r="AJ116" s="10" t="n">
        <v>3.732168394604439</v>
      </c>
      <c r="AK116" s="10" t="n">
        <v>3.745146168027719</v>
      </c>
    </row>
    <row r="117">
      <c r="A117" s="9" t="n">
        <v>-8</v>
      </c>
      <c r="B117" s="7" t="n">
        <v>41480</v>
      </c>
      <c r="C117" s="10" t="n">
        <v>2.167330001487899</v>
      </c>
      <c r="D117" s="10" t="n">
        <v>2.285387025475706</v>
      </c>
      <c r="E117" s="10" t="n">
        <v>2.395698118195748</v>
      </c>
      <c r="F117" s="10" t="n">
        <v>2.498461797747263</v>
      </c>
      <c r="G117" s="10" t="n">
        <v>2.59396393052439</v>
      </c>
      <c r="H117" s="10" t="n">
        <v>2.682554858143857</v>
      </c>
      <c r="I117" s="10" t="n">
        <v>2.764628643487288</v>
      </c>
      <c r="J117" s="10" t="n">
        <v>2.840603571199449</v>
      </c>
      <c r="K117" s="10" t="n">
        <v>2.9109147840575</v>
      </c>
      <c r="L117" s="10" t="n">
        <v>2.975996818394953</v>
      </c>
      <c r="M117" s="10" t="n">
        <v>3.036260644415862</v>
      </c>
      <c r="N117" s="10" t="n">
        <v>3.092094095075328</v>
      </c>
      <c r="O117" s="10" t="n">
        <v>3.143865992085245</v>
      </c>
      <c r="P117" s="10" t="n">
        <v>3.191929419015447</v>
      </c>
      <c r="Q117" s="10" t="n">
        <v>3.236621502769389</v>
      </c>
      <c r="R117" s="10" t="n">
        <v>3.278250675991413</v>
      </c>
      <c r="S117" s="10" t="n">
        <v>3.317092358488501</v>
      </c>
      <c r="T117" s="10" t="n">
        <v>3.353392536527685</v>
      </c>
      <c r="U117" s="10" t="n">
        <v>3.387371474033721</v>
      </c>
      <c r="V117" s="10" t="n">
        <v>3.419227361461672</v>
      </c>
      <c r="W117" s="10" t="n">
        <v>3.449138728784026</v>
      </c>
      <c r="X117" s="10" t="n">
        <v>3.477263412897254</v>
      </c>
      <c r="Y117" s="10" t="n">
        <v>3.503739119931257</v>
      </c>
      <c r="Z117" s="10" t="n">
        <v>3.52868590180784</v>
      </c>
      <c r="AA117" s="10" t="n">
        <v>3.552208288657225</v>
      </c>
      <c r="AB117" s="10" t="n">
        <v>3.574397138869709</v>
      </c>
      <c r="AC117" s="10" t="n">
        <v>3.59533126493025</v>
      </c>
      <c r="AD117" s="10" t="n">
        <v>3.615078832319219</v>
      </c>
      <c r="AE117" s="10" t="n">
        <v>3.633698524270957</v>
      </c>
      <c r="AF117" s="10" t="n">
        <v>3.651240516965458</v>
      </c>
      <c r="AG117" s="10" t="n">
        <v>3.667747404759908</v>
      </c>
      <c r="AH117" s="10" t="n">
        <v>3.68325537788745</v>
      </c>
      <c r="AI117" s="10" t="n">
        <v>3.697795531302733</v>
      </c>
      <c r="AJ117" s="10" t="n">
        <v>3.711394500730394</v>
      </c>
      <c r="AK117" s="10" t="n">
        <v>3.724074908796978</v>
      </c>
    </row>
    <row r="118">
      <c r="A118" s="9" t="n">
        <v>-7</v>
      </c>
      <c r="B118" s="7" t="n">
        <v>41481</v>
      </c>
      <c r="C118" s="10" t="n">
        <v>2.103025785597602</v>
      </c>
      <c r="D118" s="10" t="n">
        <v>2.221902067596991</v>
      </c>
      <c r="E118" s="10" t="n">
        <v>2.333289497301756</v>
      </c>
      <c r="F118" s="10" t="n">
        <v>2.437368501053031</v>
      </c>
      <c r="G118" s="10" t="n">
        <v>2.534406532120097</v>
      </c>
      <c r="H118" s="10" t="n">
        <v>2.624735367155004</v>
      </c>
      <c r="I118" s="10" t="n">
        <v>2.708729070096041</v>
      </c>
      <c r="J118" s="10" t="n">
        <v>2.786783075855646</v>
      </c>
      <c r="K118" s="10" t="n">
        <v>2.85930716842439</v>
      </c>
      <c r="L118" s="10" t="n">
        <v>2.92670845583773</v>
      </c>
      <c r="M118" s="10" t="n">
        <v>2.989369527016549</v>
      </c>
      <c r="N118" s="10" t="n">
        <v>3.047649338289578</v>
      </c>
      <c r="O118" s="10" t="n">
        <v>3.101887429323274</v>
      </c>
      <c r="P118" s="10" t="n">
        <v>3.152407265195036</v>
      </c>
      <c r="Q118" s="10" t="n">
        <v>3.19951614339855</v>
      </c>
      <c r="R118" s="10" t="n">
        <v>3.243493480221486</v>
      </c>
      <c r="S118" s="10" t="n">
        <v>3.28458755113161</v>
      </c>
      <c r="T118" s="10" t="n">
        <v>3.323020690208796</v>
      </c>
      <c r="U118" s="10" t="n">
        <v>3.358993527878347</v>
      </c>
      <c r="V118" s="10" t="n">
        <v>3.39268810688854</v>
      </c>
      <c r="W118" s="10" t="n">
        <v>3.424270103434454</v>
      </c>
      <c r="X118" s="10" t="n">
        <v>3.453889085904777</v>
      </c>
      <c r="Y118" s="10" t="n">
        <v>3.481679531102362</v>
      </c>
      <c r="Z118" s="10" t="n">
        <v>3.507762635390567</v>
      </c>
      <c r="AA118" s="10" t="n">
        <v>3.532247549795976</v>
      </c>
      <c r="AB118" s="10" t="n">
        <v>3.555232612756671</v>
      </c>
      <c r="AC118" s="10" t="n">
        <v>3.576806628234436</v>
      </c>
      <c r="AD118" s="10" t="n">
        <v>3.597049961857469</v>
      </c>
      <c r="AE118" s="10" t="n">
        <v>3.616035202133603</v>
      </c>
      <c r="AF118" s="10" t="n">
        <v>3.63382752581645</v>
      </c>
      <c r="AG118" s="10" t="n">
        <v>3.650485409963228</v>
      </c>
      <c r="AH118" s="10" t="n">
        <v>3.666061190046012</v>
      </c>
      <c r="AI118" s="10" t="n">
        <v>3.680601442046898</v>
      </c>
      <c r="AJ118" s="10" t="n">
        <v>3.694147525464552</v>
      </c>
      <c r="AK118" s="10" t="n">
        <v>3.706736104897388</v>
      </c>
    </row>
    <row r="119">
      <c r="A119" s="9" t="n">
        <v>-6</v>
      </c>
      <c r="B119" s="7" t="n">
        <v>41484</v>
      </c>
      <c r="C119" s="10" t="n">
        <v>2.09950866702119</v>
      </c>
      <c r="D119" s="10" t="n">
        <v>2.218122001368324</v>
      </c>
      <c r="E119" s="10" t="n">
        <v>2.329422332671306</v>
      </c>
      <c r="F119" s="10" t="n">
        <v>2.433556248974481</v>
      </c>
      <c r="G119" s="10" t="n">
        <v>2.530757573211011</v>
      </c>
      <c r="H119" s="10" t="n">
        <v>2.6213253375133</v>
      </c>
      <c r="I119" s="10" t="n">
        <v>2.705602969139428</v>
      </c>
      <c r="J119" s="10" t="n">
        <v>2.783959278063275</v>
      </c>
      <c r="K119" s="10" t="n">
        <v>2.856781027613909</v>
      </c>
      <c r="L119" s="10" t="n">
        <v>2.924455883663894</v>
      </c>
      <c r="M119" s="10" t="n">
        <v>2.987351234140335</v>
      </c>
      <c r="N119" s="10" t="n">
        <v>3.045814559465049</v>
      </c>
      <c r="O119" s="10" t="n">
        <v>3.100176983895956</v>
      </c>
      <c r="P119" s="10" t="n">
        <v>3.150756089742692</v>
      </c>
      <c r="Q119" s="10" t="n">
        <v>3.197855491127584</v>
      </c>
      <c r="R119" s="10" t="n">
        <v>3.241753416505969</v>
      </c>
      <c r="S119" s="10" t="n">
        <v>3.282699397842768</v>
      </c>
      <c r="T119" s="10" t="n">
        <v>3.320918577710454</v>
      </c>
      <c r="U119" s="10" t="n">
        <v>3.356615418349592</v>
      </c>
      <c r="V119" s="10" t="n">
        <v>3.38997665981762</v>
      </c>
      <c r="W119" s="10" t="n">
        <v>3.421173364358141</v>
      </c>
      <c r="X119" s="10" t="n">
        <v>3.450360807269825</v>
      </c>
      <c r="Y119" s="10" t="n">
        <v>3.477679310710855</v>
      </c>
      <c r="Z119" s="10" t="n">
        <v>3.503256018492411</v>
      </c>
      <c r="AA119" s="10" t="n">
        <v>3.527206050787346</v>
      </c>
      <c r="AB119" s="10" t="n">
        <v>3.549633699920275</v>
      </c>
      <c r="AC119" s="10" t="n">
        <v>3.570633709184379</v>
      </c>
      <c r="AD119" s="10" t="n">
        <v>3.590292368384965</v>
      </c>
      <c r="AE119" s="10" t="n">
        <v>3.608688129224841</v>
      </c>
      <c r="AF119" s="10" t="n">
        <v>3.625891904695569</v>
      </c>
      <c r="AG119" s="10" t="n">
        <v>3.641967777592542</v>
      </c>
      <c r="AH119" s="10" t="n">
        <v>3.656973435752895</v>
      </c>
      <c r="AI119" s="10" t="n">
        <v>3.670960358284978</v>
      </c>
      <c r="AJ119" s="10" t="n">
        <v>3.683974367027123</v>
      </c>
      <c r="AK119" s="10" t="n">
        <v>3.69605619216347</v>
      </c>
    </row>
    <row r="120">
      <c r="A120" s="9" t="n">
        <v>-5</v>
      </c>
      <c r="B120" s="7" t="n">
        <v>41485</v>
      </c>
      <c r="C120" s="10" t="n">
        <v>2.085567245138432</v>
      </c>
      <c r="D120" s="10" t="n">
        <v>2.204033209569928</v>
      </c>
      <c r="E120" s="10" t="n">
        <v>2.315331496472393</v>
      </c>
      <c r="F120" s="10" t="n">
        <v>2.419592744191242</v>
      </c>
      <c r="G120" s="10" t="n">
        <v>2.517034397390208</v>
      </c>
      <c r="H120" s="10" t="n">
        <v>2.607939099880941</v>
      </c>
      <c r="I120" s="10" t="n">
        <v>2.692634018853943</v>
      </c>
      <c r="J120" s="10" t="n">
        <v>2.771472125698385</v>
      </c>
      <c r="K120" s="10" t="n">
        <v>2.84482475781682</v>
      </c>
      <c r="L120" s="10" t="n">
        <v>2.913064878610151</v>
      </c>
      <c r="M120" s="10" t="n">
        <v>2.976546614813956</v>
      </c>
      <c r="N120" s="10" t="n">
        <v>3.035605544136325</v>
      </c>
      <c r="O120" s="10" t="n">
        <v>3.090562004475337</v>
      </c>
      <c r="P120" s="10" t="n">
        <v>3.14172371555548</v>
      </c>
      <c r="Q120" s="10" t="n">
        <v>3.189385318534641</v>
      </c>
      <c r="R120" s="10" t="n">
        <v>3.233817605792334</v>
      </c>
      <c r="S120" s="10" t="n">
        <v>3.275264450239634</v>
      </c>
      <c r="T120" s="10" t="n">
        <v>3.313946731008463</v>
      </c>
      <c r="U120" s="10" t="n">
        <v>3.350065763022003</v>
      </c>
      <c r="V120" s="10" t="n">
        <v>3.383806092847261</v>
      </c>
      <c r="W120" s="10" t="n">
        <v>3.415337410406424</v>
      </c>
      <c r="X120" s="10" t="n">
        <v>3.444814358929419</v>
      </c>
      <c r="Y120" s="10" t="n">
        <v>3.472377302773912</v>
      </c>
      <c r="Z120" s="10" t="n">
        <v>3.498154005023177</v>
      </c>
      <c r="AA120" s="10" t="n">
        <v>3.522260650117327</v>
      </c>
      <c r="AB120" s="10" t="n">
        <v>3.544802956093609</v>
      </c>
      <c r="AC120" s="10" t="n">
        <v>3.565877409498229</v>
      </c>
      <c r="AD120" s="10" t="n">
        <v>3.585572321997264</v>
      </c>
      <c r="AE120" s="10" t="n">
        <v>3.603968374942931</v>
      </c>
      <c r="AF120" s="10" t="n">
        <v>3.621138838457827</v>
      </c>
      <c r="AG120" s="10" t="n">
        <v>3.637150255209646</v>
      </c>
      <c r="AH120" s="10" t="n">
        <v>3.652062812383307</v>
      </c>
      <c r="AI120" s="10" t="n">
        <v>3.665930444324305</v>
      </c>
      <c r="AJ120" s="10" t="n">
        <v>3.678801376250921</v>
      </c>
      <c r="AK120" s="10" t="n">
        <v>3.690718695048501</v>
      </c>
    </row>
    <row r="121">
      <c r="A121" s="9" t="n">
        <v>-4</v>
      </c>
      <c r="B121" s="7" t="n">
        <v>41486</v>
      </c>
      <c r="C121" s="10" t="n">
        <v>2.121736465192241</v>
      </c>
      <c r="D121" s="10" t="n">
        <v>2.242048475115707</v>
      </c>
      <c r="E121" s="10" t="n">
        <v>2.354772843974962</v>
      </c>
      <c r="F121" s="10" t="n">
        <v>2.460053215221764</v>
      </c>
      <c r="G121" s="10" t="n">
        <v>2.55812745783033</v>
      </c>
      <c r="H121" s="10" t="n">
        <v>2.649304213534462</v>
      </c>
      <c r="I121" s="10" t="n">
        <v>2.733940520141428</v>
      </c>
      <c r="J121" s="10" t="n">
        <v>2.812421696152939</v>
      </c>
      <c r="K121" s="10" t="n">
        <v>2.885153235458425</v>
      </c>
      <c r="L121" s="10" t="n">
        <v>2.952542213377456</v>
      </c>
      <c r="M121" s="10" t="n">
        <v>3.014974799130328</v>
      </c>
      <c r="N121" s="10" t="n">
        <v>3.072816653795125</v>
      </c>
      <c r="O121" s="10" t="n">
        <v>3.126416589376721</v>
      </c>
      <c r="P121" s="10" t="n">
        <v>3.176109466568001</v>
      </c>
      <c r="Q121" s="10" t="n">
        <v>3.222215567345251</v>
      </c>
      <c r="R121" s="10" t="n">
        <v>3.265028315524434</v>
      </c>
      <c r="S121" s="10" t="n">
        <v>3.304810803421951</v>
      </c>
      <c r="T121" s="10" t="n">
        <v>3.341800011456995</v>
      </c>
      <c r="U121" s="10" t="n">
        <v>3.376210590199298</v>
      </c>
      <c r="V121" s="10" t="n">
        <v>3.408238047279801</v>
      </c>
      <c r="W121" s="10" t="n">
        <v>3.438060910414581</v>
      </c>
      <c r="X121" s="10" t="n">
        <v>3.465840447098877</v>
      </c>
      <c r="Y121" s="10" t="n">
        <v>3.491721532981881</v>
      </c>
      <c r="Z121" s="10" t="n">
        <v>3.51583472137546</v>
      </c>
      <c r="AA121" s="10" t="n">
        <v>3.538298137084433</v>
      </c>
      <c r="AB121" s="10" t="n">
        <v>3.55921904758194</v>
      </c>
      <c r="AC121" s="10" t="n">
        <v>3.578695157559913</v>
      </c>
      <c r="AD121" s="10" t="n">
        <v>3.596815713669963</v>
      </c>
      <c r="AE121" s="10" t="n">
        <v>3.613662304071799</v>
      </c>
      <c r="AF121" s="10" t="n">
        <v>3.629309448229833</v>
      </c>
      <c r="AG121" s="10" t="n">
        <v>3.643825303102024</v>
      </c>
      <c r="AH121" s="10" t="n">
        <v>3.657271929223811</v>
      </c>
      <c r="AI121" s="10" t="n">
        <v>3.669705265022948</v>
      </c>
      <c r="AJ121" s="10" t="n">
        <v>3.681175641672951</v>
      </c>
      <c r="AK121" s="10" t="n">
        <v>3.691728343690939</v>
      </c>
    </row>
    <row r="122">
      <c r="A122" s="9" t="n">
        <v>-3</v>
      </c>
      <c r="B122" s="7" t="n">
        <v>41487</v>
      </c>
      <c r="C122" s="10" t="n">
        <v>2.17217989693718</v>
      </c>
      <c r="D122" s="10" t="n">
        <v>2.293828569018093</v>
      </c>
      <c r="E122" s="10" t="n">
        <v>2.407314920891403</v>
      </c>
      <c r="F122" s="10" t="n">
        <v>2.512805327788445</v>
      </c>
      <c r="G122" s="10" t="n">
        <v>2.610570782211779</v>
      </c>
      <c r="H122" s="10" t="n">
        <v>2.700960912693956</v>
      </c>
      <c r="I122" s="10" t="n">
        <v>2.784379960150628</v>
      </c>
      <c r="J122" s="10" t="n">
        <v>2.861265636705964</v>
      </c>
      <c r="K122" s="10" t="n">
        <v>2.932079907087088</v>
      </c>
      <c r="L122" s="10" t="n">
        <v>2.997287760755871</v>
      </c>
      <c r="M122" s="10" t="n">
        <v>3.057331973009172</v>
      </c>
      <c r="N122" s="10" t="n">
        <v>3.112633412834906</v>
      </c>
      <c r="O122" s="10" t="n">
        <v>3.163594951641692</v>
      </c>
      <c r="P122" s="10" t="n">
        <v>3.210604557128085</v>
      </c>
      <c r="Q122" s="10" t="n">
        <v>3.254034266131819</v>
      </c>
      <c r="R122" s="10" t="n">
        <v>3.294225593885932</v>
      </c>
      <c r="S122" s="10" t="n">
        <v>3.331484958946395</v>
      </c>
      <c r="T122" s="10" t="n">
        <v>3.366086305146536</v>
      </c>
      <c r="U122" s="10" t="n">
        <v>3.3982746239638</v>
      </c>
      <c r="V122" s="10" t="n">
        <v>3.428270044753975</v>
      </c>
      <c r="W122" s="10" t="n">
        <v>3.456270350020882</v>
      </c>
      <c r="X122" s="10" t="n">
        <v>3.482449191524507</v>
      </c>
      <c r="Y122" s="10" t="n">
        <v>3.506956680122918</v>
      </c>
      <c r="Z122" s="10" t="n">
        <v>3.529922461051025</v>
      </c>
      <c r="AA122" s="10" t="n">
        <v>3.551459034690178</v>
      </c>
      <c r="AB122" s="10" t="n">
        <v>3.57166425128855</v>
      </c>
      <c r="AC122" s="10" t="n">
        <v>3.590623069356476</v>
      </c>
      <c r="AD122" s="10" t="n">
        <v>3.60840906558709</v>
      </c>
      <c r="AE122" s="10" t="n">
        <v>3.625085967390476</v>
      </c>
      <c r="AF122" s="10" t="n">
        <v>3.640709129123527</v>
      </c>
      <c r="AG122" s="10" t="n">
        <v>3.655326518117183</v>
      </c>
      <c r="AH122" s="10" t="n">
        <v>3.668979783105641</v>
      </c>
      <c r="AI122" s="10" t="n">
        <v>3.68170536145101</v>
      </c>
      <c r="AJ122" s="10" t="n">
        <v>3.693535084516404</v>
      </c>
      <c r="AK122" s="10" t="n">
        <v>3.704496638344749</v>
      </c>
    </row>
    <row r="123">
      <c r="A123" s="9" t="n">
        <v>-2</v>
      </c>
      <c r="B123" s="7" t="n">
        <v>41488</v>
      </c>
      <c r="C123" s="10" t="n">
        <v>2.201362765350068</v>
      </c>
      <c r="D123" s="10" t="n">
        <v>2.321191470180558</v>
      </c>
      <c r="E123" s="10" t="n">
        <v>2.4330675489007</v>
      </c>
      <c r="F123" s="10" t="n">
        <v>2.537155165583618</v>
      </c>
      <c r="G123" s="10" t="n">
        <v>2.633709184736357</v>
      </c>
      <c r="H123" s="10" t="n">
        <v>2.72305354305812</v>
      </c>
      <c r="I123" s="10" t="n">
        <v>2.805562192620075</v>
      </c>
      <c r="J123" s="10" t="n">
        <v>2.88164334577243</v>
      </c>
      <c r="K123" s="10" t="n">
        <v>2.951730807065863</v>
      </c>
      <c r="L123" s="10" t="n">
        <v>3.016263459898538</v>
      </c>
      <c r="M123" s="10" t="n">
        <v>3.075661929363128</v>
      </c>
      <c r="N123" s="10" t="n">
        <v>3.130328658266083</v>
      </c>
      <c r="O123" s="10" t="n">
        <v>3.180651151921651</v>
      </c>
      <c r="P123" s="10" t="n">
        <v>3.227004542321792</v>
      </c>
      <c r="Q123" s="10" t="n">
        <v>3.269750023972727</v>
      </c>
      <c r="R123" s="10" t="n">
        <v>3.309220095414918</v>
      </c>
      <c r="S123" s="10" t="n">
        <v>3.345714178720125</v>
      </c>
      <c r="T123" s="10" t="n">
        <v>3.37950147945579</v>
      </c>
      <c r="U123" s="10" t="n">
        <v>3.410824480581177</v>
      </c>
      <c r="V123" s="10" t="n">
        <v>3.439902726362475</v>
      </c>
      <c r="W123" s="10" t="n">
        <v>3.466935060099571</v>
      </c>
      <c r="X123" s="10" t="n">
        <v>3.492097762557619</v>
      </c>
      <c r="Y123" s="10" t="n">
        <v>3.515545102424512</v>
      </c>
      <c r="Z123" s="10" t="n">
        <v>3.537412140186727</v>
      </c>
      <c r="AA123" s="10" t="n">
        <v>3.55781744175477</v>
      </c>
      <c r="AB123" s="10" t="n">
        <v>3.576865249664781</v>
      </c>
      <c r="AC123" s="10" t="n">
        <v>3.594647193559896</v>
      </c>
      <c r="AD123" s="10" t="n">
        <v>3.611243759933611</v>
      </c>
      <c r="AE123" s="10" t="n">
        <v>3.626725623278511</v>
      </c>
      <c r="AF123" s="10" t="n">
        <v>3.641154836247139</v>
      </c>
      <c r="AG123" s="10" t="n">
        <v>3.654585789303971</v>
      </c>
      <c r="AH123" s="10" t="n">
        <v>3.6670661639715</v>
      </c>
      <c r="AI123" s="10" t="n">
        <v>3.678637843434199</v>
      </c>
      <c r="AJ123" s="10" t="n">
        <v>3.689337537454908</v>
      </c>
      <c r="AK123" s="10" t="n">
        <v>3.699197299744623</v>
      </c>
    </row>
    <row r="124">
      <c r="A124" s="9" t="n">
        <v>-1</v>
      </c>
      <c r="B124" s="7" t="n">
        <v>41491</v>
      </c>
      <c r="C124" s="10" t="n">
        <v>2.253483963054966</v>
      </c>
      <c r="D124" s="10" t="n">
        <v>2.372295229003119</v>
      </c>
      <c r="E124" s="10" t="n">
        <v>2.483364819795286</v>
      </c>
      <c r="F124" s="10" t="n">
        <v>2.586838528551625</v>
      </c>
      <c r="G124" s="10" t="n">
        <v>2.682941998393205</v>
      </c>
      <c r="H124" s="10" t="n">
        <v>2.771962452041679</v>
      </c>
      <c r="I124" s="10" t="n">
        <v>2.854234207385742</v>
      </c>
      <c r="J124" s="10" t="n">
        <v>2.930127736401118</v>
      </c>
      <c r="K124" s="10" t="n">
        <v>3.000041302945069</v>
      </c>
      <c r="L124" s="10" t="n">
        <v>3.06438178576702</v>
      </c>
      <c r="M124" s="10" t="n">
        <v>3.123543476367552</v>
      </c>
      <c r="N124" s="10" t="n">
        <v>3.177907562524594</v>
      </c>
      <c r="O124" s="10" t="n">
        <v>3.227844466650641</v>
      </c>
      <c r="P124" s="10" t="n">
        <v>3.273715690550618</v>
      </c>
      <c r="Q124" s="10" t="n">
        <v>3.315871847271898</v>
      </c>
      <c r="R124" s="10" t="n">
        <v>3.354638435343212</v>
      </c>
      <c r="S124" s="10" t="n">
        <v>3.390311510304021</v>
      </c>
      <c r="T124" s="10" t="n">
        <v>3.423160070367716</v>
      </c>
      <c r="U124" s="10" t="n">
        <v>3.453429122812486</v>
      </c>
      <c r="V124" s="10" t="n">
        <v>3.481343079398951</v>
      </c>
      <c r="W124" s="10" t="n">
        <v>3.507107682385265</v>
      </c>
      <c r="X124" s="10" t="n">
        <v>3.530907998840548</v>
      </c>
      <c r="Y124" s="10" t="n">
        <v>3.552908818420113</v>
      </c>
      <c r="Z124" s="10" t="n">
        <v>3.57325713661353</v>
      </c>
      <c r="AA124" s="10" t="n">
        <v>3.59208419641426</v>
      </c>
      <c r="AB124" s="10" t="n">
        <v>3.60950731721037</v>
      </c>
      <c r="AC124" s="10" t="n">
        <v>3.625631549352891</v>
      </c>
      <c r="AD124" s="10" t="n">
        <v>3.640551086526311</v>
      </c>
      <c r="AE124" s="10" t="n">
        <v>3.654350209207907</v>
      </c>
      <c r="AF124" s="10" t="n">
        <v>3.667103944382775</v>
      </c>
      <c r="AG124" s="10" t="n">
        <v>3.678878991230718</v>
      </c>
      <c r="AH124" s="10" t="n">
        <v>3.689734377741802</v>
      </c>
      <c r="AI124" s="10" t="n">
        <v>3.699721912457305</v>
      </c>
      <c r="AJ124" s="10" t="n">
        <v>3.708886867388975</v>
      </c>
      <c r="AK124" s="10" t="n">
        <v>3.717268631631169</v>
      </c>
    </row>
    <row r="125">
      <c r="A125" s="9" t="n">
        <v>0</v>
      </c>
      <c r="B125" s="7" t="n">
        <v>41492</v>
      </c>
      <c r="C125" s="10" t="n">
        <v>2.261983292190744</v>
      </c>
      <c r="D125" s="10" t="n">
        <v>2.379676310632758</v>
      </c>
      <c r="E125" s="10" t="n">
        <v>2.489618921411779</v>
      </c>
      <c r="F125" s="10" t="n">
        <v>2.591999084751881</v>
      </c>
      <c r="G125" s="10" t="n">
        <v>2.687071697194546</v>
      </c>
      <c r="H125" s="10" t="n">
        <v>2.775143326501142</v>
      </c>
      <c r="I125" s="10" t="n">
        <v>2.85655920416669</v>
      </c>
      <c r="J125" s="10" t="n">
        <v>2.931693025886819</v>
      </c>
      <c r="K125" s="10" t="n">
        <v>3.000940072911057</v>
      </c>
      <c r="L125" s="10" t="n">
        <v>3.064700207934193</v>
      </c>
      <c r="M125" s="10" t="n">
        <v>3.123359002536306</v>
      </c>
      <c r="N125" s="10" t="n">
        <v>3.177287800468229</v>
      </c>
      <c r="O125" s="10" t="n">
        <v>3.226846257031326</v>
      </c>
      <c r="P125" s="10" t="n">
        <v>3.27238434365938</v>
      </c>
      <c r="Q125" s="10" t="n">
        <v>3.314240883529726</v>
      </c>
      <c r="R125" s="10" t="n">
        <v>3.352731302295128</v>
      </c>
      <c r="S125" s="10" t="n">
        <v>3.38814397470488</v>
      </c>
      <c r="T125" s="10" t="n">
        <v>3.420741882970759</v>
      </c>
      <c r="U125" s="10" t="n">
        <v>3.450765251174999</v>
      </c>
      <c r="V125" s="10" t="n">
        <v>3.478434759144518</v>
      </c>
      <c r="W125" s="10" t="n">
        <v>3.503953313092207</v>
      </c>
      <c r="X125" s="10" t="n">
        <v>3.527503936025781</v>
      </c>
      <c r="Y125" s="10" t="n">
        <v>3.549250097898279</v>
      </c>
      <c r="Z125" s="10" t="n">
        <v>3.569338094713469</v>
      </c>
      <c r="AA125" s="10" t="n">
        <v>3.587898948846044</v>
      </c>
      <c r="AB125" s="10" t="n">
        <v>3.605050148825133</v>
      </c>
      <c r="AC125" s="10" t="n">
        <v>3.620897256587374</v>
      </c>
      <c r="AD125" s="10" t="n">
        <v>3.635535277429914</v>
      </c>
      <c r="AE125" s="10" t="n">
        <v>3.649049522921919</v>
      </c>
      <c r="AF125" s="10" t="n">
        <v>3.66151618163883</v>
      </c>
      <c r="AG125" s="10" t="n">
        <v>3.673003216867266</v>
      </c>
      <c r="AH125" s="10" t="n">
        <v>3.683570920122202</v>
      </c>
      <c r="AI125" s="10" t="n">
        <v>3.69327222908107</v>
      </c>
      <c r="AJ125" s="10" t="n">
        <v>3.702153404564042</v>
      </c>
      <c r="AK125" s="10" t="n">
        <v>3.71025469816898</v>
      </c>
    </row>
    <row r="126">
      <c r="A126" s="9" t="n">
        <v>1</v>
      </c>
      <c r="B126" s="7" t="n">
        <v>41493</v>
      </c>
      <c r="C126" s="10" t="n">
        <v>2.27013991160563</v>
      </c>
      <c r="D126" s="10" t="n">
        <v>2.386276832926422</v>
      </c>
      <c r="E126" s="10" t="n">
        <v>2.494841021248374</v>
      </c>
      <c r="F126" s="10" t="n">
        <v>2.596041384684875</v>
      </c>
      <c r="G126" s="10" t="n">
        <v>2.690137641273447</v>
      </c>
      <c r="H126" s="10" t="n">
        <v>2.777429328155639</v>
      </c>
      <c r="I126" s="10" t="n">
        <v>2.858246812986262</v>
      </c>
      <c r="J126" s="10" t="n">
        <v>2.932944676853512</v>
      </c>
      <c r="K126" s="10" t="n">
        <v>3.001896067075514</v>
      </c>
      <c r="L126" s="10" t="n">
        <v>3.065477890882029</v>
      </c>
      <c r="M126" s="10" t="n">
        <v>3.1240545482359</v>
      </c>
      <c r="N126" s="10" t="n">
        <v>3.177978048485621</v>
      </c>
      <c r="O126" s="10" t="n">
        <v>3.227590221977017</v>
      </c>
      <c r="P126" s="10" t="n">
        <v>3.273224465078907</v>
      </c>
      <c r="Q126" s="10" t="n">
        <v>3.315204416740407</v>
      </c>
      <c r="R126" s="10" t="n">
        <v>3.35383324657786</v>
      </c>
      <c r="S126" s="10" t="n">
        <v>3.389390353455191</v>
      </c>
      <c r="T126" s="10" t="n">
        <v>3.422132044554523</v>
      </c>
      <c r="U126" s="10" t="n">
        <v>3.452293593988992</v>
      </c>
      <c r="V126" s="10" t="n">
        <v>3.48009220339506</v>
      </c>
      <c r="W126" s="10" t="n">
        <v>3.505728523365027</v>
      </c>
      <c r="X126" s="10" t="n">
        <v>3.529384228986519</v>
      </c>
      <c r="Y126" s="10" t="n">
        <v>3.551222182967651</v>
      </c>
      <c r="Z126" s="10" t="n">
        <v>3.57138866458668</v>
      </c>
      <c r="AA126" s="10" t="n">
        <v>3.590014943708598</v>
      </c>
      <c r="AB126" s="10" t="n">
        <v>3.607218865467336</v>
      </c>
      <c r="AC126" s="10" t="n">
        <v>3.623106440778323</v>
      </c>
      <c r="AD126" s="10" t="n">
        <v>3.637773201332347</v>
      </c>
      <c r="AE126" s="10" t="n">
        <v>3.651304977311562</v>
      </c>
      <c r="AF126" s="10" t="n">
        <v>3.663778361499168</v>
      </c>
      <c r="AG126" s="10" t="n">
        <v>3.67526160667701</v>
      </c>
      <c r="AH126" s="10" t="n">
        <v>3.685815243987983</v>
      </c>
      <c r="AI126" s="10" t="n">
        <v>3.695492489667416</v>
      </c>
      <c r="AJ126" s="10" t="n">
        <v>3.704339931676299</v>
      </c>
      <c r="AK126" s="10" t="n">
        <v>3.712398192491161</v>
      </c>
    </row>
    <row r="127">
      <c r="A127" s="9" t="n">
        <v>2</v>
      </c>
      <c r="B127" s="7" t="n">
        <v>41494</v>
      </c>
      <c r="C127" s="10" t="n">
        <v>2.271839480391634</v>
      </c>
      <c r="D127" s="10" t="n">
        <v>2.389019947935093</v>
      </c>
      <c r="E127" s="10" t="n">
        <v>2.49844319223798</v>
      </c>
      <c r="F127" s="10" t="n">
        <v>2.600361720799139</v>
      </c>
      <c r="G127" s="10" t="n">
        <v>2.695076645762314</v>
      </c>
      <c r="H127" s="10" t="n">
        <v>2.782926388256809</v>
      </c>
      <c r="I127" s="10" t="n">
        <v>2.864275400646563</v>
      </c>
      <c r="J127" s="10" t="n">
        <v>2.939504629791321</v>
      </c>
      <c r="K127" s="10" t="n">
        <v>3.009006860147581</v>
      </c>
      <c r="L127" s="10" t="n">
        <v>3.0731723269398</v>
      </c>
      <c r="M127" s="10" t="n">
        <v>3.132372565109357</v>
      </c>
      <c r="N127" s="10" t="n">
        <v>3.186961551754629</v>
      </c>
      <c r="O127" s="10" t="n">
        <v>3.237278840517359</v>
      </c>
      <c r="P127" s="10" t="n">
        <v>3.283652037421382</v>
      </c>
      <c r="Q127" s="10" t="n">
        <v>3.326395944824374</v>
      </c>
      <c r="R127" s="10" t="n">
        <v>3.365801983368116</v>
      </c>
      <c r="S127" s="10" t="n">
        <v>3.402135692242563</v>
      </c>
      <c r="T127" s="10" t="n">
        <v>3.43563977627403</v>
      </c>
      <c r="U127" s="10" t="n">
        <v>3.466537127883061</v>
      </c>
      <c r="V127" s="10" t="n">
        <v>3.495033645098084</v>
      </c>
      <c r="W127" s="10" t="n">
        <v>3.521319907813061</v>
      </c>
      <c r="X127" s="10" t="n">
        <v>3.545570066498279</v>
      </c>
      <c r="Y127" s="10" t="n">
        <v>3.567942429933085</v>
      </c>
      <c r="Z127" s="10" t="n">
        <v>3.588581250433846</v>
      </c>
      <c r="AA127" s="10" t="n">
        <v>3.607617585093332</v>
      </c>
      <c r="AB127" s="10" t="n">
        <v>3.625170469050986</v>
      </c>
      <c r="AC127" s="10" t="n">
        <v>3.641348333368657</v>
      </c>
      <c r="AD127" s="10" t="n">
        <v>3.656250206361872</v>
      </c>
      <c r="AE127" s="10" t="n">
        <v>3.669966172289471</v>
      </c>
      <c r="AF127" s="10" t="n">
        <v>3.682577469815841</v>
      </c>
      <c r="AG127" s="10" t="n">
        <v>3.694157298204783</v>
      </c>
      <c r="AH127" s="10" t="n">
        <v>3.704771256166574</v>
      </c>
      <c r="AI127" s="10" t="n">
        <v>3.714477525110409</v>
      </c>
      <c r="AJ127" s="10" t="n">
        <v>3.723327535836832</v>
      </c>
      <c r="AK127" s="10" t="n">
        <v>3.731366643547315</v>
      </c>
    </row>
    <row r="128">
      <c r="A128" s="9" t="n">
        <v>3</v>
      </c>
      <c r="B128" s="7" t="n">
        <v>41495</v>
      </c>
      <c r="C128" s="10" t="n">
        <v>2.251304865361042</v>
      </c>
      <c r="D128" s="10" t="n">
        <v>2.368858598053419</v>
      </c>
      <c r="E128" s="10" t="n">
        <v>2.478701917180088</v>
      </c>
      <c r="F128" s="10" t="n">
        <v>2.581089446268585</v>
      </c>
      <c r="G128" s="10" t="n">
        <v>2.676323300159786</v>
      </c>
      <c r="H128" s="10" t="n">
        <v>2.764741471131964</v>
      </c>
      <c r="I128" s="10" t="n">
        <v>2.846706096688676</v>
      </c>
      <c r="J128" s="10" t="n">
        <v>2.922593427371119</v>
      </c>
      <c r="K128" s="10" t="n">
        <v>2.992789538176935</v>
      </c>
      <c r="L128" s="10" t="n">
        <v>3.057676475196029</v>
      </c>
      <c r="M128" s="10" t="n">
        <v>3.117617150547014</v>
      </c>
      <c r="N128" s="10" t="n">
        <v>3.172956766850421</v>
      </c>
      <c r="O128" s="10" t="n">
        <v>3.224025979037337</v>
      </c>
      <c r="P128" s="10" t="n">
        <v>3.27114339001251</v>
      </c>
      <c r="Q128" s="10" t="n">
        <v>3.314614753317249</v>
      </c>
      <c r="R128" s="10" t="n">
        <v>3.354723081923272</v>
      </c>
      <c r="S128" s="10" t="n">
        <v>3.391726686457113</v>
      </c>
      <c r="T128" s="10" t="n">
        <v>3.425862583980954</v>
      </c>
      <c r="U128" s="10" t="n">
        <v>3.457349544032126</v>
      </c>
      <c r="V128" s="10" t="n">
        <v>3.486390690626844</v>
      </c>
      <c r="W128" s="10" t="n">
        <v>3.513175051668957</v>
      </c>
      <c r="X128" s="10" t="n">
        <v>3.53787668005726</v>
      </c>
      <c r="Y128" s="10" t="n">
        <v>3.560655295579656</v>
      </c>
      <c r="Z128" s="10" t="n">
        <v>3.581657837682076</v>
      </c>
      <c r="AA128" s="10" t="n">
        <v>3.601018986088682</v>
      </c>
      <c r="AB128" s="10" t="n">
        <v>3.618862150631795</v>
      </c>
      <c r="AC128" s="10" t="n">
        <v>3.635300798480123</v>
      </c>
      <c r="AD128" s="10" t="n">
        <v>3.650439571582147</v>
      </c>
      <c r="AE128" s="10" t="n">
        <v>3.664374585559738</v>
      </c>
      <c r="AF128" s="10" t="n">
        <v>3.677193379966015</v>
      </c>
      <c r="AG128" s="10" t="n">
        <v>3.688975670025067</v>
      </c>
      <c r="AH128" s="10" t="n">
        <v>3.699793489892787</v>
      </c>
      <c r="AI128" s="10" t="n">
        <v>3.7097110212339</v>
      </c>
      <c r="AJ128" s="10" t="n">
        <v>3.718785256679687</v>
      </c>
      <c r="AK128" s="10" t="n">
        <v>3.727066718674438</v>
      </c>
    </row>
    <row r="129">
      <c r="A129" s="9" t="n">
        <v>4</v>
      </c>
      <c r="B129" s="7" t="n">
        <v>41498</v>
      </c>
      <c r="C129" s="10" t="n">
        <v>2.258654710736905</v>
      </c>
      <c r="D129" s="10" t="n">
        <v>2.375086712214487</v>
      </c>
      <c r="E129" s="10" t="n">
        <v>2.483940837681974</v>
      </c>
      <c r="F129" s="10" t="n">
        <v>2.585467653612408</v>
      </c>
      <c r="G129" s="10" t="n">
        <v>2.679960728522572</v>
      </c>
      <c r="H129" s="10" t="n">
        <v>2.767746004450839</v>
      </c>
      <c r="I129" s="10" t="n">
        <v>2.849171400696673</v>
      </c>
      <c r="J129" s="10" t="n">
        <v>2.924598022578459</v>
      </c>
      <c r="K129" s="10" t="n">
        <v>2.994396233405306</v>
      </c>
      <c r="L129" s="10" t="n">
        <v>3.058933058214479</v>
      </c>
      <c r="M129" s="10" t="n">
        <v>3.118558644306588</v>
      </c>
      <c r="N129" s="10" t="n">
        <v>3.173607522278812</v>
      </c>
      <c r="O129" s="10" t="n">
        <v>3.224401394256651</v>
      </c>
      <c r="P129" s="10" t="n">
        <v>3.271251333606779</v>
      </c>
      <c r="Q129" s="10" t="n">
        <v>3.31445698189719</v>
      </c>
      <c r="R129" s="10" t="n">
        <v>3.354297562258466</v>
      </c>
      <c r="S129" s="10" t="n">
        <v>3.391029986725439</v>
      </c>
      <c r="T129" s="10" t="n">
        <v>3.424891297001891</v>
      </c>
      <c r="U129" s="10" t="n">
        <v>3.456101215969698</v>
      </c>
      <c r="V129" s="10" t="n">
        <v>3.484864608759622</v>
      </c>
      <c r="W129" s="10" t="n">
        <v>3.511372833745969</v>
      </c>
      <c r="X129" s="10" t="n">
        <v>3.535802429552429</v>
      </c>
      <c r="Y129" s="10" t="n">
        <v>3.558315585358113</v>
      </c>
      <c r="Z129" s="10" t="n">
        <v>3.579061652485183</v>
      </c>
      <c r="AA129" s="10" t="n">
        <v>3.598177514572235</v>
      </c>
      <c r="AB129" s="10" t="n">
        <v>3.615788535820371</v>
      </c>
      <c r="AC129" s="10" t="n">
        <v>3.632009916385416</v>
      </c>
      <c r="AD129" s="10" t="n">
        <v>3.646947830089167</v>
      </c>
      <c r="AE129" s="10" t="n">
        <v>3.660699661069046</v>
      </c>
      <c r="AF129" s="10" t="n">
        <v>3.673353876061057</v>
      </c>
      <c r="AG129" s="10" t="n">
        <v>3.684990798430164</v>
      </c>
      <c r="AH129" s="10" t="n">
        <v>3.695682765900926</v>
      </c>
      <c r="AI129" s="10" t="n">
        <v>3.705493975289037</v>
      </c>
      <c r="AJ129" s="10" t="n">
        <v>3.714481175218596</v>
      </c>
      <c r="AK129" s="10" t="n">
        <v>3.722694410890469</v>
      </c>
    </row>
    <row r="130">
      <c r="A130" s="9" t="n">
        <v>5</v>
      </c>
      <c r="B130" s="7" t="n">
        <v>41499</v>
      </c>
      <c r="C130" s="10" t="n">
        <v>2.391698196339653</v>
      </c>
      <c r="D130" s="10" t="n">
        <v>2.50943262735888</v>
      </c>
      <c r="E130" s="10" t="n">
        <v>2.619176776777367</v>
      </c>
      <c r="F130" s="10" t="n">
        <v>2.721187186084599</v>
      </c>
      <c r="G130" s="10" t="n">
        <v>2.815763819860756</v>
      </c>
      <c r="H130" s="10" t="n">
        <v>2.903239641592325</v>
      </c>
      <c r="I130" s="10" t="n">
        <v>2.983972250818131</v>
      </c>
      <c r="J130" s="10" t="n">
        <v>3.05833740098488</v>
      </c>
      <c r="K130" s="10" t="n">
        <v>3.126724419622308</v>
      </c>
      <c r="L130" s="10" t="n">
        <v>3.18952294577204</v>
      </c>
      <c r="M130" s="10" t="n">
        <v>3.24710911388993</v>
      </c>
      <c r="N130" s="10" t="n">
        <v>3.299846272734465</v>
      </c>
      <c r="O130" s="10" t="n">
        <v>3.348087268138414</v>
      </c>
      <c r="P130" s="10" t="n">
        <v>3.392176240336364</v>
      </c>
      <c r="Q130" s="10" t="n">
        <v>3.432447329273853</v>
      </c>
      <c r="R130" s="10" t="n">
        <v>3.469214889417769</v>
      </c>
      <c r="S130" s="10" t="n">
        <v>3.502770896811028</v>
      </c>
      <c r="T130" s="10" t="n">
        <v>3.533385688026875</v>
      </c>
      <c r="U130" s="10" t="n">
        <v>3.561310002160874</v>
      </c>
      <c r="V130" s="10" t="n">
        <v>3.586777745332661</v>
      </c>
      <c r="W130" s="10" t="n">
        <v>3.610007256181657</v>
      </c>
      <c r="X130" s="10" t="n">
        <v>3.631198750102576</v>
      </c>
      <c r="Y130" s="10" t="n">
        <v>3.650534533870595</v>
      </c>
      <c r="Z130" s="10" t="n">
        <v>3.668180912620485</v>
      </c>
      <c r="AA130" s="10" t="n">
        <v>3.684288791019942</v>
      </c>
      <c r="AB130" s="10" t="n">
        <v>3.698994910799534</v>
      </c>
      <c r="AC130" s="10" t="n">
        <v>3.71242351934472</v>
      </c>
      <c r="AD130" s="10" t="n">
        <v>3.724687769980217</v>
      </c>
      <c r="AE130" s="10" t="n">
        <v>3.735890060503961</v>
      </c>
      <c r="AF130" s="10" t="n">
        <v>3.746121952988252</v>
      </c>
      <c r="AG130" s="10" t="n">
        <v>3.755465141250061</v>
      </c>
      <c r="AH130" s="10" t="n">
        <v>3.763991915336467</v>
      </c>
      <c r="AI130" s="10" t="n">
        <v>3.771765335395605</v>
      </c>
      <c r="AJ130" s="10" t="n">
        <v>3.778840062519404</v>
      </c>
      <c r="AK130" s="10" t="n">
        <v>3.78526319861295</v>
      </c>
    </row>
    <row r="131">
      <c r="A131" s="9" t="n">
        <v>6</v>
      </c>
      <c r="B131" s="7" t="n">
        <v>41500</v>
      </c>
      <c r="C131" s="10" t="n">
        <v>2.435995196003778</v>
      </c>
      <c r="D131" s="10" t="n">
        <v>2.553136938300105</v>
      </c>
      <c r="E131" s="10" t="n">
        <v>2.66234465696272</v>
      </c>
      <c r="F131" s="10" t="n">
        <v>2.763896929019574</v>
      </c>
      <c r="G131" s="10" t="n">
        <v>2.858106443902606</v>
      </c>
      <c r="H131" s="10" t="n">
        <v>2.945311792884487</v>
      </c>
      <c r="I131" s="10" t="n">
        <v>3.025870846286216</v>
      </c>
      <c r="J131" s="10" t="n">
        <v>3.100155613193975</v>
      </c>
      <c r="K131" s="10" t="n">
        <v>3.168548537138797</v>
      </c>
      <c r="L131" s="10" t="n">
        <v>3.231430272081476</v>
      </c>
      <c r="M131" s="10" t="n">
        <v>3.289166963031772</v>
      </c>
      <c r="N131" s="10" t="n">
        <v>3.342111265616018</v>
      </c>
      <c r="O131" s="10" t="n">
        <v>3.390604754579777</v>
      </c>
      <c r="P131" s="10" t="n">
        <v>3.434979820962506</v>
      </c>
      <c r="Q131" s="10" t="n">
        <v>3.475558620505009</v>
      </c>
      <c r="R131" s="10" t="n">
        <v>3.512644147504366</v>
      </c>
      <c r="S131" s="10" t="n">
        <v>3.546518042676224</v>
      </c>
      <c r="T131" s="10" t="n">
        <v>3.577441534202535</v>
      </c>
      <c r="U131" s="10" t="n">
        <v>3.605657466740509</v>
      </c>
      <c r="V131" s="10" t="n">
        <v>3.631392897660546</v>
      </c>
      <c r="W131" s="10" t="n">
        <v>3.654860283409919</v>
      </c>
      <c r="X131" s="10" t="n">
        <v>3.676255138963197</v>
      </c>
      <c r="Y131" s="10" t="n">
        <v>3.695756282203897</v>
      </c>
      <c r="Z131" s="10" t="n">
        <v>3.713527604160682</v>
      </c>
      <c r="AA131" s="10" t="n">
        <v>3.729718605456077</v>
      </c>
      <c r="AB131" s="10" t="n">
        <v>3.744465549921226</v>
      </c>
      <c r="AC131" s="10" t="n">
        <v>3.757893024378812</v>
      </c>
      <c r="AD131" s="10" t="n">
        <v>3.770115245504135</v>
      </c>
      <c r="AE131" s="10" t="n">
        <v>3.78123636043726</v>
      </c>
      <c r="AF131" s="10" t="n">
        <v>3.791350366118844</v>
      </c>
      <c r="AG131" s="10" t="n">
        <v>3.800542006010073</v>
      </c>
      <c r="AH131" s="10" t="n">
        <v>3.80888702286293</v>
      </c>
      <c r="AI131" s="10" t="n">
        <v>3.816452101148787</v>
      </c>
      <c r="AJ131" s="10" t="n">
        <v>3.823295656297221</v>
      </c>
      <c r="AK131" s="10" t="n">
        <v>3.829468661561201</v>
      </c>
    </row>
    <row r="132">
      <c r="A132" s="9" t="n">
        <v>7</v>
      </c>
      <c r="B132" s="7" t="n">
        <v>41501</v>
      </c>
      <c r="C132" s="10" t="n">
        <v>2.489530675106511</v>
      </c>
      <c r="D132" s="10" t="n">
        <v>2.605014293027308</v>
      </c>
      <c r="E132" s="10" t="n">
        <v>2.71248717758848</v>
      </c>
      <c r="F132" s="10" t="n">
        <v>2.812286554604308</v>
      </c>
      <c r="G132" s="10" t="n">
        <v>2.904765236285894</v>
      </c>
      <c r="H132" s="10" t="n">
        <v>2.990287736407979</v>
      </c>
      <c r="I132" s="10" t="n">
        <v>3.06922710976202</v>
      </c>
      <c r="J132" s="10" t="n">
        <v>3.141962456875656</v>
      </c>
      <c r="K132" s="10" t="n">
        <v>3.208877013734214</v>
      </c>
      <c r="L132" s="10" t="n">
        <v>3.270348412310394</v>
      </c>
      <c r="M132" s="10" t="n">
        <v>3.326738409526371</v>
      </c>
      <c r="N132" s="10" t="n">
        <v>3.378394400078796</v>
      </c>
      <c r="O132" s="10" t="n">
        <v>3.425651980888686</v>
      </c>
      <c r="P132" s="10" t="n">
        <v>3.468836972976572</v>
      </c>
      <c r="Q132" s="10" t="n">
        <v>3.508264787103096</v>
      </c>
      <c r="R132" s="10" t="n">
        <v>3.544232952727436</v>
      </c>
      <c r="S132" s="10" t="n">
        <v>3.577019296759477</v>
      </c>
      <c r="T132" s="10" t="n">
        <v>3.606882241324654</v>
      </c>
      <c r="U132" s="10" t="n">
        <v>3.634062513989607</v>
      </c>
      <c r="V132" s="10" t="n">
        <v>3.658785641390292</v>
      </c>
      <c r="W132" s="10" t="n">
        <v>3.681263013817563</v>
      </c>
      <c r="X132" s="10" t="n">
        <v>3.701689368982404</v>
      </c>
      <c r="Y132" s="10" t="n">
        <v>3.720242970901474</v>
      </c>
      <c r="Z132" s="10" t="n">
        <v>3.7370873161436</v>
      </c>
      <c r="AA132" s="10" t="n">
        <v>3.752371519122364</v>
      </c>
      <c r="AB132" s="10" t="n">
        <v>3.766231413370214</v>
      </c>
      <c r="AC132" s="10" t="n">
        <v>3.778791115603743</v>
      </c>
      <c r="AD132" s="10" t="n">
        <v>3.79016433612686</v>
      </c>
      <c r="AE132" s="10" t="n">
        <v>3.800454680780963</v>
      </c>
      <c r="AF132" s="10" t="n">
        <v>3.80975558466596</v>
      </c>
      <c r="AG132" s="10" t="n">
        <v>3.818151218115948</v>
      </c>
      <c r="AH132" s="10" t="n">
        <v>3.825716807586337</v>
      </c>
      <c r="AI132" s="10" t="n">
        <v>3.832518673924899</v>
      </c>
      <c r="AJ132" s="10" t="n">
        <v>3.838615021623396</v>
      </c>
      <c r="AK132" s="10" t="n">
        <v>3.844056750422886</v>
      </c>
    </row>
    <row r="133">
      <c r="A133" s="9" t="n">
        <v>8</v>
      </c>
      <c r="B133" s="7" t="n">
        <v>41502</v>
      </c>
      <c r="C133" s="10" t="n">
        <v>2.509729386106329</v>
      </c>
      <c r="D133" s="10" t="n">
        <v>2.626087420116935</v>
      </c>
      <c r="E133" s="10" t="n">
        <v>2.734155020069198</v>
      </c>
      <c r="F133" s="10" t="n">
        <v>2.834274593526887</v>
      </c>
      <c r="G133" s="10" t="n">
        <v>2.926808604678701</v>
      </c>
      <c r="H133" s="10" t="n">
        <v>3.012134360301998</v>
      </c>
      <c r="I133" s="10" t="n">
        <v>3.090640911027253</v>
      </c>
      <c r="J133" s="10" t="n">
        <v>3.162726835950187</v>
      </c>
      <c r="K133" s="10" t="n">
        <v>3.228797643522556</v>
      </c>
      <c r="L133" s="10" t="n">
        <v>3.289254674929889</v>
      </c>
      <c r="M133" s="10" t="n">
        <v>3.344483975685814</v>
      </c>
      <c r="N133" s="10" t="n">
        <v>3.394857694014783</v>
      </c>
      <c r="O133" s="10" t="n">
        <v>3.440736562366965</v>
      </c>
      <c r="P133" s="10" t="n">
        <v>3.482471849371716</v>
      </c>
      <c r="Q133" s="10" t="n">
        <v>3.520404295107495</v>
      </c>
      <c r="R133" s="10" t="n">
        <v>3.554855545938785</v>
      </c>
      <c r="S133" s="10" t="n">
        <v>3.586125899598934</v>
      </c>
      <c r="T133" s="10" t="n">
        <v>3.614493768300371</v>
      </c>
      <c r="U133" s="10" t="n">
        <v>3.640217333598705</v>
      </c>
      <c r="V133" s="10" t="n">
        <v>3.663537391897773</v>
      </c>
      <c r="W133" s="10" t="n">
        <v>3.684678405145267</v>
      </c>
      <c r="X133" s="10" t="n">
        <v>3.703845167235738</v>
      </c>
      <c r="Y133" s="10" t="n">
        <v>3.721222963943348</v>
      </c>
      <c r="Z133" s="10" t="n">
        <v>3.736979670961538</v>
      </c>
      <c r="AA133" s="10" t="n">
        <v>3.751266564830711</v>
      </c>
      <c r="AB133" s="10" t="n">
        <v>3.764219759166296</v>
      </c>
      <c r="AC133" s="10" t="n">
        <v>3.775961995513398</v>
      </c>
      <c r="AD133" s="10" t="n">
        <v>3.786604148685504</v>
      </c>
      <c r="AE133" s="10" t="n">
        <v>3.796245779892112</v>
      </c>
      <c r="AF133" s="10" t="n">
        <v>3.804975357733081</v>
      </c>
      <c r="AG133" s="10" t="n">
        <v>3.812871303426975</v>
      </c>
      <c r="AH133" s="10" t="n">
        <v>3.820002626999155</v>
      </c>
      <c r="AI133" s="10" t="n">
        <v>3.826429346579947</v>
      </c>
      <c r="AJ133" s="10" t="n">
        <v>3.8322033341818</v>
      </c>
      <c r="AK133" s="10" t="n">
        <v>3.83736913029916</v>
      </c>
    </row>
    <row r="134">
      <c r="A134" s="9" t="n">
        <v>9</v>
      </c>
      <c r="B134" s="7" t="n">
        <v>41505</v>
      </c>
      <c r="C134" s="10" t="n">
        <v>2.554561008471095</v>
      </c>
      <c r="D134" s="10" t="n">
        <v>2.670986102152561</v>
      </c>
      <c r="E134" s="10" t="n">
        <v>2.778738808836287</v>
      </c>
      <c r="F134" s="10" t="n">
        <v>2.878193076268245</v>
      </c>
      <c r="G134" s="10" t="n">
        <v>2.969742961530903</v>
      </c>
      <c r="H134" s="10" t="n">
        <v>3.053797415407229</v>
      </c>
      <c r="I134" s="10" t="n">
        <v>3.130778130411159</v>
      </c>
      <c r="J134" s="10" t="n">
        <v>3.201118268719997</v>
      </c>
      <c r="K134" s="10" t="n">
        <v>3.265259489920386</v>
      </c>
      <c r="L134" s="10" t="n">
        <v>3.323639163382675</v>
      </c>
      <c r="M134" s="10" t="n">
        <v>3.376677733179646</v>
      </c>
      <c r="N134" s="10" t="n">
        <v>3.42478025846792</v>
      </c>
      <c r="O134" s="10" t="n">
        <v>3.468339160660882</v>
      </c>
      <c r="P134" s="10" t="n">
        <v>3.507736381299267</v>
      </c>
      <c r="Q134" s="10" t="n">
        <v>3.5433418554856</v>
      </c>
      <c r="R134" s="10" t="n">
        <v>3.575502900997538</v>
      </c>
      <c r="S134" s="10" t="n">
        <v>3.604541533071753</v>
      </c>
      <c r="T134" s="10" t="n">
        <v>3.630754220699631</v>
      </c>
      <c r="U134" s="10" t="n">
        <v>3.654413977736621</v>
      </c>
      <c r="V134" s="10" t="n">
        <v>3.675773666126302</v>
      </c>
      <c r="W134" s="10" t="n">
        <v>3.695067233697749</v>
      </c>
      <c r="X134" s="10" t="n">
        <v>3.712506012197244</v>
      </c>
      <c r="Y134" s="10" t="n">
        <v>3.72827898473265</v>
      </c>
      <c r="Z134" s="10" t="n">
        <v>3.742555284613487</v>
      </c>
      <c r="AA134" s="10" t="n">
        <v>3.755485494911967</v>
      </c>
      <c r="AB134" s="10" t="n">
        <v>3.767203407943439</v>
      </c>
      <c r="AC134" s="10" t="n">
        <v>3.777828012270676</v>
      </c>
      <c r="AD134" s="10" t="n">
        <v>3.787465169922078</v>
      </c>
      <c r="AE134" s="10" t="n">
        <v>3.796208411774018</v>
      </c>
      <c r="AF134" s="10" t="n">
        <v>3.804139411470013</v>
      </c>
      <c r="AG134" s="10" t="n">
        <v>3.811329151319345</v>
      </c>
      <c r="AH134" s="10" t="n">
        <v>3.817838914013528</v>
      </c>
      <c r="AI134" s="10" t="n">
        <v>3.823721106391278</v>
      </c>
      <c r="AJ134" s="10" t="n">
        <v>3.829020141621772</v>
      </c>
      <c r="AK134" s="10" t="n">
        <v>3.833773238568253</v>
      </c>
    </row>
    <row r="135">
      <c r="A135" s="9" t="n">
        <v>10</v>
      </c>
      <c r="B135" s="7" t="n">
        <v>41506</v>
      </c>
      <c r="C135" s="10" t="n">
        <v>2.48544348880832</v>
      </c>
      <c r="D135" s="10" t="n">
        <v>2.602987770698669</v>
      </c>
      <c r="E135" s="10" t="n">
        <v>2.711839262563585</v>
      </c>
      <c r="F135" s="10" t="n">
        <v>2.812379625691034</v>
      </c>
      <c r="G135" s="10" t="n">
        <v>2.905011258657106</v>
      </c>
      <c r="H135" s="10" t="n">
        <v>2.990151492007088</v>
      </c>
      <c r="I135" s="10" t="n">
        <v>3.068228398301617</v>
      </c>
      <c r="J135" s="10" t="n">
        <v>3.139677501050427</v>
      </c>
      <c r="K135" s="10" t="n">
        <v>3.204939347867965</v>
      </c>
      <c r="L135" s="10" t="n">
        <v>3.264447575443405</v>
      </c>
      <c r="M135" s="10" t="n">
        <v>3.318617127825455</v>
      </c>
      <c r="N135" s="10" t="n">
        <v>3.367846188729664</v>
      </c>
      <c r="O135" s="10" t="n">
        <v>3.412519174349201</v>
      </c>
      <c r="P135" s="10" t="n">
        <v>3.453009086138524</v>
      </c>
      <c r="Q135" s="10" t="n">
        <v>3.489676292635967</v>
      </c>
      <c r="R135" s="10" t="n">
        <v>3.522858761873532</v>
      </c>
      <c r="S135" s="10" t="n">
        <v>3.552869852862324</v>
      </c>
      <c r="T135" s="10" t="n">
        <v>3.579998579452401</v>
      </c>
      <c r="U135" s="10" t="n">
        <v>3.604511795162504</v>
      </c>
      <c r="V135" s="10" t="n">
        <v>3.626657318737269</v>
      </c>
      <c r="W135" s="10" t="n">
        <v>3.646665122979416</v>
      </c>
      <c r="X135" s="10" t="n">
        <v>3.664743991241261</v>
      </c>
      <c r="Y135" s="10" t="n">
        <v>3.681081844519008</v>
      </c>
      <c r="Z135" s="10" t="n">
        <v>3.695847998979266</v>
      </c>
      <c r="AA135" s="10" t="n">
        <v>3.709194099046465</v>
      </c>
      <c r="AB135" s="10" t="n">
        <v>3.72125568727638</v>
      </c>
      <c r="AC135" s="10" t="n">
        <v>3.732154107733372</v>
      </c>
      <c r="AD135" s="10" t="n">
        <v>3.741998107366553</v>
      </c>
      <c r="AE135" s="10" t="n">
        <v>3.750884498637565</v>
      </c>
      <c r="AF135" s="10" t="n">
        <v>3.758898507686698</v>
      </c>
      <c r="AG135" s="10" t="n">
        <v>3.766114897724748</v>
      </c>
      <c r="AH135" s="10" t="n">
        <v>3.772598869045299</v>
      </c>
      <c r="AI135" s="10" t="n">
        <v>3.77840678542444</v>
      </c>
      <c r="AJ135" s="10" t="n">
        <v>3.783587042320451</v>
      </c>
      <c r="AK135" s="10" t="n">
        <v>3.788180863701518</v>
      </c>
    </row>
    <row r="138">
      <c r="A138" s="3" t="inlineStr">
        <is>
          <t>k</t>
        </is>
      </c>
      <c r="B138" s="3" t="inlineStr">
        <is>
          <t>Date</t>
        </is>
      </c>
      <c r="C138" s="3" t="inlineStr">
        <is>
          <t>Δz 8y (bp)</t>
        </is>
      </c>
      <c r="D138" s="3" t="inlineStr">
        <is>
          <t>Δz 8.5y (bp)</t>
        </is>
      </c>
      <c r="E138" s="3" t="inlineStr">
        <is>
          <t>Δz 9y (bp)</t>
        </is>
      </c>
      <c r="F138" s="3" t="inlineStr">
        <is>
          <t>Δz 9.5y (bp)</t>
        </is>
      </c>
      <c r="G138" s="3" t="inlineStr">
        <is>
          <t>Δz 10y (bp)</t>
        </is>
      </c>
      <c r="H138" s="3" t="inlineStr">
        <is>
          <t>Δz 10.5y (bp)</t>
        </is>
      </c>
      <c r="I138" s="3" t="inlineStr">
        <is>
          <t>Δz 11y (bp)</t>
        </is>
      </c>
      <c r="J138" s="3" t="inlineStr">
        <is>
          <t>Δz 11.5y (bp)</t>
        </is>
      </c>
      <c r="K138" s="3" t="inlineStr">
        <is>
          <t>Δz 12y (bp)</t>
        </is>
      </c>
      <c r="L138" s="3" t="inlineStr">
        <is>
          <t>Δz 12.5y (bp)</t>
        </is>
      </c>
      <c r="M138" s="3" t="inlineStr">
        <is>
          <t>Δz 13y (bp)</t>
        </is>
      </c>
      <c r="N138" s="3" t="inlineStr">
        <is>
          <t>Δz 13.5y (bp)</t>
        </is>
      </c>
      <c r="O138" s="3" t="inlineStr">
        <is>
          <t>Δz 14y (bp)</t>
        </is>
      </c>
      <c r="P138" s="3" t="inlineStr">
        <is>
          <t>Δz 14.5y (bp)</t>
        </is>
      </c>
      <c r="Q138" s="3" t="inlineStr">
        <is>
          <t>Δz 15y (bp)</t>
        </is>
      </c>
      <c r="R138" s="3" t="inlineStr">
        <is>
          <t>Δz 15.5y (bp)</t>
        </is>
      </c>
      <c r="S138" s="3" t="inlineStr">
        <is>
          <t>Δz 16y (bp)</t>
        </is>
      </c>
      <c r="T138" s="3" t="inlineStr">
        <is>
          <t>Δz 16.5y (bp)</t>
        </is>
      </c>
      <c r="U138" s="3" t="inlineStr">
        <is>
          <t>Δz 17y (bp)</t>
        </is>
      </c>
      <c r="V138" s="3" t="inlineStr">
        <is>
          <t>Δz 17.5y (bp)</t>
        </is>
      </c>
      <c r="W138" s="3" t="inlineStr">
        <is>
          <t>Δz 18y (bp)</t>
        </is>
      </c>
      <c r="X138" s="3" t="inlineStr">
        <is>
          <t>Δz 18.5y (bp)</t>
        </is>
      </c>
      <c r="Y138" s="3" t="inlineStr">
        <is>
          <t>Δz 19y (bp)</t>
        </is>
      </c>
      <c r="Z138" s="3" t="inlineStr">
        <is>
          <t>Δz 19.5y (bp)</t>
        </is>
      </c>
      <c r="AA138" s="3" t="inlineStr">
        <is>
          <t>Δz 20y (bp)</t>
        </is>
      </c>
      <c r="AB138" s="3" t="inlineStr">
        <is>
          <t>Δz 20.5y (bp)</t>
        </is>
      </c>
      <c r="AC138" s="3" t="inlineStr">
        <is>
          <t>Δz 21y (bp)</t>
        </is>
      </c>
      <c r="AD138" s="3" t="inlineStr">
        <is>
          <t>Δz 21.5y (bp)</t>
        </is>
      </c>
      <c r="AE138" s="3" t="inlineStr">
        <is>
          <t>Δz 22y (bp)</t>
        </is>
      </c>
      <c r="AF138" s="3" t="inlineStr">
        <is>
          <t>Δz 22.5y (bp)</t>
        </is>
      </c>
      <c r="AG138" s="3" t="inlineStr">
        <is>
          <t>Δz 23y (bp)</t>
        </is>
      </c>
      <c r="AH138" s="3" t="inlineStr">
        <is>
          <t>Δz 23.5y (bp)</t>
        </is>
      </c>
      <c r="AI138" s="3" t="inlineStr">
        <is>
          <t>Δz 24y (bp)</t>
        </is>
      </c>
      <c r="AJ138" s="3" t="inlineStr">
        <is>
          <t>Δz 24.5y (bp)</t>
        </is>
      </c>
      <c r="AK138" s="3" t="inlineStr">
        <is>
          <t>Δz 25y (bp)</t>
        </is>
      </c>
      <c r="AL138" s="3" t="inlineStr">
        <is>
          <t>Control Δc = average (bp)</t>
        </is>
      </c>
    </row>
    <row r="139">
      <c r="A139" s="19">
        <f>A5</f>
        <v/>
      </c>
      <c r="B139" s="20">
        <f>B5</f>
        <v/>
      </c>
      <c r="C139" s="21">
        <f>100*(C5-C4)</f>
        <v/>
      </c>
      <c r="D139" s="21">
        <f>100*(D5-D4)</f>
        <v/>
      </c>
      <c r="E139" s="21">
        <f>100*(E5-E4)</f>
        <v/>
      </c>
      <c r="F139" s="21">
        <f>100*(F5-F4)</f>
        <v/>
      </c>
      <c r="G139" s="21">
        <f>100*(G5-G4)</f>
        <v/>
      </c>
      <c r="H139" s="21">
        <f>100*(H5-H4)</f>
        <v/>
      </c>
      <c r="I139" s="21">
        <f>100*(I5-I4)</f>
        <v/>
      </c>
      <c r="J139" s="21">
        <f>100*(J5-J4)</f>
        <v/>
      </c>
      <c r="K139" s="21">
        <f>100*(K5-K4)</f>
        <v/>
      </c>
      <c r="L139" s="21">
        <f>100*(L5-L4)</f>
        <v/>
      </c>
      <c r="M139" s="21">
        <f>100*(M5-M4)</f>
        <v/>
      </c>
      <c r="N139" s="21">
        <f>100*(N5-N4)</f>
        <v/>
      </c>
      <c r="O139" s="21">
        <f>100*(O5-O4)</f>
        <v/>
      </c>
      <c r="P139" s="21">
        <f>100*(P5-P4)</f>
        <v/>
      </c>
      <c r="Q139" s="21">
        <f>100*(Q5-Q4)</f>
        <v/>
      </c>
      <c r="R139" s="21">
        <f>100*(R5-R4)</f>
        <v/>
      </c>
      <c r="S139" s="21">
        <f>100*(S5-S4)</f>
        <v/>
      </c>
      <c r="T139" s="21">
        <f>100*(T5-T4)</f>
        <v/>
      </c>
      <c r="U139" s="21">
        <f>100*(U5-U4)</f>
        <v/>
      </c>
      <c r="V139" s="21">
        <f>100*(V5-V4)</f>
        <v/>
      </c>
      <c r="W139" s="21">
        <f>100*(W5-W4)</f>
        <v/>
      </c>
      <c r="X139" s="21">
        <f>100*(X5-X4)</f>
        <v/>
      </c>
      <c r="Y139" s="21">
        <f>100*(Y5-Y4)</f>
        <v/>
      </c>
      <c r="Z139" s="21">
        <f>100*(Z5-Z4)</f>
        <v/>
      </c>
      <c r="AA139" s="21">
        <f>100*(AA5-AA4)</f>
        <v/>
      </c>
      <c r="AB139" s="21">
        <f>100*(AB5-AB4)</f>
        <v/>
      </c>
      <c r="AC139" s="21">
        <f>100*(AC5-AC4)</f>
        <v/>
      </c>
      <c r="AD139" s="21">
        <f>100*(AD5-AD4)</f>
        <v/>
      </c>
      <c r="AE139" s="21">
        <f>100*(AE5-AE4)</f>
        <v/>
      </c>
      <c r="AF139" s="21">
        <f>100*(AF5-AF4)</f>
        <v/>
      </c>
      <c r="AG139" s="21">
        <f>100*(AG5-AG4)</f>
        <v/>
      </c>
      <c r="AH139" s="21">
        <f>100*(AH5-AH4)</f>
        <v/>
      </c>
      <c r="AI139" s="21">
        <f>100*(AI5-AI4)</f>
        <v/>
      </c>
      <c r="AJ139" s="21">
        <f>100*(AJ5-AJ4)</f>
        <v/>
      </c>
      <c r="AK139" s="21">
        <f>100*(AK5-AK4)</f>
        <v/>
      </c>
      <c r="AL139" s="21">
        <f>AVERAGE(C139:AK139)</f>
        <v/>
      </c>
    </row>
    <row r="140">
      <c r="A140" s="19">
        <f>A6</f>
        <v/>
      </c>
      <c r="B140" s="20">
        <f>B6</f>
        <v/>
      </c>
      <c r="C140" s="21">
        <f>100*(C6-C5)</f>
        <v/>
      </c>
      <c r="D140" s="21">
        <f>100*(D6-D5)</f>
        <v/>
      </c>
      <c r="E140" s="21">
        <f>100*(E6-E5)</f>
        <v/>
      </c>
      <c r="F140" s="21">
        <f>100*(F6-F5)</f>
        <v/>
      </c>
      <c r="G140" s="21">
        <f>100*(G6-G5)</f>
        <v/>
      </c>
      <c r="H140" s="21">
        <f>100*(H6-H5)</f>
        <v/>
      </c>
      <c r="I140" s="21">
        <f>100*(I6-I5)</f>
        <v/>
      </c>
      <c r="J140" s="21">
        <f>100*(J6-J5)</f>
        <v/>
      </c>
      <c r="K140" s="21">
        <f>100*(K6-K5)</f>
        <v/>
      </c>
      <c r="L140" s="21">
        <f>100*(L6-L5)</f>
        <v/>
      </c>
      <c r="M140" s="21">
        <f>100*(M6-M5)</f>
        <v/>
      </c>
      <c r="N140" s="21">
        <f>100*(N6-N5)</f>
        <v/>
      </c>
      <c r="O140" s="21">
        <f>100*(O6-O5)</f>
        <v/>
      </c>
      <c r="P140" s="21">
        <f>100*(P6-P5)</f>
        <v/>
      </c>
      <c r="Q140" s="21">
        <f>100*(Q6-Q5)</f>
        <v/>
      </c>
      <c r="R140" s="21">
        <f>100*(R6-R5)</f>
        <v/>
      </c>
      <c r="S140" s="21">
        <f>100*(S6-S5)</f>
        <v/>
      </c>
      <c r="T140" s="21">
        <f>100*(T6-T5)</f>
        <v/>
      </c>
      <c r="U140" s="21">
        <f>100*(U6-U5)</f>
        <v/>
      </c>
      <c r="V140" s="21">
        <f>100*(V6-V5)</f>
        <v/>
      </c>
      <c r="W140" s="21">
        <f>100*(W6-W5)</f>
        <v/>
      </c>
      <c r="X140" s="21">
        <f>100*(X6-X5)</f>
        <v/>
      </c>
      <c r="Y140" s="21">
        <f>100*(Y6-Y5)</f>
        <v/>
      </c>
      <c r="Z140" s="21">
        <f>100*(Z6-Z5)</f>
        <v/>
      </c>
      <c r="AA140" s="21">
        <f>100*(AA6-AA5)</f>
        <v/>
      </c>
      <c r="AB140" s="21">
        <f>100*(AB6-AB5)</f>
        <v/>
      </c>
      <c r="AC140" s="21">
        <f>100*(AC6-AC5)</f>
        <v/>
      </c>
      <c r="AD140" s="21">
        <f>100*(AD6-AD5)</f>
        <v/>
      </c>
      <c r="AE140" s="21">
        <f>100*(AE6-AE5)</f>
        <v/>
      </c>
      <c r="AF140" s="21">
        <f>100*(AF6-AF5)</f>
        <v/>
      </c>
      <c r="AG140" s="21">
        <f>100*(AG6-AG5)</f>
        <v/>
      </c>
      <c r="AH140" s="21">
        <f>100*(AH6-AH5)</f>
        <v/>
      </c>
      <c r="AI140" s="21">
        <f>100*(AI6-AI5)</f>
        <v/>
      </c>
      <c r="AJ140" s="21">
        <f>100*(AJ6-AJ5)</f>
        <v/>
      </c>
      <c r="AK140" s="21">
        <f>100*(AK6-AK5)</f>
        <v/>
      </c>
      <c r="AL140" s="21">
        <f>AVERAGE(C140:AK140)</f>
        <v/>
      </c>
    </row>
    <row r="141">
      <c r="A141" s="19">
        <f>A7</f>
        <v/>
      </c>
      <c r="B141" s="20">
        <f>B7</f>
        <v/>
      </c>
      <c r="C141" s="21">
        <f>100*(C7-C6)</f>
        <v/>
      </c>
      <c r="D141" s="21">
        <f>100*(D7-D6)</f>
        <v/>
      </c>
      <c r="E141" s="21">
        <f>100*(E7-E6)</f>
        <v/>
      </c>
      <c r="F141" s="21">
        <f>100*(F7-F6)</f>
        <v/>
      </c>
      <c r="G141" s="21">
        <f>100*(G7-G6)</f>
        <v/>
      </c>
      <c r="H141" s="21">
        <f>100*(H7-H6)</f>
        <v/>
      </c>
      <c r="I141" s="21">
        <f>100*(I7-I6)</f>
        <v/>
      </c>
      <c r="J141" s="21">
        <f>100*(J7-J6)</f>
        <v/>
      </c>
      <c r="K141" s="21">
        <f>100*(K7-K6)</f>
        <v/>
      </c>
      <c r="L141" s="21">
        <f>100*(L7-L6)</f>
        <v/>
      </c>
      <c r="M141" s="21">
        <f>100*(M7-M6)</f>
        <v/>
      </c>
      <c r="N141" s="21">
        <f>100*(N7-N6)</f>
        <v/>
      </c>
      <c r="O141" s="21">
        <f>100*(O7-O6)</f>
        <v/>
      </c>
      <c r="P141" s="21">
        <f>100*(P7-P6)</f>
        <v/>
      </c>
      <c r="Q141" s="21">
        <f>100*(Q7-Q6)</f>
        <v/>
      </c>
      <c r="R141" s="21">
        <f>100*(R7-R6)</f>
        <v/>
      </c>
      <c r="S141" s="21">
        <f>100*(S7-S6)</f>
        <v/>
      </c>
      <c r="T141" s="21">
        <f>100*(T7-T6)</f>
        <v/>
      </c>
      <c r="U141" s="21">
        <f>100*(U7-U6)</f>
        <v/>
      </c>
      <c r="V141" s="21">
        <f>100*(V7-V6)</f>
        <v/>
      </c>
      <c r="W141" s="21">
        <f>100*(W7-W6)</f>
        <v/>
      </c>
      <c r="X141" s="21">
        <f>100*(X7-X6)</f>
        <v/>
      </c>
      <c r="Y141" s="21">
        <f>100*(Y7-Y6)</f>
        <v/>
      </c>
      <c r="Z141" s="21">
        <f>100*(Z7-Z6)</f>
        <v/>
      </c>
      <c r="AA141" s="21">
        <f>100*(AA7-AA6)</f>
        <v/>
      </c>
      <c r="AB141" s="21">
        <f>100*(AB7-AB6)</f>
        <v/>
      </c>
      <c r="AC141" s="21">
        <f>100*(AC7-AC6)</f>
        <v/>
      </c>
      <c r="AD141" s="21">
        <f>100*(AD7-AD6)</f>
        <v/>
      </c>
      <c r="AE141" s="21">
        <f>100*(AE7-AE6)</f>
        <v/>
      </c>
      <c r="AF141" s="21">
        <f>100*(AF7-AF6)</f>
        <v/>
      </c>
      <c r="AG141" s="21">
        <f>100*(AG7-AG6)</f>
        <v/>
      </c>
      <c r="AH141" s="21">
        <f>100*(AH7-AH6)</f>
        <v/>
      </c>
      <c r="AI141" s="21">
        <f>100*(AI7-AI6)</f>
        <v/>
      </c>
      <c r="AJ141" s="21">
        <f>100*(AJ7-AJ6)</f>
        <v/>
      </c>
      <c r="AK141" s="21">
        <f>100*(AK7-AK6)</f>
        <v/>
      </c>
      <c r="AL141" s="21">
        <f>AVERAGE(C141:AK141)</f>
        <v/>
      </c>
    </row>
    <row r="142">
      <c r="A142" s="19">
        <f>A8</f>
        <v/>
      </c>
      <c r="B142" s="20">
        <f>B8</f>
        <v/>
      </c>
      <c r="C142" s="21">
        <f>100*(C8-C7)</f>
        <v/>
      </c>
      <c r="D142" s="21">
        <f>100*(D8-D7)</f>
        <v/>
      </c>
      <c r="E142" s="21">
        <f>100*(E8-E7)</f>
        <v/>
      </c>
      <c r="F142" s="21">
        <f>100*(F8-F7)</f>
        <v/>
      </c>
      <c r="G142" s="21">
        <f>100*(G8-G7)</f>
        <v/>
      </c>
      <c r="H142" s="21">
        <f>100*(H8-H7)</f>
        <v/>
      </c>
      <c r="I142" s="21">
        <f>100*(I8-I7)</f>
        <v/>
      </c>
      <c r="J142" s="21">
        <f>100*(J8-J7)</f>
        <v/>
      </c>
      <c r="K142" s="21">
        <f>100*(K8-K7)</f>
        <v/>
      </c>
      <c r="L142" s="21">
        <f>100*(L8-L7)</f>
        <v/>
      </c>
      <c r="M142" s="21">
        <f>100*(M8-M7)</f>
        <v/>
      </c>
      <c r="N142" s="21">
        <f>100*(N8-N7)</f>
        <v/>
      </c>
      <c r="O142" s="21">
        <f>100*(O8-O7)</f>
        <v/>
      </c>
      <c r="P142" s="21">
        <f>100*(P8-P7)</f>
        <v/>
      </c>
      <c r="Q142" s="21">
        <f>100*(Q8-Q7)</f>
        <v/>
      </c>
      <c r="R142" s="21">
        <f>100*(R8-R7)</f>
        <v/>
      </c>
      <c r="S142" s="21">
        <f>100*(S8-S7)</f>
        <v/>
      </c>
      <c r="T142" s="21">
        <f>100*(T8-T7)</f>
        <v/>
      </c>
      <c r="U142" s="21">
        <f>100*(U8-U7)</f>
        <v/>
      </c>
      <c r="V142" s="21">
        <f>100*(V8-V7)</f>
        <v/>
      </c>
      <c r="W142" s="21">
        <f>100*(W8-W7)</f>
        <v/>
      </c>
      <c r="X142" s="21">
        <f>100*(X8-X7)</f>
        <v/>
      </c>
      <c r="Y142" s="21">
        <f>100*(Y8-Y7)</f>
        <v/>
      </c>
      <c r="Z142" s="21">
        <f>100*(Z8-Z7)</f>
        <v/>
      </c>
      <c r="AA142" s="21">
        <f>100*(AA8-AA7)</f>
        <v/>
      </c>
      <c r="AB142" s="21">
        <f>100*(AB8-AB7)</f>
        <v/>
      </c>
      <c r="AC142" s="21">
        <f>100*(AC8-AC7)</f>
        <v/>
      </c>
      <c r="AD142" s="21">
        <f>100*(AD8-AD7)</f>
        <v/>
      </c>
      <c r="AE142" s="21">
        <f>100*(AE8-AE7)</f>
        <v/>
      </c>
      <c r="AF142" s="21">
        <f>100*(AF8-AF7)</f>
        <v/>
      </c>
      <c r="AG142" s="21">
        <f>100*(AG8-AG7)</f>
        <v/>
      </c>
      <c r="AH142" s="21">
        <f>100*(AH8-AH7)</f>
        <v/>
      </c>
      <c r="AI142" s="21">
        <f>100*(AI8-AI7)</f>
        <v/>
      </c>
      <c r="AJ142" s="21">
        <f>100*(AJ8-AJ7)</f>
        <v/>
      </c>
      <c r="AK142" s="21">
        <f>100*(AK8-AK7)</f>
        <v/>
      </c>
      <c r="AL142" s="21">
        <f>AVERAGE(C142:AK142)</f>
        <v/>
      </c>
    </row>
    <row r="143">
      <c r="A143" s="19">
        <f>A9</f>
        <v/>
      </c>
      <c r="B143" s="20">
        <f>B9</f>
        <v/>
      </c>
      <c r="C143" s="21">
        <f>100*(C9-C8)</f>
        <v/>
      </c>
      <c r="D143" s="21">
        <f>100*(D9-D8)</f>
        <v/>
      </c>
      <c r="E143" s="21">
        <f>100*(E9-E8)</f>
        <v/>
      </c>
      <c r="F143" s="21">
        <f>100*(F9-F8)</f>
        <v/>
      </c>
      <c r="G143" s="21">
        <f>100*(G9-G8)</f>
        <v/>
      </c>
      <c r="H143" s="21">
        <f>100*(H9-H8)</f>
        <v/>
      </c>
      <c r="I143" s="21">
        <f>100*(I9-I8)</f>
        <v/>
      </c>
      <c r="J143" s="21">
        <f>100*(J9-J8)</f>
        <v/>
      </c>
      <c r="K143" s="21">
        <f>100*(K9-K8)</f>
        <v/>
      </c>
      <c r="L143" s="21">
        <f>100*(L9-L8)</f>
        <v/>
      </c>
      <c r="M143" s="21">
        <f>100*(M9-M8)</f>
        <v/>
      </c>
      <c r="N143" s="21">
        <f>100*(N9-N8)</f>
        <v/>
      </c>
      <c r="O143" s="21">
        <f>100*(O9-O8)</f>
        <v/>
      </c>
      <c r="P143" s="21">
        <f>100*(P9-P8)</f>
        <v/>
      </c>
      <c r="Q143" s="21">
        <f>100*(Q9-Q8)</f>
        <v/>
      </c>
      <c r="R143" s="21">
        <f>100*(R9-R8)</f>
        <v/>
      </c>
      <c r="S143" s="21">
        <f>100*(S9-S8)</f>
        <v/>
      </c>
      <c r="T143" s="21">
        <f>100*(T9-T8)</f>
        <v/>
      </c>
      <c r="U143" s="21">
        <f>100*(U9-U8)</f>
        <v/>
      </c>
      <c r="V143" s="21">
        <f>100*(V9-V8)</f>
        <v/>
      </c>
      <c r="W143" s="21">
        <f>100*(W9-W8)</f>
        <v/>
      </c>
      <c r="X143" s="21">
        <f>100*(X9-X8)</f>
        <v/>
      </c>
      <c r="Y143" s="21">
        <f>100*(Y9-Y8)</f>
        <v/>
      </c>
      <c r="Z143" s="21">
        <f>100*(Z9-Z8)</f>
        <v/>
      </c>
      <c r="AA143" s="21">
        <f>100*(AA9-AA8)</f>
        <v/>
      </c>
      <c r="AB143" s="21">
        <f>100*(AB9-AB8)</f>
        <v/>
      </c>
      <c r="AC143" s="21">
        <f>100*(AC9-AC8)</f>
        <v/>
      </c>
      <c r="AD143" s="21">
        <f>100*(AD9-AD8)</f>
        <v/>
      </c>
      <c r="AE143" s="21">
        <f>100*(AE9-AE8)</f>
        <v/>
      </c>
      <c r="AF143" s="21">
        <f>100*(AF9-AF8)</f>
        <v/>
      </c>
      <c r="AG143" s="21">
        <f>100*(AG9-AG8)</f>
        <v/>
      </c>
      <c r="AH143" s="21">
        <f>100*(AH9-AH8)</f>
        <v/>
      </c>
      <c r="AI143" s="21">
        <f>100*(AI9-AI8)</f>
        <v/>
      </c>
      <c r="AJ143" s="21">
        <f>100*(AJ9-AJ8)</f>
        <v/>
      </c>
      <c r="AK143" s="21">
        <f>100*(AK9-AK8)</f>
        <v/>
      </c>
      <c r="AL143" s="21">
        <f>AVERAGE(C143:AK143)</f>
        <v/>
      </c>
    </row>
    <row r="144">
      <c r="A144" s="19">
        <f>A10</f>
        <v/>
      </c>
      <c r="B144" s="20">
        <f>B10</f>
        <v/>
      </c>
      <c r="C144" s="21">
        <f>100*(C10-C9)</f>
        <v/>
      </c>
      <c r="D144" s="21">
        <f>100*(D10-D9)</f>
        <v/>
      </c>
      <c r="E144" s="21">
        <f>100*(E10-E9)</f>
        <v/>
      </c>
      <c r="F144" s="21">
        <f>100*(F10-F9)</f>
        <v/>
      </c>
      <c r="G144" s="21">
        <f>100*(G10-G9)</f>
        <v/>
      </c>
      <c r="H144" s="21">
        <f>100*(H10-H9)</f>
        <v/>
      </c>
      <c r="I144" s="21">
        <f>100*(I10-I9)</f>
        <v/>
      </c>
      <c r="J144" s="21">
        <f>100*(J10-J9)</f>
        <v/>
      </c>
      <c r="K144" s="21">
        <f>100*(K10-K9)</f>
        <v/>
      </c>
      <c r="L144" s="21">
        <f>100*(L10-L9)</f>
        <v/>
      </c>
      <c r="M144" s="21">
        <f>100*(M10-M9)</f>
        <v/>
      </c>
      <c r="N144" s="21">
        <f>100*(N10-N9)</f>
        <v/>
      </c>
      <c r="O144" s="21">
        <f>100*(O10-O9)</f>
        <v/>
      </c>
      <c r="P144" s="21">
        <f>100*(P10-P9)</f>
        <v/>
      </c>
      <c r="Q144" s="21">
        <f>100*(Q10-Q9)</f>
        <v/>
      </c>
      <c r="R144" s="21">
        <f>100*(R10-R9)</f>
        <v/>
      </c>
      <c r="S144" s="21">
        <f>100*(S10-S9)</f>
        <v/>
      </c>
      <c r="T144" s="21">
        <f>100*(T10-T9)</f>
        <v/>
      </c>
      <c r="U144" s="21">
        <f>100*(U10-U9)</f>
        <v/>
      </c>
      <c r="V144" s="21">
        <f>100*(V10-V9)</f>
        <v/>
      </c>
      <c r="W144" s="21">
        <f>100*(W10-W9)</f>
        <v/>
      </c>
      <c r="X144" s="21">
        <f>100*(X10-X9)</f>
        <v/>
      </c>
      <c r="Y144" s="21">
        <f>100*(Y10-Y9)</f>
        <v/>
      </c>
      <c r="Z144" s="21">
        <f>100*(Z10-Z9)</f>
        <v/>
      </c>
      <c r="AA144" s="21">
        <f>100*(AA10-AA9)</f>
        <v/>
      </c>
      <c r="AB144" s="21">
        <f>100*(AB10-AB9)</f>
        <v/>
      </c>
      <c r="AC144" s="21">
        <f>100*(AC10-AC9)</f>
        <v/>
      </c>
      <c r="AD144" s="21">
        <f>100*(AD10-AD9)</f>
        <v/>
      </c>
      <c r="AE144" s="21">
        <f>100*(AE10-AE9)</f>
        <v/>
      </c>
      <c r="AF144" s="21">
        <f>100*(AF10-AF9)</f>
        <v/>
      </c>
      <c r="AG144" s="21">
        <f>100*(AG10-AG9)</f>
        <v/>
      </c>
      <c r="AH144" s="21">
        <f>100*(AH10-AH9)</f>
        <v/>
      </c>
      <c r="AI144" s="21">
        <f>100*(AI10-AI9)</f>
        <v/>
      </c>
      <c r="AJ144" s="21">
        <f>100*(AJ10-AJ9)</f>
        <v/>
      </c>
      <c r="AK144" s="21">
        <f>100*(AK10-AK9)</f>
        <v/>
      </c>
      <c r="AL144" s="21">
        <f>AVERAGE(C144:AK144)</f>
        <v/>
      </c>
    </row>
    <row r="145">
      <c r="A145" s="19">
        <f>A11</f>
        <v/>
      </c>
      <c r="B145" s="20">
        <f>B11</f>
        <v/>
      </c>
      <c r="C145" s="21">
        <f>100*(C11-C10)</f>
        <v/>
      </c>
      <c r="D145" s="21">
        <f>100*(D11-D10)</f>
        <v/>
      </c>
      <c r="E145" s="21">
        <f>100*(E11-E10)</f>
        <v/>
      </c>
      <c r="F145" s="21">
        <f>100*(F11-F10)</f>
        <v/>
      </c>
      <c r="G145" s="21">
        <f>100*(G11-G10)</f>
        <v/>
      </c>
      <c r="H145" s="21">
        <f>100*(H11-H10)</f>
        <v/>
      </c>
      <c r="I145" s="21">
        <f>100*(I11-I10)</f>
        <v/>
      </c>
      <c r="J145" s="21">
        <f>100*(J11-J10)</f>
        <v/>
      </c>
      <c r="K145" s="21">
        <f>100*(K11-K10)</f>
        <v/>
      </c>
      <c r="L145" s="21">
        <f>100*(L11-L10)</f>
        <v/>
      </c>
      <c r="M145" s="21">
        <f>100*(M11-M10)</f>
        <v/>
      </c>
      <c r="N145" s="21">
        <f>100*(N11-N10)</f>
        <v/>
      </c>
      <c r="O145" s="21">
        <f>100*(O11-O10)</f>
        <v/>
      </c>
      <c r="P145" s="21">
        <f>100*(P11-P10)</f>
        <v/>
      </c>
      <c r="Q145" s="21">
        <f>100*(Q11-Q10)</f>
        <v/>
      </c>
      <c r="R145" s="21">
        <f>100*(R11-R10)</f>
        <v/>
      </c>
      <c r="S145" s="21">
        <f>100*(S11-S10)</f>
        <v/>
      </c>
      <c r="T145" s="21">
        <f>100*(T11-T10)</f>
        <v/>
      </c>
      <c r="U145" s="21">
        <f>100*(U11-U10)</f>
        <v/>
      </c>
      <c r="V145" s="21">
        <f>100*(V11-V10)</f>
        <v/>
      </c>
      <c r="W145" s="21">
        <f>100*(W11-W10)</f>
        <v/>
      </c>
      <c r="X145" s="21">
        <f>100*(X11-X10)</f>
        <v/>
      </c>
      <c r="Y145" s="21">
        <f>100*(Y11-Y10)</f>
        <v/>
      </c>
      <c r="Z145" s="21">
        <f>100*(Z11-Z10)</f>
        <v/>
      </c>
      <c r="AA145" s="21">
        <f>100*(AA11-AA10)</f>
        <v/>
      </c>
      <c r="AB145" s="21">
        <f>100*(AB11-AB10)</f>
        <v/>
      </c>
      <c r="AC145" s="21">
        <f>100*(AC11-AC10)</f>
        <v/>
      </c>
      <c r="AD145" s="21">
        <f>100*(AD11-AD10)</f>
        <v/>
      </c>
      <c r="AE145" s="21">
        <f>100*(AE11-AE10)</f>
        <v/>
      </c>
      <c r="AF145" s="21">
        <f>100*(AF11-AF10)</f>
        <v/>
      </c>
      <c r="AG145" s="21">
        <f>100*(AG11-AG10)</f>
        <v/>
      </c>
      <c r="AH145" s="21">
        <f>100*(AH11-AH10)</f>
        <v/>
      </c>
      <c r="AI145" s="21">
        <f>100*(AI11-AI10)</f>
        <v/>
      </c>
      <c r="AJ145" s="21">
        <f>100*(AJ11-AJ10)</f>
        <v/>
      </c>
      <c r="AK145" s="21">
        <f>100*(AK11-AK10)</f>
        <v/>
      </c>
      <c r="AL145" s="21">
        <f>AVERAGE(C145:AK145)</f>
        <v/>
      </c>
    </row>
    <row r="146">
      <c r="A146" s="19">
        <f>A12</f>
        <v/>
      </c>
      <c r="B146" s="20">
        <f>B12</f>
        <v/>
      </c>
      <c r="C146" s="21">
        <f>100*(C12-C11)</f>
        <v/>
      </c>
      <c r="D146" s="21">
        <f>100*(D12-D11)</f>
        <v/>
      </c>
      <c r="E146" s="21">
        <f>100*(E12-E11)</f>
        <v/>
      </c>
      <c r="F146" s="21">
        <f>100*(F12-F11)</f>
        <v/>
      </c>
      <c r="G146" s="21">
        <f>100*(G12-G11)</f>
        <v/>
      </c>
      <c r="H146" s="21">
        <f>100*(H12-H11)</f>
        <v/>
      </c>
      <c r="I146" s="21">
        <f>100*(I12-I11)</f>
        <v/>
      </c>
      <c r="J146" s="21">
        <f>100*(J12-J11)</f>
        <v/>
      </c>
      <c r="K146" s="21">
        <f>100*(K12-K11)</f>
        <v/>
      </c>
      <c r="L146" s="21">
        <f>100*(L12-L11)</f>
        <v/>
      </c>
      <c r="M146" s="21">
        <f>100*(M12-M11)</f>
        <v/>
      </c>
      <c r="N146" s="21">
        <f>100*(N12-N11)</f>
        <v/>
      </c>
      <c r="O146" s="21">
        <f>100*(O12-O11)</f>
        <v/>
      </c>
      <c r="P146" s="21">
        <f>100*(P12-P11)</f>
        <v/>
      </c>
      <c r="Q146" s="21">
        <f>100*(Q12-Q11)</f>
        <v/>
      </c>
      <c r="R146" s="21">
        <f>100*(R12-R11)</f>
        <v/>
      </c>
      <c r="S146" s="21">
        <f>100*(S12-S11)</f>
        <v/>
      </c>
      <c r="T146" s="21">
        <f>100*(T12-T11)</f>
        <v/>
      </c>
      <c r="U146" s="21">
        <f>100*(U12-U11)</f>
        <v/>
      </c>
      <c r="V146" s="21">
        <f>100*(V12-V11)</f>
        <v/>
      </c>
      <c r="W146" s="21">
        <f>100*(W12-W11)</f>
        <v/>
      </c>
      <c r="X146" s="21">
        <f>100*(X12-X11)</f>
        <v/>
      </c>
      <c r="Y146" s="21">
        <f>100*(Y12-Y11)</f>
        <v/>
      </c>
      <c r="Z146" s="21">
        <f>100*(Z12-Z11)</f>
        <v/>
      </c>
      <c r="AA146" s="21">
        <f>100*(AA12-AA11)</f>
        <v/>
      </c>
      <c r="AB146" s="21">
        <f>100*(AB12-AB11)</f>
        <v/>
      </c>
      <c r="AC146" s="21">
        <f>100*(AC12-AC11)</f>
        <v/>
      </c>
      <c r="AD146" s="21">
        <f>100*(AD12-AD11)</f>
        <v/>
      </c>
      <c r="AE146" s="21">
        <f>100*(AE12-AE11)</f>
        <v/>
      </c>
      <c r="AF146" s="21">
        <f>100*(AF12-AF11)</f>
        <v/>
      </c>
      <c r="AG146" s="21">
        <f>100*(AG12-AG11)</f>
        <v/>
      </c>
      <c r="AH146" s="21">
        <f>100*(AH12-AH11)</f>
        <v/>
      </c>
      <c r="AI146" s="21">
        <f>100*(AI12-AI11)</f>
        <v/>
      </c>
      <c r="AJ146" s="21">
        <f>100*(AJ12-AJ11)</f>
        <v/>
      </c>
      <c r="AK146" s="21">
        <f>100*(AK12-AK11)</f>
        <v/>
      </c>
      <c r="AL146" s="21">
        <f>AVERAGE(C146:AK146)</f>
        <v/>
      </c>
    </row>
    <row r="147">
      <c r="A147" s="19">
        <f>A13</f>
        <v/>
      </c>
      <c r="B147" s="20">
        <f>B13</f>
        <v/>
      </c>
      <c r="C147" s="21">
        <f>100*(C13-C12)</f>
        <v/>
      </c>
      <c r="D147" s="21">
        <f>100*(D13-D12)</f>
        <v/>
      </c>
      <c r="E147" s="21">
        <f>100*(E13-E12)</f>
        <v/>
      </c>
      <c r="F147" s="21">
        <f>100*(F13-F12)</f>
        <v/>
      </c>
      <c r="G147" s="21">
        <f>100*(G13-G12)</f>
        <v/>
      </c>
      <c r="H147" s="21">
        <f>100*(H13-H12)</f>
        <v/>
      </c>
      <c r="I147" s="21">
        <f>100*(I13-I12)</f>
        <v/>
      </c>
      <c r="J147" s="21">
        <f>100*(J13-J12)</f>
        <v/>
      </c>
      <c r="K147" s="21">
        <f>100*(K13-K12)</f>
        <v/>
      </c>
      <c r="L147" s="21">
        <f>100*(L13-L12)</f>
        <v/>
      </c>
      <c r="M147" s="21">
        <f>100*(M13-M12)</f>
        <v/>
      </c>
      <c r="N147" s="21">
        <f>100*(N13-N12)</f>
        <v/>
      </c>
      <c r="O147" s="21">
        <f>100*(O13-O12)</f>
        <v/>
      </c>
      <c r="P147" s="21">
        <f>100*(P13-P12)</f>
        <v/>
      </c>
      <c r="Q147" s="21">
        <f>100*(Q13-Q12)</f>
        <v/>
      </c>
      <c r="R147" s="21">
        <f>100*(R13-R12)</f>
        <v/>
      </c>
      <c r="S147" s="21">
        <f>100*(S13-S12)</f>
        <v/>
      </c>
      <c r="T147" s="21">
        <f>100*(T13-T12)</f>
        <v/>
      </c>
      <c r="U147" s="21">
        <f>100*(U13-U12)</f>
        <v/>
      </c>
      <c r="V147" s="21">
        <f>100*(V13-V12)</f>
        <v/>
      </c>
      <c r="W147" s="21">
        <f>100*(W13-W12)</f>
        <v/>
      </c>
      <c r="X147" s="21">
        <f>100*(X13-X12)</f>
        <v/>
      </c>
      <c r="Y147" s="21">
        <f>100*(Y13-Y12)</f>
        <v/>
      </c>
      <c r="Z147" s="21">
        <f>100*(Z13-Z12)</f>
        <v/>
      </c>
      <c r="AA147" s="21">
        <f>100*(AA13-AA12)</f>
        <v/>
      </c>
      <c r="AB147" s="21">
        <f>100*(AB13-AB12)</f>
        <v/>
      </c>
      <c r="AC147" s="21">
        <f>100*(AC13-AC12)</f>
        <v/>
      </c>
      <c r="AD147" s="21">
        <f>100*(AD13-AD12)</f>
        <v/>
      </c>
      <c r="AE147" s="21">
        <f>100*(AE13-AE12)</f>
        <v/>
      </c>
      <c r="AF147" s="21">
        <f>100*(AF13-AF12)</f>
        <v/>
      </c>
      <c r="AG147" s="21">
        <f>100*(AG13-AG12)</f>
        <v/>
      </c>
      <c r="AH147" s="21">
        <f>100*(AH13-AH12)</f>
        <v/>
      </c>
      <c r="AI147" s="21">
        <f>100*(AI13-AI12)</f>
        <v/>
      </c>
      <c r="AJ147" s="21">
        <f>100*(AJ13-AJ12)</f>
        <v/>
      </c>
      <c r="AK147" s="21">
        <f>100*(AK13-AK12)</f>
        <v/>
      </c>
      <c r="AL147" s="21">
        <f>AVERAGE(C147:AK147)</f>
        <v/>
      </c>
    </row>
    <row r="148">
      <c r="A148" s="19">
        <f>A14</f>
        <v/>
      </c>
      <c r="B148" s="20">
        <f>B14</f>
        <v/>
      </c>
      <c r="C148" s="21">
        <f>100*(C14-C13)</f>
        <v/>
      </c>
      <c r="D148" s="21">
        <f>100*(D14-D13)</f>
        <v/>
      </c>
      <c r="E148" s="21">
        <f>100*(E14-E13)</f>
        <v/>
      </c>
      <c r="F148" s="21">
        <f>100*(F14-F13)</f>
        <v/>
      </c>
      <c r="G148" s="21">
        <f>100*(G14-G13)</f>
        <v/>
      </c>
      <c r="H148" s="21">
        <f>100*(H14-H13)</f>
        <v/>
      </c>
      <c r="I148" s="21">
        <f>100*(I14-I13)</f>
        <v/>
      </c>
      <c r="J148" s="21">
        <f>100*(J14-J13)</f>
        <v/>
      </c>
      <c r="K148" s="21">
        <f>100*(K14-K13)</f>
        <v/>
      </c>
      <c r="L148" s="21">
        <f>100*(L14-L13)</f>
        <v/>
      </c>
      <c r="M148" s="21">
        <f>100*(M14-M13)</f>
        <v/>
      </c>
      <c r="N148" s="21">
        <f>100*(N14-N13)</f>
        <v/>
      </c>
      <c r="O148" s="21">
        <f>100*(O14-O13)</f>
        <v/>
      </c>
      <c r="P148" s="21">
        <f>100*(P14-P13)</f>
        <v/>
      </c>
      <c r="Q148" s="21">
        <f>100*(Q14-Q13)</f>
        <v/>
      </c>
      <c r="R148" s="21">
        <f>100*(R14-R13)</f>
        <v/>
      </c>
      <c r="S148" s="21">
        <f>100*(S14-S13)</f>
        <v/>
      </c>
      <c r="T148" s="21">
        <f>100*(T14-T13)</f>
        <v/>
      </c>
      <c r="U148" s="21">
        <f>100*(U14-U13)</f>
        <v/>
      </c>
      <c r="V148" s="21">
        <f>100*(V14-V13)</f>
        <v/>
      </c>
      <c r="W148" s="21">
        <f>100*(W14-W13)</f>
        <v/>
      </c>
      <c r="X148" s="21">
        <f>100*(X14-X13)</f>
        <v/>
      </c>
      <c r="Y148" s="21">
        <f>100*(Y14-Y13)</f>
        <v/>
      </c>
      <c r="Z148" s="21">
        <f>100*(Z14-Z13)</f>
        <v/>
      </c>
      <c r="AA148" s="21">
        <f>100*(AA14-AA13)</f>
        <v/>
      </c>
      <c r="AB148" s="21">
        <f>100*(AB14-AB13)</f>
        <v/>
      </c>
      <c r="AC148" s="21">
        <f>100*(AC14-AC13)</f>
        <v/>
      </c>
      <c r="AD148" s="21">
        <f>100*(AD14-AD13)</f>
        <v/>
      </c>
      <c r="AE148" s="21">
        <f>100*(AE14-AE13)</f>
        <v/>
      </c>
      <c r="AF148" s="21">
        <f>100*(AF14-AF13)</f>
        <v/>
      </c>
      <c r="AG148" s="21">
        <f>100*(AG14-AG13)</f>
        <v/>
      </c>
      <c r="AH148" s="21">
        <f>100*(AH14-AH13)</f>
        <v/>
      </c>
      <c r="AI148" s="21">
        <f>100*(AI14-AI13)</f>
        <v/>
      </c>
      <c r="AJ148" s="21">
        <f>100*(AJ14-AJ13)</f>
        <v/>
      </c>
      <c r="AK148" s="21">
        <f>100*(AK14-AK13)</f>
        <v/>
      </c>
      <c r="AL148" s="21">
        <f>AVERAGE(C148:AK148)</f>
        <v/>
      </c>
    </row>
    <row r="149">
      <c r="A149" s="19">
        <f>A15</f>
        <v/>
      </c>
      <c r="B149" s="20">
        <f>B15</f>
        <v/>
      </c>
      <c r="C149" s="21">
        <f>100*(C15-C14)</f>
        <v/>
      </c>
      <c r="D149" s="21">
        <f>100*(D15-D14)</f>
        <v/>
      </c>
      <c r="E149" s="21">
        <f>100*(E15-E14)</f>
        <v/>
      </c>
      <c r="F149" s="21">
        <f>100*(F15-F14)</f>
        <v/>
      </c>
      <c r="G149" s="21">
        <f>100*(G15-G14)</f>
        <v/>
      </c>
      <c r="H149" s="21">
        <f>100*(H15-H14)</f>
        <v/>
      </c>
      <c r="I149" s="21">
        <f>100*(I15-I14)</f>
        <v/>
      </c>
      <c r="J149" s="21">
        <f>100*(J15-J14)</f>
        <v/>
      </c>
      <c r="K149" s="21">
        <f>100*(K15-K14)</f>
        <v/>
      </c>
      <c r="L149" s="21">
        <f>100*(L15-L14)</f>
        <v/>
      </c>
      <c r="M149" s="21">
        <f>100*(M15-M14)</f>
        <v/>
      </c>
      <c r="N149" s="21">
        <f>100*(N15-N14)</f>
        <v/>
      </c>
      <c r="O149" s="21">
        <f>100*(O15-O14)</f>
        <v/>
      </c>
      <c r="P149" s="21">
        <f>100*(P15-P14)</f>
        <v/>
      </c>
      <c r="Q149" s="21">
        <f>100*(Q15-Q14)</f>
        <v/>
      </c>
      <c r="R149" s="21">
        <f>100*(R15-R14)</f>
        <v/>
      </c>
      <c r="S149" s="21">
        <f>100*(S15-S14)</f>
        <v/>
      </c>
      <c r="T149" s="21">
        <f>100*(T15-T14)</f>
        <v/>
      </c>
      <c r="U149" s="21">
        <f>100*(U15-U14)</f>
        <v/>
      </c>
      <c r="V149" s="21">
        <f>100*(V15-V14)</f>
        <v/>
      </c>
      <c r="W149" s="21">
        <f>100*(W15-W14)</f>
        <v/>
      </c>
      <c r="X149" s="21">
        <f>100*(X15-X14)</f>
        <v/>
      </c>
      <c r="Y149" s="21">
        <f>100*(Y15-Y14)</f>
        <v/>
      </c>
      <c r="Z149" s="21">
        <f>100*(Z15-Z14)</f>
        <v/>
      </c>
      <c r="AA149" s="21">
        <f>100*(AA15-AA14)</f>
        <v/>
      </c>
      <c r="AB149" s="21">
        <f>100*(AB15-AB14)</f>
        <v/>
      </c>
      <c r="AC149" s="21">
        <f>100*(AC15-AC14)</f>
        <v/>
      </c>
      <c r="AD149" s="21">
        <f>100*(AD15-AD14)</f>
        <v/>
      </c>
      <c r="AE149" s="21">
        <f>100*(AE15-AE14)</f>
        <v/>
      </c>
      <c r="AF149" s="21">
        <f>100*(AF15-AF14)</f>
        <v/>
      </c>
      <c r="AG149" s="21">
        <f>100*(AG15-AG14)</f>
        <v/>
      </c>
      <c r="AH149" s="21">
        <f>100*(AH15-AH14)</f>
        <v/>
      </c>
      <c r="AI149" s="21">
        <f>100*(AI15-AI14)</f>
        <v/>
      </c>
      <c r="AJ149" s="21">
        <f>100*(AJ15-AJ14)</f>
        <v/>
      </c>
      <c r="AK149" s="21">
        <f>100*(AK15-AK14)</f>
        <v/>
      </c>
      <c r="AL149" s="21">
        <f>AVERAGE(C149:AK149)</f>
        <v/>
      </c>
    </row>
    <row r="150">
      <c r="A150" s="19">
        <f>A16</f>
        <v/>
      </c>
      <c r="B150" s="20">
        <f>B16</f>
        <v/>
      </c>
      <c r="C150" s="21">
        <f>100*(C16-C15)</f>
        <v/>
      </c>
      <c r="D150" s="21">
        <f>100*(D16-D15)</f>
        <v/>
      </c>
      <c r="E150" s="21">
        <f>100*(E16-E15)</f>
        <v/>
      </c>
      <c r="F150" s="21">
        <f>100*(F16-F15)</f>
        <v/>
      </c>
      <c r="G150" s="21">
        <f>100*(G16-G15)</f>
        <v/>
      </c>
      <c r="H150" s="21">
        <f>100*(H16-H15)</f>
        <v/>
      </c>
      <c r="I150" s="21">
        <f>100*(I16-I15)</f>
        <v/>
      </c>
      <c r="J150" s="21">
        <f>100*(J16-J15)</f>
        <v/>
      </c>
      <c r="K150" s="21">
        <f>100*(K16-K15)</f>
        <v/>
      </c>
      <c r="L150" s="21">
        <f>100*(L16-L15)</f>
        <v/>
      </c>
      <c r="M150" s="21">
        <f>100*(M16-M15)</f>
        <v/>
      </c>
      <c r="N150" s="21">
        <f>100*(N16-N15)</f>
        <v/>
      </c>
      <c r="O150" s="21">
        <f>100*(O16-O15)</f>
        <v/>
      </c>
      <c r="P150" s="21">
        <f>100*(P16-P15)</f>
        <v/>
      </c>
      <c r="Q150" s="21">
        <f>100*(Q16-Q15)</f>
        <v/>
      </c>
      <c r="R150" s="21">
        <f>100*(R16-R15)</f>
        <v/>
      </c>
      <c r="S150" s="21">
        <f>100*(S16-S15)</f>
        <v/>
      </c>
      <c r="T150" s="21">
        <f>100*(T16-T15)</f>
        <v/>
      </c>
      <c r="U150" s="21">
        <f>100*(U16-U15)</f>
        <v/>
      </c>
      <c r="V150" s="21">
        <f>100*(V16-V15)</f>
        <v/>
      </c>
      <c r="W150" s="21">
        <f>100*(W16-W15)</f>
        <v/>
      </c>
      <c r="X150" s="21">
        <f>100*(X16-X15)</f>
        <v/>
      </c>
      <c r="Y150" s="21">
        <f>100*(Y16-Y15)</f>
        <v/>
      </c>
      <c r="Z150" s="21">
        <f>100*(Z16-Z15)</f>
        <v/>
      </c>
      <c r="AA150" s="21">
        <f>100*(AA16-AA15)</f>
        <v/>
      </c>
      <c r="AB150" s="21">
        <f>100*(AB16-AB15)</f>
        <v/>
      </c>
      <c r="AC150" s="21">
        <f>100*(AC16-AC15)</f>
        <v/>
      </c>
      <c r="AD150" s="21">
        <f>100*(AD16-AD15)</f>
        <v/>
      </c>
      <c r="AE150" s="21">
        <f>100*(AE16-AE15)</f>
        <v/>
      </c>
      <c r="AF150" s="21">
        <f>100*(AF16-AF15)</f>
        <v/>
      </c>
      <c r="AG150" s="21">
        <f>100*(AG16-AG15)</f>
        <v/>
      </c>
      <c r="AH150" s="21">
        <f>100*(AH16-AH15)</f>
        <v/>
      </c>
      <c r="AI150" s="21">
        <f>100*(AI16-AI15)</f>
        <v/>
      </c>
      <c r="AJ150" s="21">
        <f>100*(AJ16-AJ15)</f>
        <v/>
      </c>
      <c r="AK150" s="21">
        <f>100*(AK16-AK15)</f>
        <v/>
      </c>
      <c r="AL150" s="21">
        <f>AVERAGE(C150:AK150)</f>
        <v/>
      </c>
    </row>
    <row r="151">
      <c r="A151" s="19">
        <f>A17</f>
        <v/>
      </c>
      <c r="B151" s="20">
        <f>B17</f>
        <v/>
      </c>
      <c r="C151" s="21">
        <f>100*(C17-C16)</f>
        <v/>
      </c>
      <c r="D151" s="21">
        <f>100*(D17-D16)</f>
        <v/>
      </c>
      <c r="E151" s="21">
        <f>100*(E17-E16)</f>
        <v/>
      </c>
      <c r="F151" s="21">
        <f>100*(F17-F16)</f>
        <v/>
      </c>
      <c r="G151" s="21">
        <f>100*(G17-G16)</f>
        <v/>
      </c>
      <c r="H151" s="21">
        <f>100*(H17-H16)</f>
        <v/>
      </c>
      <c r="I151" s="21">
        <f>100*(I17-I16)</f>
        <v/>
      </c>
      <c r="J151" s="21">
        <f>100*(J17-J16)</f>
        <v/>
      </c>
      <c r="K151" s="21">
        <f>100*(K17-K16)</f>
        <v/>
      </c>
      <c r="L151" s="21">
        <f>100*(L17-L16)</f>
        <v/>
      </c>
      <c r="M151" s="21">
        <f>100*(M17-M16)</f>
        <v/>
      </c>
      <c r="N151" s="21">
        <f>100*(N17-N16)</f>
        <v/>
      </c>
      <c r="O151" s="21">
        <f>100*(O17-O16)</f>
        <v/>
      </c>
      <c r="P151" s="21">
        <f>100*(P17-P16)</f>
        <v/>
      </c>
      <c r="Q151" s="21">
        <f>100*(Q17-Q16)</f>
        <v/>
      </c>
      <c r="R151" s="21">
        <f>100*(R17-R16)</f>
        <v/>
      </c>
      <c r="S151" s="21">
        <f>100*(S17-S16)</f>
        <v/>
      </c>
      <c r="T151" s="21">
        <f>100*(T17-T16)</f>
        <v/>
      </c>
      <c r="U151" s="21">
        <f>100*(U17-U16)</f>
        <v/>
      </c>
      <c r="V151" s="21">
        <f>100*(V17-V16)</f>
        <v/>
      </c>
      <c r="W151" s="21">
        <f>100*(W17-W16)</f>
        <v/>
      </c>
      <c r="X151" s="21">
        <f>100*(X17-X16)</f>
        <v/>
      </c>
      <c r="Y151" s="21">
        <f>100*(Y17-Y16)</f>
        <v/>
      </c>
      <c r="Z151" s="21">
        <f>100*(Z17-Z16)</f>
        <v/>
      </c>
      <c r="AA151" s="21">
        <f>100*(AA17-AA16)</f>
        <v/>
      </c>
      <c r="AB151" s="21">
        <f>100*(AB17-AB16)</f>
        <v/>
      </c>
      <c r="AC151" s="21">
        <f>100*(AC17-AC16)</f>
        <v/>
      </c>
      <c r="AD151" s="21">
        <f>100*(AD17-AD16)</f>
        <v/>
      </c>
      <c r="AE151" s="21">
        <f>100*(AE17-AE16)</f>
        <v/>
      </c>
      <c r="AF151" s="21">
        <f>100*(AF17-AF16)</f>
        <v/>
      </c>
      <c r="AG151" s="21">
        <f>100*(AG17-AG16)</f>
        <v/>
      </c>
      <c r="AH151" s="21">
        <f>100*(AH17-AH16)</f>
        <v/>
      </c>
      <c r="AI151" s="21">
        <f>100*(AI17-AI16)</f>
        <v/>
      </c>
      <c r="AJ151" s="21">
        <f>100*(AJ17-AJ16)</f>
        <v/>
      </c>
      <c r="AK151" s="21">
        <f>100*(AK17-AK16)</f>
        <v/>
      </c>
      <c r="AL151" s="21">
        <f>AVERAGE(C151:AK151)</f>
        <v/>
      </c>
    </row>
    <row r="152">
      <c r="A152" s="19">
        <f>A18</f>
        <v/>
      </c>
      <c r="B152" s="20">
        <f>B18</f>
        <v/>
      </c>
      <c r="C152" s="21">
        <f>100*(C18-C17)</f>
        <v/>
      </c>
      <c r="D152" s="21">
        <f>100*(D18-D17)</f>
        <v/>
      </c>
      <c r="E152" s="21">
        <f>100*(E18-E17)</f>
        <v/>
      </c>
      <c r="F152" s="21">
        <f>100*(F18-F17)</f>
        <v/>
      </c>
      <c r="G152" s="21">
        <f>100*(G18-G17)</f>
        <v/>
      </c>
      <c r="H152" s="21">
        <f>100*(H18-H17)</f>
        <v/>
      </c>
      <c r="I152" s="21">
        <f>100*(I18-I17)</f>
        <v/>
      </c>
      <c r="J152" s="21">
        <f>100*(J18-J17)</f>
        <v/>
      </c>
      <c r="K152" s="21">
        <f>100*(K18-K17)</f>
        <v/>
      </c>
      <c r="L152" s="21">
        <f>100*(L18-L17)</f>
        <v/>
      </c>
      <c r="M152" s="21">
        <f>100*(M18-M17)</f>
        <v/>
      </c>
      <c r="N152" s="21">
        <f>100*(N18-N17)</f>
        <v/>
      </c>
      <c r="O152" s="21">
        <f>100*(O18-O17)</f>
        <v/>
      </c>
      <c r="P152" s="21">
        <f>100*(P18-P17)</f>
        <v/>
      </c>
      <c r="Q152" s="21">
        <f>100*(Q18-Q17)</f>
        <v/>
      </c>
      <c r="R152" s="21">
        <f>100*(R18-R17)</f>
        <v/>
      </c>
      <c r="S152" s="21">
        <f>100*(S18-S17)</f>
        <v/>
      </c>
      <c r="T152" s="21">
        <f>100*(T18-T17)</f>
        <v/>
      </c>
      <c r="U152" s="21">
        <f>100*(U18-U17)</f>
        <v/>
      </c>
      <c r="V152" s="21">
        <f>100*(V18-V17)</f>
        <v/>
      </c>
      <c r="W152" s="21">
        <f>100*(W18-W17)</f>
        <v/>
      </c>
      <c r="X152" s="21">
        <f>100*(X18-X17)</f>
        <v/>
      </c>
      <c r="Y152" s="21">
        <f>100*(Y18-Y17)</f>
        <v/>
      </c>
      <c r="Z152" s="21">
        <f>100*(Z18-Z17)</f>
        <v/>
      </c>
      <c r="AA152" s="21">
        <f>100*(AA18-AA17)</f>
        <v/>
      </c>
      <c r="AB152" s="21">
        <f>100*(AB18-AB17)</f>
        <v/>
      </c>
      <c r="AC152" s="21">
        <f>100*(AC18-AC17)</f>
        <v/>
      </c>
      <c r="AD152" s="21">
        <f>100*(AD18-AD17)</f>
        <v/>
      </c>
      <c r="AE152" s="21">
        <f>100*(AE18-AE17)</f>
        <v/>
      </c>
      <c r="AF152" s="21">
        <f>100*(AF18-AF17)</f>
        <v/>
      </c>
      <c r="AG152" s="21">
        <f>100*(AG18-AG17)</f>
        <v/>
      </c>
      <c r="AH152" s="21">
        <f>100*(AH18-AH17)</f>
        <v/>
      </c>
      <c r="AI152" s="21">
        <f>100*(AI18-AI17)</f>
        <v/>
      </c>
      <c r="AJ152" s="21">
        <f>100*(AJ18-AJ17)</f>
        <v/>
      </c>
      <c r="AK152" s="21">
        <f>100*(AK18-AK17)</f>
        <v/>
      </c>
      <c r="AL152" s="21">
        <f>AVERAGE(C152:AK152)</f>
        <v/>
      </c>
    </row>
    <row r="153">
      <c r="A153" s="19">
        <f>A19</f>
        <v/>
      </c>
      <c r="B153" s="20">
        <f>B19</f>
        <v/>
      </c>
      <c r="C153" s="21">
        <f>100*(C19-C18)</f>
        <v/>
      </c>
      <c r="D153" s="21">
        <f>100*(D19-D18)</f>
        <v/>
      </c>
      <c r="E153" s="21">
        <f>100*(E19-E18)</f>
        <v/>
      </c>
      <c r="F153" s="21">
        <f>100*(F19-F18)</f>
        <v/>
      </c>
      <c r="G153" s="21">
        <f>100*(G19-G18)</f>
        <v/>
      </c>
      <c r="H153" s="21">
        <f>100*(H19-H18)</f>
        <v/>
      </c>
      <c r="I153" s="21">
        <f>100*(I19-I18)</f>
        <v/>
      </c>
      <c r="J153" s="21">
        <f>100*(J19-J18)</f>
        <v/>
      </c>
      <c r="K153" s="21">
        <f>100*(K19-K18)</f>
        <v/>
      </c>
      <c r="L153" s="21">
        <f>100*(L19-L18)</f>
        <v/>
      </c>
      <c r="M153" s="21">
        <f>100*(M19-M18)</f>
        <v/>
      </c>
      <c r="N153" s="21">
        <f>100*(N19-N18)</f>
        <v/>
      </c>
      <c r="O153" s="21">
        <f>100*(O19-O18)</f>
        <v/>
      </c>
      <c r="P153" s="21">
        <f>100*(P19-P18)</f>
        <v/>
      </c>
      <c r="Q153" s="21">
        <f>100*(Q19-Q18)</f>
        <v/>
      </c>
      <c r="R153" s="21">
        <f>100*(R19-R18)</f>
        <v/>
      </c>
      <c r="S153" s="21">
        <f>100*(S19-S18)</f>
        <v/>
      </c>
      <c r="T153" s="21">
        <f>100*(T19-T18)</f>
        <v/>
      </c>
      <c r="U153" s="21">
        <f>100*(U19-U18)</f>
        <v/>
      </c>
      <c r="V153" s="21">
        <f>100*(V19-V18)</f>
        <v/>
      </c>
      <c r="W153" s="21">
        <f>100*(W19-W18)</f>
        <v/>
      </c>
      <c r="X153" s="21">
        <f>100*(X19-X18)</f>
        <v/>
      </c>
      <c r="Y153" s="21">
        <f>100*(Y19-Y18)</f>
        <v/>
      </c>
      <c r="Z153" s="21">
        <f>100*(Z19-Z18)</f>
        <v/>
      </c>
      <c r="AA153" s="21">
        <f>100*(AA19-AA18)</f>
        <v/>
      </c>
      <c r="AB153" s="21">
        <f>100*(AB19-AB18)</f>
        <v/>
      </c>
      <c r="AC153" s="21">
        <f>100*(AC19-AC18)</f>
        <v/>
      </c>
      <c r="AD153" s="21">
        <f>100*(AD19-AD18)</f>
        <v/>
      </c>
      <c r="AE153" s="21">
        <f>100*(AE19-AE18)</f>
        <v/>
      </c>
      <c r="AF153" s="21">
        <f>100*(AF19-AF18)</f>
        <v/>
      </c>
      <c r="AG153" s="21">
        <f>100*(AG19-AG18)</f>
        <v/>
      </c>
      <c r="AH153" s="21">
        <f>100*(AH19-AH18)</f>
        <v/>
      </c>
      <c r="AI153" s="21">
        <f>100*(AI19-AI18)</f>
        <v/>
      </c>
      <c r="AJ153" s="21">
        <f>100*(AJ19-AJ18)</f>
        <v/>
      </c>
      <c r="AK153" s="21">
        <f>100*(AK19-AK18)</f>
        <v/>
      </c>
      <c r="AL153" s="21">
        <f>AVERAGE(C153:AK153)</f>
        <v/>
      </c>
    </row>
    <row r="154">
      <c r="A154" s="19">
        <f>A20</f>
        <v/>
      </c>
      <c r="B154" s="20">
        <f>B20</f>
        <v/>
      </c>
      <c r="C154" s="21">
        <f>100*(C20-C19)</f>
        <v/>
      </c>
      <c r="D154" s="21">
        <f>100*(D20-D19)</f>
        <v/>
      </c>
      <c r="E154" s="21">
        <f>100*(E20-E19)</f>
        <v/>
      </c>
      <c r="F154" s="21">
        <f>100*(F20-F19)</f>
        <v/>
      </c>
      <c r="G154" s="21">
        <f>100*(G20-G19)</f>
        <v/>
      </c>
      <c r="H154" s="21">
        <f>100*(H20-H19)</f>
        <v/>
      </c>
      <c r="I154" s="21">
        <f>100*(I20-I19)</f>
        <v/>
      </c>
      <c r="J154" s="21">
        <f>100*(J20-J19)</f>
        <v/>
      </c>
      <c r="K154" s="21">
        <f>100*(K20-K19)</f>
        <v/>
      </c>
      <c r="L154" s="21">
        <f>100*(L20-L19)</f>
        <v/>
      </c>
      <c r="M154" s="21">
        <f>100*(M20-M19)</f>
        <v/>
      </c>
      <c r="N154" s="21">
        <f>100*(N20-N19)</f>
        <v/>
      </c>
      <c r="O154" s="21">
        <f>100*(O20-O19)</f>
        <v/>
      </c>
      <c r="P154" s="21">
        <f>100*(P20-P19)</f>
        <v/>
      </c>
      <c r="Q154" s="21">
        <f>100*(Q20-Q19)</f>
        <v/>
      </c>
      <c r="R154" s="21">
        <f>100*(R20-R19)</f>
        <v/>
      </c>
      <c r="S154" s="21">
        <f>100*(S20-S19)</f>
        <v/>
      </c>
      <c r="T154" s="21">
        <f>100*(T20-T19)</f>
        <v/>
      </c>
      <c r="U154" s="21">
        <f>100*(U20-U19)</f>
        <v/>
      </c>
      <c r="V154" s="21">
        <f>100*(V20-V19)</f>
        <v/>
      </c>
      <c r="W154" s="21">
        <f>100*(W20-W19)</f>
        <v/>
      </c>
      <c r="X154" s="21">
        <f>100*(X20-X19)</f>
        <v/>
      </c>
      <c r="Y154" s="21">
        <f>100*(Y20-Y19)</f>
        <v/>
      </c>
      <c r="Z154" s="21">
        <f>100*(Z20-Z19)</f>
        <v/>
      </c>
      <c r="AA154" s="21">
        <f>100*(AA20-AA19)</f>
        <v/>
      </c>
      <c r="AB154" s="21">
        <f>100*(AB20-AB19)</f>
        <v/>
      </c>
      <c r="AC154" s="21">
        <f>100*(AC20-AC19)</f>
        <v/>
      </c>
      <c r="AD154" s="21">
        <f>100*(AD20-AD19)</f>
        <v/>
      </c>
      <c r="AE154" s="21">
        <f>100*(AE20-AE19)</f>
        <v/>
      </c>
      <c r="AF154" s="21">
        <f>100*(AF20-AF19)</f>
        <v/>
      </c>
      <c r="AG154" s="21">
        <f>100*(AG20-AG19)</f>
        <v/>
      </c>
      <c r="AH154" s="21">
        <f>100*(AH20-AH19)</f>
        <v/>
      </c>
      <c r="AI154" s="21">
        <f>100*(AI20-AI19)</f>
        <v/>
      </c>
      <c r="AJ154" s="21">
        <f>100*(AJ20-AJ19)</f>
        <v/>
      </c>
      <c r="AK154" s="21">
        <f>100*(AK20-AK19)</f>
        <v/>
      </c>
      <c r="AL154" s="21">
        <f>AVERAGE(C154:AK154)</f>
        <v/>
      </c>
    </row>
    <row r="155">
      <c r="A155" s="19">
        <f>A21</f>
        <v/>
      </c>
      <c r="B155" s="20">
        <f>B21</f>
        <v/>
      </c>
      <c r="C155" s="21">
        <f>100*(C21-C20)</f>
        <v/>
      </c>
      <c r="D155" s="21">
        <f>100*(D21-D20)</f>
        <v/>
      </c>
      <c r="E155" s="21">
        <f>100*(E21-E20)</f>
        <v/>
      </c>
      <c r="F155" s="21">
        <f>100*(F21-F20)</f>
        <v/>
      </c>
      <c r="G155" s="21">
        <f>100*(G21-G20)</f>
        <v/>
      </c>
      <c r="H155" s="21">
        <f>100*(H21-H20)</f>
        <v/>
      </c>
      <c r="I155" s="21">
        <f>100*(I21-I20)</f>
        <v/>
      </c>
      <c r="J155" s="21">
        <f>100*(J21-J20)</f>
        <v/>
      </c>
      <c r="K155" s="21">
        <f>100*(K21-K20)</f>
        <v/>
      </c>
      <c r="L155" s="21">
        <f>100*(L21-L20)</f>
        <v/>
      </c>
      <c r="M155" s="21">
        <f>100*(M21-M20)</f>
        <v/>
      </c>
      <c r="N155" s="21">
        <f>100*(N21-N20)</f>
        <v/>
      </c>
      <c r="O155" s="21">
        <f>100*(O21-O20)</f>
        <v/>
      </c>
      <c r="P155" s="21">
        <f>100*(P21-P20)</f>
        <v/>
      </c>
      <c r="Q155" s="21">
        <f>100*(Q21-Q20)</f>
        <v/>
      </c>
      <c r="R155" s="21">
        <f>100*(R21-R20)</f>
        <v/>
      </c>
      <c r="S155" s="21">
        <f>100*(S21-S20)</f>
        <v/>
      </c>
      <c r="T155" s="21">
        <f>100*(T21-T20)</f>
        <v/>
      </c>
      <c r="U155" s="21">
        <f>100*(U21-U20)</f>
        <v/>
      </c>
      <c r="V155" s="21">
        <f>100*(V21-V20)</f>
        <v/>
      </c>
      <c r="W155" s="21">
        <f>100*(W21-W20)</f>
        <v/>
      </c>
      <c r="X155" s="21">
        <f>100*(X21-X20)</f>
        <v/>
      </c>
      <c r="Y155" s="21">
        <f>100*(Y21-Y20)</f>
        <v/>
      </c>
      <c r="Z155" s="21">
        <f>100*(Z21-Z20)</f>
        <v/>
      </c>
      <c r="AA155" s="21">
        <f>100*(AA21-AA20)</f>
        <v/>
      </c>
      <c r="AB155" s="21">
        <f>100*(AB21-AB20)</f>
        <v/>
      </c>
      <c r="AC155" s="21">
        <f>100*(AC21-AC20)</f>
        <v/>
      </c>
      <c r="AD155" s="21">
        <f>100*(AD21-AD20)</f>
        <v/>
      </c>
      <c r="AE155" s="21">
        <f>100*(AE21-AE20)</f>
        <v/>
      </c>
      <c r="AF155" s="21">
        <f>100*(AF21-AF20)</f>
        <v/>
      </c>
      <c r="AG155" s="21">
        <f>100*(AG21-AG20)</f>
        <v/>
      </c>
      <c r="AH155" s="21">
        <f>100*(AH21-AH20)</f>
        <v/>
      </c>
      <c r="AI155" s="21">
        <f>100*(AI21-AI20)</f>
        <v/>
      </c>
      <c r="AJ155" s="21">
        <f>100*(AJ21-AJ20)</f>
        <v/>
      </c>
      <c r="AK155" s="21">
        <f>100*(AK21-AK20)</f>
        <v/>
      </c>
      <c r="AL155" s="21">
        <f>AVERAGE(C155:AK155)</f>
        <v/>
      </c>
    </row>
    <row r="156">
      <c r="A156" s="19">
        <f>A22</f>
        <v/>
      </c>
      <c r="B156" s="20">
        <f>B22</f>
        <v/>
      </c>
      <c r="C156" s="21">
        <f>100*(C22-C21)</f>
        <v/>
      </c>
      <c r="D156" s="21">
        <f>100*(D22-D21)</f>
        <v/>
      </c>
      <c r="E156" s="21">
        <f>100*(E22-E21)</f>
        <v/>
      </c>
      <c r="F156" s="21">
        <f>100*(F22-F21)</f>
        <v/>
      </c>
      <c r="G156" s="21">
        <f>100*(G22-G21)</f>
        <v/>
      </c>
      <c r="H156" s="21">
        <f>100*(H22-H21)</f>
        <v/>
      </c>
      <c r="I156" s="21">
        <f>100*(I22-I21)</f>
        <v/>
      </c>
      <c r="J156" s="21">
        <f>100*(J22-J21)</f>
        <v/>
      </c>
      <c r="K156" s="21">
        <f>100*(K22-K21)</f>
        <v/>
      </c>
      <c r="L156" s="21">
        <f>100*(L22-L21)</f>
        <v/>
      </c>
      <c r="M156" s="21">
        <f>100*(M22-M21)</f>
        <v/>
      </c>
      <c r="N156" s="21">
        <f>100*(N22-N21)</f>
        <v/>
      </c>
      <c r="O156" s="21">
        <f>100*(O22-O21)</f>
        <v/>
      </c>
      <c r="P156" s="21">
        <f>100*(P22-P21)</f>
        <v/>
      </c>
      <c r="Q156" s="21">
        <f>100*(Q22-Q21)</f>
        <v/>
      </c>
      <c r="R156" s="21">
        <f>100*(R22-R21)</f>
        <v/>
      </c>
      <c r="S156" s="21">
        <f>100*(S22-S21)</f>
        <v/>
      </c>
      <c r="T156" s="21">
        <f>100*(T22-T21)</f>
        <v/>
      </c>
      <c r="U156" s="21">
        <f>100*(U22-U21)</f>
        <v/>
      </c>
      <c r="V156" s="21">
        <f>100*(V22-V21)</f>
        <v/>
      </c>
      <c r="W156" s="21">
        <f>100*(W22-W21)</f>
        <v/>
      </c>
      <c r="X156" s="21">
        <f>100*(X22-X21)</f>
        <v/>
      </c>
      <c r="Y156" s="21">
        <f>100*(Y22-Y21)</f>
        <v/>
      </c>
      <c r="Z156" s="21">
        <f>100*(Z22-Z21)</f>
        <v/>
      </c>
      <c r="AA156" s="21">
        <f>100*(AA22-AA21)</f>
        <v/>
      </c>
      <c r="AB156" s="21">
        <f>100*(AB22-AB21)</f>
        <v/>
      </c>
      <c r="AC156" s="21">
        <f>100*(AC22-AC21)</f>
        <v/>
      </c>
      <c r="AD156" s="21">
        <f>100*(AD22-AD21)</f>
        <v/>
      </c>
      <c r="AE156" s="21">
        <f>100*(AE22-AE21)</f>
        <v/>
      </c>
      <c r="AF156" s="21">
        <f>100*(AF22-AF21)</f>
        <v/>
      </c>
      <c r="AG156" s="21">
        <f>100*(AG22-AG21)</f>
        <v/>
      </c>
      <c r="AH156" s="21">
        <f>100*(AH22-AH21)</f>
        <v/>
      </c>
      <c r="AI156" s="21">
        <f>100*(AI22-AI21)</f>
        <v/>
      </c>
      <c r="AJ156" s="21">
        <f>100*(AJ22-AJ21)</f>
        <v/>
      </c>
      <c r="AK156" s="21">
        <f>100*(AK22-AK21)</f>
        <v/>
      </c>
      <c r="AL156" s="21">
        <f>AVERAGE(C156:AK156)</f>
        <v/>
      </c>
    </row>
    <row r="157">
      <c r="A157" s="19">
        <f>A23</f>
        <v/>
      </c>
      <c r="B157" s="20">
        <f>B23</f>
        <v/>
      </c>
      <c r="C157" s="21">
        <f>100*(C23-C22)</f>
        <v/>
      </c>
      <c r="D157" s="21">
        <f>100*(D23-D22)</f>
        <v/>
      </c>
      <c r="E157" s="21">
        <f>100*(E23-E22)</f>
        <v/>
      </c>
      <c r="F157" s="21">
        <f>100*(F23-F22)</f>
        <v/>
      </c>
      <c r="G157" s="21">
        <f>100*(G23-G22)</f>
        <v/>
      </c>
      <c r="H157" s="21">
        <f>100*(H23-H22)</f>
        <v/>
      </c>
      <c r="I157" s="21">
        <f>100*(I23-I22)</f>
        <v/>
      </c>
      <c r="J157" s="21">
        <f>100*(J23-J22)</f>
        <v/>
      </c>
      <c r="K157" s="21">
        <f>100*(K23-K22)</f>
        <v/>
      </c>
      <c r="L157" s="21">
        <f>100*(L23-L22)</f>
        <v/>
      </c>
      <c r="M157" s="21">
        <f>100*(M23-M22)</f>
        <v/>
      </c>
      <c r="N157" s="21">
        <f>100*(N23-N22)</f>
        <v/>
      </c>
      <c r="O157" s="21">
        <f>100*(O23-O22)</f>
        <v/>
      </c>
      <c r="P157" s="21">
        <f>100*(P23-P22)</f>
        <v/>
      </c>
      <c r="Q157" s="21">
        <f>100*(Q23-Q22)</f>
        <v/>
      </c>
      <c r="R157" s="21">
        <f>100*(R23-R22)</f>
        <v/>
      </c>
      <c r="S157" s="21">
        <f>100*(S23-S22)</f>
        <v/>
      </c>
      <c r="T157" s="21">
        <f>100*(T23-T22)</f>
        <v/>
      </c>
      <c r="U157" s="21">
        <f>100*(U23-U22)</f>
        <v/>
      </c>
      <c r="V157" s="21">
        <f>100*(V23-V22)</f>
        <v/>
      </c>
      <c r="W157" s="21">
        <f>100*(W23-W22)</f>
        <v/>
      </c>
      <c r="X157" s="21">
        <f>100*(X23-X22)</f>
        <v/>
      </c>
      <c r="Y157" s="21">
        <f>100*(Y23-Y22)</f>
        <v/>
      </c>
      <c r="Z157" s="21">
        <f>100*(Z23-Z22)</f>
        <v/>
      </c>
      <c r="AA157" s="21">
        <f>100*(AA23-AA22)</f>
        <v/>
      </c>
      <c r="AB157" s="21">
        <f>100*(AB23-AB22)</f>
        <v/>
      </c>
      <c r="AC157" s="21">
        <f>100*(AC23-AC22)</f>
        <v/>
      </c>
      <c r="AD157" s="21">
        <f>100*(AD23-AD22)</f>
        <v/>
      </c>
      <c r="AE157" s="21">
        <f>100*(AE23-AE22)</f>
        <v/>
      </c>
      <c r="AF157" s="21">
        <f>100*(AF23-AF22)</f>
        <v/>
      </c>
      <c r="AG157" s="21">
        <f>100*(AG23-AG22)</f>
        <v/>
      </c>
      <c r="AH157" s="21">
        <f>100*(AH23-AH22)</f>
        <v/>
      </c>
      <c r="AI157" s="21">
        <f>100*(AI23-AI22)</f>
        <v/>
      </c>
      <c r="AJ157" s="21">
        <f>100*(AJ23-AJ22)</f>
        <v/>
      </c>
      <c r="AK157" s="21">
        <f>100*(AK23-AK22)</f>
        <v/>
      </c>
      <c r="AL157" s="21">
        <f>AVERAGE(C157:AK157)</f>
        <v/>
      </c>
    </row>
    <row r="158">
      <c r="A158" s="19">
        <f>A24</f>
        <v/>
      </c>
      <c r="B158" s="20">
        <f>B24</f>
        <v/>
      </c>
      <c r="C158" s="21">
        <f>100*(C24-C23)</f>
        <v/>
      </c>
      <c r="D158" s="21">
        <f>100*(D24-D23)</f>
        <v/>
      </c>
      <c r="E158" s="21">
        <f>100*(E24-E23)</f>
        <v/>
      </c>
      <c r="F158" s="21">
        <f>100*(F24-F23)</f>
        <v/>
      </c>
      <c r="G158" s="21">
        <f>100*(G24-G23)</f>
        <v/>
      </c>
      <c r="H158" s="21">
        <f>100*(H24-H23)</f>
        <v/>
      </c>
      <c r="I158" s="21">
        <f>100*(I24-I23)</f>
        <v/>
      </c>
      <c r="J158" s="21">
        <f>100*(J24-J23)</f>
        <v/>
      </c>
      <c r="K158" s="21">
        <f>100*(K24-K23)</f>
        <v/>
      </c>
      <c r="L158" s="21">
        <f>100*(L24-L23)</f>
        <v/>
      </c>
      <c r="M158" s="21">
        <f>100*(M24-M23)</f>
        <v/>
      </c>
      <c r="N158" s="21">
        <f>100*(N24-N23)</f>
        <v/>
      </c>
      <c r="O158" s="21">
        <f>100*(O24-O23)</f>
        <v/>
      </c>
      <c r="P158" s="21">
        <f>100*(P24-P23)</f>
        <v/>
      </c>
      <c r="Q158" s="21">
        <f>100*(Q24-Q23)</f>
        <v/>
      </c>
      <c r="R158" s="21">
        <f>100*(R24-R23)</f>
        <v/>
      </c>
      <c r="S158" s="21">
        <f>100*(S24-S23)</f>
        <v/>
      </c>
      <c r="T158" s="21">
        <f>100*(T24-T23)</f>
        <v/>
      </c>
      <c r="U158" s="21">
        <f>100*(U24-U23)</f>
        <v/>
      </c>
      <c r="V158" s="21">
        <f>100*(V24-V23)</f>
        <v/>
      </c>
      <c r="W158" s="21">
        <f>100*(W24-W23)</f>
        <v/>
      </c>
      <c r="X158" s="21">
        <f>100*(X24-X23)</f>
        <v/>
      </c>
      <c r="Y158" s="21">
        <f>100*(Y24-Y23)</f>
        <v/>
      </c>
      <c r="Z158" s="21">
        <f>100*(Z24-Z23)</f>
        <v/>
      </c>
      <c r="AA158" s="21">
        <f>100*(AA24-AA23)</f>
        <v/>
      </c>
      <c r="AB158" s="21">
        <f>100*(AB24-AB23)</f>
        <v/>
      </c>
      <c r="AC158" s="21">
        <f>100*(AC24-AC23)</f>
        <v/>
      </c>
      <c r="AD158" s="21">
        <f>100*(AD24-AD23)</f>
        <v/>
      </c>
      <c r="AE158" s="21">
        <f>100*(AE24-AE23)</f>
        <v/>
      </c>
      <c r="AF158" s="21">
        <f>100*(AF24-AF23)</f>
        <v/>
      </c>
      <c r="AG158" s="21">
        <f>100*(AG24-AG23)</f>
        <v/>
      </c>
      <c r="AH158" s="21">
        <f>100*(AH24-AH23)</f>
        <v/>
      </c>
      <c r="AI158" s="21">
        <f>100*(AI24-AI23)</f>
        <v/>
      </c>
      <c r="AJ158" s="21">
        <f>100*(AJ24-AJ23)</f>
        <v/>
      </c>
      <c r="AK158" s="21">
        <f>100*(AK24-AK23)</f>
        <v/>
      </c>
      <c r="AL158" s="21">
        <f>AVERAGE(C158:AK158)</f>
        <v/>
      </c>
    </row>
    <row r="159">
      <c r="A159" s="19">
        <f>A25</f>
        <v/>
      </c>
      <c r="B159" s="20">
        <f>B25</f>
        <v/>
      </c>
      <c r="C159" s="21">
        <f>100*(C25-C24)</f>
        <v/>
      </c>
      <c r="D159" s="21">
        <f>100*(D25-D24)</f>
        <v/>
      </c>
      <c r="E159" s="21">
        <f>100*(E25-E24)</f>
        <v/>
      </c>
      <c r="F159" s="21">
        <f>100*(F25-F24)</f>
        <v/>
      </c>
      <c r="G159" s="21">
        <f>100*(G25-G24)</f>
        <v/>
      </c>
      <c r="H159" s="21">
        <f>100*(H25-H24)</f>
        <v/>
      </c>
      <c r="I159" s="21">
        <f>100*(I25-I24)</f>
        <v/>
      </c>
      <c r="J159" s="21">
        <f>100*(J25-J24)</f>
        <v/>
      </c>
      <c r="K159" s="21">
        <f>100*(K25-K24)</f>
        <v/>
      </c>
      <c r="L159" s="21">
        <f>100*(L25-L24)</f>
        <v/>
      </c>
      <c r="M159" s="21">
        <f>100*(M25-M24)</f>
        <v/>
      </c>
      <c r="N159" s="21">
        <f>100*(N25-N24)</f>
        <v/>
      </c>
      <c r="O159" s="21">
        <f>100*(O25-O24)</f>
        <v/>
      </c>
      <c r="P159" s="21">
        <f>100*(P25-P24)</f>
        <v/>
      </c>
      <c r="Q159" s="21">
        <f>100*(Q25-Q24)</f>
        <v/>
      </c>
      <c r="R159" s="21">
        <f>100*(R25-R24)</f>
        <v/>
      </c>
      <c r="S159" s="21">
        <f>100*(S25-S24)</f>
        <v/>
      </c>
      <c r="T159" s="21">
        <f>100*(T25-T24)</f>
        <v/>
      </c>
      <c r="U159" s="21">
        <f>100*(U25-U24)</f>
        <v/>
      </c>
      <c r="V159" s="21">
        <f>100*(V25-V24)</f>
        <v/>
      </c>
      <c r="W159" s="21">
        <f>100*(W25-W24)</f>
        <v/>
      </c>
      <c r="X159" s="21">
        <f>100*(X25-X24)</f>
        <v/>
      </c>
      <c r="Y159" s="21">
        <f>100*(Y25-Y24)</f>
        <v/>
      </c>
      <c r="Z159" s="21">
        <f>100*(Z25-Z24)</f>
        <v/>
      </c>
      <c r="AA159" s="21">
        <f>100*(AA25-AA24)</f>
        <v/>
      </c>
      <c r="AB159" s="21">
        <f>100*(AB25-AB24)</f>
        <v/>
      </c>
      <c r="AC159" s="21">
        <f>100*(AC25-AC24)</f>
        <v/>
      </c>
      <c r="AD159" s="21">
        <f>100*(AD25-AD24)</f>
        <v/>
      </c>
      <c r="AE159" s="21">
        <f>100*(AE25-AE24)</f>
        <v/>
      </c>
      <c r="AF159" s="21">
        <f>100*(AF25-AF24)</f>
        <v/>
      </c>
      <c r="AG159" s="21">
        <f>100*(AG25-AG24)</f>
        <v/>
      </c>
      <c r="AH159" s="21">
        <f>100*(AH25-AH24)</f>
        <v/>
      </c>
      <c r="AI159" s="21">
        <f>100*(AI25-AI24)</f>
        <v/>
      </c>
      <c r="AJ159" s="21">
        <f>100*(AJ25-AJ24)</f>
        <v/>
      </c>
      <c r="AK159" s="21">
        <f>100*(AK25-AK24)</f>
        <v/>
      </c>
      <c r="AL159" s="21">
        <f>AVERAGE(C159:AK159)</f>
        <v/>
      </c>
    </row>
    <row r="160">
      <c r="A160" s="19">
        <f>A26</f>
        <v/>
      </c>
      <c r="B160" s="20">
        <f>B26</f>
        <v/>
      </c>
      <c r="C160" s="21">
        <f>100*(C26-C25)</f>
        <v/>
      </c>
      <c r="D160" s="21">
        <f>100*(D26-D25)</f>
        <v/>
      </c>
      <c r="E160" s="21">
        <f>100*(E26-E25)</f>
        <v/>
      </c>
      <c r="F160" s="21">
        <f>100*(F26-F25)</f>
        <v/>
      </c>
      <c r="G160" s="21">
        <f>100*(G26-G25)</f>
        <v/>
      </c>
      <c r="H160" s="21">
        <f>100*(H26-H25)</f>
        <v/>
      </c>
      <c r="I160" s="21">
        <f>100*(I26-I25)</f>
        <v/>
      </c>
      <c r="J160" s="21">
        <f>100*(J26-J25)</f>
        <v/>
      </c>
      <c r="K160" s="21">
        <f>100*(K26-K25)</f>
        <v/>
      </c>
      <c r="L160" s="21">
        <f>100*(L26-L25)</f>
        <v/>
      </c>
      <c r="M160" s="21">
        <f>100*(M26-M25)</f>
        <v/>
      </c>
      <c r="N160" s="21">
        <f>100*(N26-N25)</f>
        <v/>
      </c>
      <c r="O160" s="21">
        <f>100*(O26-O25)</f>
        <v/>
      </c>
      <c r="P160" s="21">
        <f>100*(P26-P25)</f>
        <v/>
      </c>
      <c r="Q160" s="21">
        <f>100*(Q26-Q25)</f>
        <v/>
      </c>
      <c r="R160" s="21">
        <f>100*(R26-R25)</f>
        <v/>
      </c>
      <c r="S160" s="21">
        <f>100*(S26-S25)</f>
        <v/>
      </c>
      <c r="T160" s="21">
        <f>100*(T26-T25)</f>
        <v/>
      </c>
      <c r="U160" s="21">
        <f>100*(U26-U25)</f>
        <v/>
      </c>
      <c r="V160" s="21">
        <f>100*(V26-V25)</f>
        <v/>
      </c>
      <c r="W160" s="21">
        <f>100*(W26-W25)</f>
        <v/>
      </c>
      <c r="X160" s="21">
        <f>100*(X26-X25)</f>
        <v/>
      </c>
      <c r="Y160" s="21">
        <f>100*(Y26-Y25)</f>
        <v/>
      </c>
      <c r="Z160" s="21">
        <f>100*(Z26-Z25)</f>
        <v/>
      </c>
      <c r="AA160" s="21">
        <f>100*(AA26-AA25)</f>
        <v/>
      </c>
      <c r="AB160" s="21">
        <f>100*(AB26-AB25)</f>
        <v/>
      </c>
      <c r="AC160" s="21">
        <f>100*(AC26-AC25)</f>
        <v/>
      </c>
      <c r="AD160" s="21">
        <f>100*(AD26-AD25)</f>
        <v/>
      </c>
      <c r="AE160" s="21">
        <f>100*(AE26-AE25)</f>
        <v/>
      </c>
      <c r="AF160" s="21">
        <f>100*(AF26-AF25)</f>
        <v/>
      </c>
      <c r="AG160" s="21">
        <f>100*(AG26-AG25)</f>
        <v/>
      </c>
      <c r="AH160" s="21">
        <f>100*(AH26-AH25)</f>
        <v/>
      </c>
      <c r="AI160" s="21">
        <f>100*(AI26-AI25)</f>
        <v/>
      </c>
      <c r="AJ160" s="21">
        <f>100*(AJ26-AJ25)</f>
        <v/>
      </c>
      <c r="AK160" s="21">
        <f>100*(AK26-AK25)</f>
        <v/>
      </c>
      <c r="AL160" s="21">
        <f>AVERAGE(C160:AK160)</f>
        <v/>
      </c>
    </row>
    <row r="161">
      <c r="A161" s="19">
        <f>A27</f>
        <v/>
      </c>
      <c r="B161" s="20">
        <f>B27</f>
        <v/>
      </c>
      <c r="C161" s="21">
        <f>100*(C27-C26)</f>
        <v/>
      </c>
      <c r="D161" s="21">
        <f>100*(D27-D26)</f>
        <v/>
      </c>
      <c r="E161" s="21">
        <f>100*(E27-E26)</f>
        <v/>
      </c>
      <c r="F161" s="21">
        <f>100*(F27-F26)</f>
        <v/>
      </c>
      <c r="G161" s="21">
        <f>100*(G27-G26)</f>
        <v/>
      </c>
      <c r="H161" s="21">
        <f>100*(H27-H26)</f>
        <v/>
      </c>
      <c r="I161" s="21">
        <f>100*(I27-I26)</f>
        <v/>
      </c>
      <c r="J161" s="21">
        <f>100*(J27-J26)</f>
        <v/>
      </c>
      <c r="K161" s="21">
        <f>100*(K27-K26)</f>
        <v/>
      </c>
      <c r="L161" s="21">
        <f>100*(L27-L26)</f>
        <v/>
      </c>
      <c r="M161" s="21">
        <f>100*(M27-M26)</f>
        <v/>
      </c>
      <c r="N161" s="21">
        <f>100*(N27-N26)</f>
        <v/>
      </c>
      <c r="O161" s="21">
        <f>100*(O27-O26)</f>
        <v/>
      </c>
      <c r="P161" s="21">
        <f>100*(P27-P26)</f>
        <v/>
      </c>
      <c r="Q161" s="21">
        <f>100*(Q27-Q26)</f>
        <v/>
      </c>
      <c r="R161" s="21">
        <f>100*(R27-R26)</f>
        <v/>
      </c>
      <c r="S161" s="21">
        <f>100*(S27-S26)</f>
        <v/>
      </c>
      <c r="T161" s="21">
        <f>100*(T27-T26)</f>
        <v/>
      </c>
      <c r="U161" s="21">
        <f>100*(U27-U26)</f>
        <v/>
      </c>
      <c r="V161" s="21">
        <f>100*(V27-V26)</f>
        <v/>
      </c>
      <c r="W161" s="21">
        <f>100*(W27-W26)</f>
        <v/>
      </c>
      <c r="X161" s="21">
        <f>100*(X27-X26)</f>
        <v/>
      </c>
      <c r="Y161" s="21">
        <f>100*(Y27-Y26)</f>
        <v/>
      </c>
      <c r="Z161" s="21">
        <f>100*(Z27-Z26)</f>
        <v/>
      </c>
      <c r="AA161" s="21">
        <f>100*(AA27-AA26)</f>
        <v/>
      </c>
      <c r="AB161" s="21">
        <f>100*(AB27-AB26)</f>
        <v/>
      </c>
      <c r="AC161" s="21">
        <f>100*(AC27-AC26)</f>
        <v/>
      </c>
      <c r="AD161" s="21">
        <f>100*(AD27-AD26)</f>
        <v/>
      </c>
      <c r="AE161" s="21">
        <f>100*(AE27-AE26)</f>
        <v/>
      </c>
      <c r="AF161" s="21">
        <f>100*(AF27-AF26)</f>
        <v/>
      </c>
      <c r="AG161" s="21">
        <f>100*(AG27-AG26)</f>
        <v/>
      </c>
      <c r="AH161" s="21">
        <f>100*(AH27-AH26)</f>
        <v/>
      </c>
      <c r="AI161" s="21">
        <f>100*(AI27-AI26)</f>
        <v/>
      </c>
      <c r="AJ161" s="21">
        <f>100*(AJ27-AJ26)</f>
        <v/>
      </c>
      <c r="AK161" s="21">
        <f>100*(AK27-AK26)</f>
        <v/>
      </c>
      <c r="AL161" s="21">
        <f>AVERAGE(C161:AK161)</f>
        <v/>
      </c>
    </row>
    <row r="162">
      <c r="A162" s="19">
        <f>A28</f>
        <v/>
      </c>
      <c r="B162" s="20">
        <f>B28</f>
        <v/>
      </c>
      <c r="C162" s="21">
        <f>100*(C28-C27)</f>
        <v/>
      </c>
      <c r="D162" s="21">
        <f>100*(D28-D27)</f>
        <v/>
      </c>
      <c r="E162" s="21">
        <f>100*(E28-E27)</f>
        <v/>
      </c>
      <c r="F162" s="21">
        <f>100*(F28-F27)</f>
        <v/>
      </c>
      <c r="G162" s="21">
        <f>100*(G28-G27)</f>
        <v/>
      </c>
      <c r="H162" s="21">
        <f>100*(H28-H27)</f>
        <v/>
      </c>
      <c r="I162" s="21">
        <f>100*(I28-I27)</f>
        <v/>
      </c>
      <c r="J162" s="21">
        <f>100*(J28-J27)</f>
        <v/>
      </c>
      <c r="K162" s="21">
        <f>100*(K28-K27)</f>
        <v/>
      </c>
      <c r="L162" s="21">
        <f>100*(L28-L27)</f>
        <v/>
      </c>
      <c r="M162" s="21">
        <f>100*(M28-M27)</f>
        <v/>
      </c>
      <c r="N162" s="21">
        <f>100*(N28-N27)</f>
        <v/>
      </c>
      <c r="O162" s="21">
        <f>100*(O28-O27)</f>
        <v/>
      </c>
      <c r="P162" s="21">
        <f>100*(P28-P27)</f>
        <v/>
      </c>
      <c r="Q162" s="21">
        <f>100*(Q28-Q27)</f>
        <v/>
      </c>
      <c r="R162" s="21">
        <f>100*(R28-R27)</f>
        <v/>
      </c>
      <c r="S162" s="21">
        <f>100*(S28-S27)</f>
        <v/>
      </c>
      <c r="T162" s="21">
        <f>100*(T28-T27)</f>
        <v/>
      </c>
      <c r="U162" s="21">
        <f>100*(U28-U27)</f>
        <v/>
      </c>
      <c r="V162" s="21">
        <f>100*(V28-V27)</f>
        <v/>
      </c>
      <c r="W162" s="21">
        <f>100*(W28-W27)</f>
        <v/>
      </c>
      <c r="X162" s="21">
        <f>100*(X28-X27)</f>
        <v/>
      </c>
      <c r="Y162" s="21">
        <f>100*(Y28-Y27)</f>
        <v/>
      </c>
      <c r="Z162" s="21">
        <f>100*(Z28-Z27)</f>
        <v/>
      </c>
      <c r="AA162" s="21">
        <f>100*(AA28-AA27)</f>
        <v/>
      </c>
      <c r="AB162" s="21">
        <f>100*(AB28-AB27)</f>
        <v/>
      </c>
      <c r="AC162" s="21">
        <f>100*(AC28-AC27)</f>
        <v/>
      </c>
      <c r="AD162" s="21">
        <f>100*(AD28-AD27)</f>
        <v/>
      </c>
      <c r="AE162" s="21">
        <f>100*(AE28-AE27)</f>
        <v/>
      </c>
      <c r="AF162" s="21">
        <f>100*(AF28-AF27)</f>
        <v/>
      </c>
      <c r="AG162" s="21">
        <f>100*(AG28-AG27)</f>
        <v/>
      </c>
      <c r="AH162" s="21">
        <f>100*(AH28-AH27)</f>
        <v/>
      </c>
      <c r="AI162" s="21">
        <f>100*(AI28-AI27)</f>
        <v/>
      </c>
      <c r="AJ162" s="21">
        <f>100*(AJ28-AJ27)</f>
        <v/>
      </c>
      <c r="AK162" s="21">
        <f>100*(AK28-AK27)</f>
        <v/>
      </c>
      <c r="AL162" s="21">
        <f>AVERAGE(C162:AK162)</f>
        <v/>
      </c>
    </row>
    <row r="163">
      <c r="A163" s="19">
        <f>A29</f>
        <v/>
      </c>
      <c r="B163" s="20">
        <f>B29</f>
        <v/>
      </c>
      <c r="C163" s="21">
        <f>100*(C29-C28)</f>
        <v/>
      </c>
      <c r="D163" s="21">
        <f>100*(D29-D28)</f>
        <v/>
      </c>
      <c r="E163" s="21">
        <f>100*(E29-E28)</f>
        <v/>
      </c>
      <c r="F163" s="21">
        <f>100*(F29-F28)</f>
        <v/>
      </c>
      <c r="G163" s="21">
        <f>100*(G29-G28)</f>
        <v/>
      </c>
      <c r="H163" s="21">
        <f>100*(H29-H28)</f>
        <v/>
      </c>
      <c r="I163" s="21">
        <f>100*(I29-I28)</f>
        <v/>
      </c>
      <c r="J163" s="21">
        <f>100*(J29-J28)</f>
        <v/>
      </c>
      <c r="K163" s="21">
        <f>100*(K29-K28)</f>
        <v/>
      </c>
      <c r="L163" s="21">
        <f>100*(L29-L28)</f>
        <v/>
      </c>
      <c r="M163" s="21">
        <f>100*(M29-M28)</f>
        <v/>
      </c>
      <c r="N163" s="21">
        <f>100*(N29-N28)</f>
        <v/>
      </c>
      <c r="O163" s="21">
        <f>100*(O29-O28)</f>
        <v/>
      </c>
      <c r="P163" s="21">
        <f>100*(P29-P28)</f>
        <v/>
      </c>
      <c r="Q163" s="21">
        <f>100*(Q29-Q28)</f>
        <v/>
      </c>
      <c r="R163" s="21">
        <f>100*(R29-R28)</f>
        <v/>
      </c>
      <c r="S163" s="21">
        <f>100*(S29-S28)</f>
        <v/>
      </c>
      <c r="T163" s="21">
        <f>100*(T29-T28)</f>
        <v/>
      </c>
      <c r="U163" s="21">
        <f>100*(U29-U28)</f>
        <v/>
      </c>
      <c r="V163" s="21">
        <f>100*(V29-V28)</f>
        <v/>
      </c>
      <c r="W163" s="21">
        <f>100*(W29-W28)</f>
        <v/>
      </c>
      <c r="X163" s="21">
        <f>100*(X29-X28)</f>
        <v/>
      </c>
      <c r="Y163" s="21">
        <f>100*(Y29-Y28)</f>
        <v/>
      </c>
      <c r="Z163" s="21">
        <f>100*(Z29-Z28)</f>
        <v/>
      </c>
      <c r="AA163" s="21">
        <f>100*(AA29-AA28)</f>
        <v/>
      </c>
      <c r="AB163" s="21">
        <f>100*(AB29-AB28)</f>
        <v/>
      </c>
      <c r="AC163" s="21">
        <f>100*(AC29-AC28)</f>
        <v/>
      </c>
      <c r="AD163" s="21">
        <f>100*(AD29-AD28)</f>
        <v/>
      </c>
      <c r="AE163" s="21">
        <f>100*(AE29-AE28)</f>
        <v/>
      </c>
      <c r="AF163" s="21">
        <f>100*(AF29-AF28)</f>
        <v/>
      </c>
      <c r="AG163" s="21">
        <f>100*(AG29-AG28)</f>
        <v/>
      </c>
      <c r="AH163" s="21">
        <f>100*(AH29-AH28)</f>
        <v/>
      </c>
      <c r="AI163" s="21">
        <f>100*(AI29-AI28)</f>
        <v/>
      </c>
      <c r="AJ163" s="21">
        <f>100*(AJ29-AJ28)</f>
        <v/>
      </c>
      <c r="AK163" s="21">
        <f>100*(AK29-AK28)</f>
        <v/>
      </c>
      <c r="AL163" s="21">
        <f>AVERAGE(C163:AK163)</f>
        <v/>
      </c>
    </row>
    <row r="164">
      <c r="A164" s="19">
        <f>A30</f>
        <v/>
      </c>
      <c r="B164" s="20">
        <f>B30</f>
        <v/>
      </c>
      <c r="C164" s="21">
        <f>100*(C30-C29)</f>
        <v/>
      </c>
      <c r="D164" s="21">
        <f>100*(D30-D29)</f>
        <v/>
      </c>
      <c r="E164" s="21">
        <f>100*(E30-E29)</f>
        <v/>
      </c>
      <c r="F164" s="21">
        <f>100*(F30-F29)</f>
        <v/>
      </c>
      <c r="G164" s="21">
        <f>100*(G30-G29)</f>
        <v/>
      </c>
      <c r="H164" s="21">
        <f>100*(H30-H29)</f>
        <v/>
      </c>
      <c r="I164" s="21">
        <f>100*(I30-I29)</f>
        <v/>
      </c>
      <c r="J164" s="21">
        <f>100*(J30-J29)</f>
        <v/>
      </c>
      <c r="K164" s="21">
        <f>100*(K30-K29)</f>
        <v/>
      </c>
      <c r="L164" s="21">
        <f>100*(L30-L29)</f>
        <v/>
      </c>
      <c r="M164" s="21">
        <f>100*(M30-M29)</f>
        <v/>
      </c>
      <c r="N164" s="21">
        <f>100*(N30-N29)</f>
        <v/>
      </c>
      <c r="O164" s="21">
        <f>100*(O30-O29)</f>
        <v/>
      </c>
      <c r="P164" s="21">
        <f>100*(P30-P29)</f>
        <v/>
      </c>
      <c r="Q164" s="21">
        <f>100*(Q30-Q29)</f>
        <v/>
      </c>
      <c r="R164" s="21">
        <f>100*(R30-R29)</f>
        <v/>
      </c>
      <c r="S164" s="21">
        <f>100*(S30-S29)</f>
        <v/>
      </c>
      <c r="T164" s="21">
        <f>100*(T30-T29)</f>
        <v/>
      </c>
      <c r="U164" s="21">
        <f>100*(U30-U29)</f>
        <v/>
      </c>
      <c r="V164" s="21">
        <f>100*(V30-V29)</f>
        <v/>
      </c>
      <c r="W164" s="21">
        <f>100*(W30-W29)</f>
        <v/>
      </c>
      <c r="X164" s="21">
        <f>100*(X30-X29)</f>
        <v/>
      </c>
      <c r="Y164" s="21">
        <f>100*(Y30-Y29)</f>
        <v/>
      </c>
      <c r="Z164" s="21">
        <f>100*(Z30-Z29)</f>
        <v/>
      </c>
      <c r="AA164" s="21">
        <f>100*(AA30-AA29)</f>
        <v/>
      </c>
      <c r="AB164" s="21">
        <f>100*(AB30-AB29)</f>
        <v/>
      </c>
      <c r="AC164" s="21">
        <f>100*(AC30-AC29)</f>
        <v/>
      </c>
      <c r="AD164" s="21">
        <f>100*(AD30-AD29)</f>
        <v/>
      </c>
      <c r="AE164" s="21">
        <f>100*(AE30-AE29)</f>
        <v/>
      </c>
      <c r="AF164" s="21">
        <f>100*(AF30-AF29)</f>
        <v/>
      </c>
      <c r="AG164" s="21">
        <f>100*(AG30-AG29)</f>
        <v/>
      </c>
      <c r="AH164" s="21">
        <f>100*(AH30-AH29)</f>
        <v/>
      </c>
      <c r="AI164" s="21">
        <f>100*(AI30-AI29)</f>
        <v/>
      </c>
      <c r="AJ164" s="21">
        <f>100*(AJ30-AJ29)</f>
        <v/>
      </c>
      <c r="AK164" s="21">
        <f>100*(AK30-AK29)</f>
        <v/>
      </c>
      <c r="AL164" s="21">
        <f>AVERAGE(C164:AK164)</f>
        <v/>
      </c>
    </row>
    <row r="165">
      <c r="A165" s="19">
        <f>A31</f>
        <v/>
      </c>
      <c r="B165" s="20">
        <f>B31</f>
        <v/>
      </c>
      <c r="C165" s="21">
        <f>100*(C31-C30)</f>
        <v/>
      </c>
      <c r="D165" s="21">
        <f>100*(D31-D30)</f>
        <v/>
      </c>
      <c r="E165" s="21">
        <f>100*(E31-E30)</f>
        <v/>
      </c>
      <c r="F165" s="21">
        <f>100*(F31-F30)</f>
        <v/>
      </c>
      <c r="G165" s="21">
        <f>100*(G31-G30)</f>
        <v/>
      </c>
      <c r="H165" s="21">
        <f>100*(H31-H30)</f>
        <v/>
      </c>
      <c r="I165" s="21">
        <f>100*(I31-I30)</f>
        <v/>
      </c>
      <c r="J165" s="21">
        <f>100*(J31-J30)</f>
        <v/>
      </c>
      <c r="K165" s="21">
        <f>100*(K31-K30)</f>
        <v/>
      </c>
      <c r="L165" s="21">
        <f>100*(L31-L30)</f>
        <v/>
      </c>
      <c r="M165" s="21">
        <f>100*(M31-M30)</f>
        <v/>
      </c>
      <c r="N165" s="21">
        <f>100*(N31-N30)</f>
        <v/>
      </c>
      <c r="O165" s="21">
        <f>100*(O31-O30)</f>
        <v/>
      </c>
      <c r="P165" s="21">
        <f>100*(P31-P30)</f>
        <v/>
      </c>
      <c r="Q165" s="21">
        <f>100*(Q31-Q30)</f>
        <v/>
      </c>
      <c r="R165" s="21">
        <f>100*(R31-R30)</f>
        <v/>
      </c>
      <c r="S165" s="21">
        <f>100*(S31-S30)</f>
        <v/>
      </c>
      <c r="T165" s="21">
        <f>100*(T31-T30)</f>
        <v/>
      </c>
      <c r="U165" s="21">
        <f>100*(U31-U30)</f>
        <v/>
      </c>
      <c r="V165" s="21">
        <f>100*(V31-V30)</f>
        <v/>
      </c>
      <c r="W165" s="21">
        <f>100*(W31-W30)</f>
        <v/>
      </c>
      <c r="X165" s="21">
        <f>100*(X31-X30)</f>
        <v/>
      </c>
      <c r="Y165" s="21">
        <f>100*(Y31-Y30)</f>
        <v/>
      </c>
      <c r="Z165" s="21">
        <f>100*(Z31-Z30)</f>
        <v/>
      </c>
      <c r="AA165" s="21">
        <f>100*(AA31-AA30)</f>
        <v/>
      </c>
      <c r="AB165" s="21">
        <f>100*(AB31-AB30)</f>
        <v/>
      </c>
      <c r="AC165" s="21">
        <f>100*(AC31-AC30)</f>
        <v/>
      </c>
      <c r="AD165" s="21">
        <f>100*(AD31-AD30)</f>
        <v/>
      </c>
      <c r="AE165" s="21">
        <f>100*(AE31-AE30)</f>
        <v/>
      </c>
      <c r="AF165" s="21">
        <f>100*(AF31-AF30)</f>
        <v/>
      </c>
      <c r="AG165" s="21">
        <f>100*(AG31-AG30)</f>
        <v/>
      </c>
      <c r="AH165" s="21">
        <f>100*(AH31-AH30)</f>
        <v/>
      </c>
      <c r="AI165" s="21">
        <f>100*(AI31-AI30)</f>
        <v/>
      </c>
      <c r="AJ165" s="21">
        <f>100*(AJ31-AJ30)</f>
        <v/>
      </c>
      <c r="AK165" s="21">
        <f>100*(AK31-AK30)</f>
        <v/>
      </c>
      <c r="AL165" s="21">
        <f>AVERAGE(C165:AK165)</f>
        <v/>
      </c>
    </row>
    <row r="166">
      <c r="A166" s="19">
        <f>A32</f>
        <v/>
      </c>
      <c r="B166" s="20">
        <f>B32</f>
        <v/>
      </c>
      <c r="C166" s="21">
        <f>100*(C32-C31)</f>
        <v/>
      </c>
      <c r="D166" s="21">
        <f>100*(D32-D31)</f>
        <v/>
      </c>
      <c r="E166" s="21">
        <f>100*(E32-E31)</f>
        <v/>
      </c>
      <c r="F166" s="21">
        <f>100*(F32-F31)</f>
        <v/>
      </c>
      <c r="G166" s="21">
        <f>100*(G32-G31)</f>
        <v/>
      </c>
      <c r="H166" s="21">
        <f>100*(H32-H31)</f>
        <v/>
      </c>
      <c r="I166" s="21">
        <f>100*(I32-I31)</f>
        <v/>
      </c>
      <c r="J166" s="21">
        <f>100*(J32-J31)</f>
        <v/>
      </c>
      <c r="K166" s="21">
        <f>100*(K32-K31)</f>
        <v/>
      </c>
      <c r="L166" s="21">
        <f>100*(L32-L31)</f>
        <v/>
      </c>
      <c r="M166" s="21">
        <f>100*(M32-M31)</f>
        <v/>
      </c>
      <c r="N166" s="21">
        <f>100*(N32-N31)</f>
        <v/>
      </c>
      <c r="O166" s="21">
        <f>100*(O32-O31)</f>
        <v/>
      </c>
      <c r="P166" s="21">
        <f>100*(P32-P31)</f>
        <v/>
      </c>
      <c r="Q166" s="21">
        <f>100*(Q32-Q31)</f>
        <v/>
      </c>
      <c r="R166" s="21">
        <f>100*(R32-R31)</f>
        <v/>
      </c>
      <c r="S166" s="21">
        <f>100*(S32-S31)</f>
        <v/>
      </c>
      <c r="T166" s="21">
        <f>100*(T32-T31)</f>
        <v/>
      </c>
      <c r="U166" s="21">
        <f>100*(U32-U31)</f>
        <v/>
      </c>
      <c r="V166" s="21">
        <f>100*(V32-V31)</f>
        <v/>
      </c>
      <c r="W166" s="21">
        <f>100*(W32-W31)</f>
        <v/>
      </c>
      <c r="X166" s="21">
        <f>100*(X32-X31)</f>
        <v/>
      </c>
      <c r="Y166" s="21">
        <f>100*(Y32-Y31)</f>
        <v/>
      </c>
      <c r="Z166" s="21">
        <f>100*(Z32-Z31)</f>
        <v/>
      </c>
      <c r="AA166" s="21">
        <f>100*(AA32-AA31)</f>
        <v/>
      </c>
      <c r="AB166" s="21">
        <f>100*(AB32-AB31)</f>
        <v/>
      </c>
      <c r="AC166" s="21">
        <f>100*(AC32-AC31)</f>
        <v/>
      </c>
      <c r="AD166" s="21">
        <f>100*(AD32-AD31)</f>
        <v/>
      </c>
      <c r="AE166" s="21">
        <f>100*(AE32-AE31)</f>
        <v/>
      </c>
      <c r="AF166" s="21">
        <f>100*(AF32-AF31)</f>
        <v/>
      </c>
      <c r="AG166" s="21">
        <f>100*(AG32-AG31)</f>
        <v/>
      </c>
      <c r="AH166" s="21">
        <f>100*(AH32-AH31)</f>
        <v/>
      </c>
      <c r="AI166" s="21">
        <f>100*(AI32-AI31)</f>
        <v/>
      </c>
      <c r="AJ166" s="21">
        <f>100*(AJ32-AJ31)</f>
        <v/>
      </c>
      <c r="AK166" s="21">
        <f>100*(AK32-AK31)</f>
        <v/>
      </c>
      <c r="AL166" s="21">
        <f>AVERAGE(C166:AK166)</f>
        <v/>
      </c>
    </row>
    <row r="167">
      <c r="A167" s="19">
        <f>A33</f>
        <v/>
      </c>
      <c r="B167" s="20">
        <f>B33</f>
        <v/>
      </c>
      <c r="C167" s="21">
        <f>100*(C33-C32)</f>
        <v/>
      </c>
      <c r="D167" s="21">
        <f>100*(D33-D32)</f>
        <v/>
      </c>
      <c r="E167" s="21">
        <f>100*(E33-E32)</f>
        <v/>
      </c>
      <c r="F167" s="21">
        <f>100*(F33-F32)</f>
        <v/>
      </c>
      <c r="G167" s="21">
        <f>100*(G33-G32)</f>
        <v/>
      </c>
      <c r="H167" s="21">
        <f>100*(H33-H32)</f>
        <v/>
      </c>
      <c r="I167" s="21">
        <f>100*(I33-I32)</f>
        <v/>
      </c>
      <c r="J167" s="21">
        <f>100*(J33-J32)</f>
        <v/>
      </c>
      <c r="K167" s="21">
        <f>100*(K33-K32)</f>
        <v/>
      </c>
      <c r="L167" s="21">
        <f>100*(L33-L32)</f>
        <v/>
      </c>
      <c r="M167" s="21">
        <f>100*(M33-M32)</f>
        <v/>
      </c>
      <c r="N167" s="21">
        <f>100*(N33-N32)</f>
        <v/>
      </c>
      <c r="O167" s="21">
        <f>100*(O33-O32)</f>
        <v/>
      </c>
      <c r="P167" s="21">
        <f>100*(P33-P32)</f>
        <v/>
      </c>
      <c r="Q167" s="21">
        <f>100*(Q33-Q32)</f>
        <v/>
      </c>
      <c r="R167" s="21">
        <f>100*(R33-R32)</f>
        <v/>
      </c>
      <c r="S167" s="21">
        <f>100*(S33-S32)</f>
        <v/>
      </c>
      <c r="T167" s="21">
        <f>100*(T33-T32)</f>
        <v/>
      </c>
      <c r="U167" s="21">
        <f>100*(U33-U32)</f>
        <v/>
      </c>
      <c r="V167" s="21">
        <f>100*(V33-V32)</f>
        <v/>
      </c>
      <c r="W167" s="21">
        <f>100*(W33-W32)</f>
        <v/>
      </c>
      <c r="X167" s="21">
        <f>100*(X33-X32)</f>
        <v/>
      </c>
      <c r="Y167" s="21">
        <f>100*(Y33-Y32)</f>
        <v/>
      </c>
      <c r="Z167" s="21">
        <f>100*(Z33-Z32)</f>
        <v/>
      </c>
      <c r="AA167" s="21">
        <f>100*(AA33-AA32)</f>
        <v/>
      </c>
      <c r="AB167" s="21">
        <f>100*(AB33-AB32)</f>
        <v/>
      </c>
      <c r="AC167" s="21">
        <f>100*(AC33-AC32)</f>
        <v/>
      </c>
      <c r="AD167" s="21">
        <f>100*(AD33-AD32)</f>
        <v/>
      </c>
      <c r="AE167" s="21">
        <f>100*(AE33-AE32)</f>
        <v/>
      </c>
      <c r="AF167" s="21">
        <f>100*(AF33-AF32)</f>
        <v/>
      </c>
      <c r="AG167" s="21">
        <f>100*(AG33-AG32)</f>
        <v/>
      </c>
      <c r="AH167" s="21">
        <f>100*(AH33-AH32)</f>
        <v/>
      </c>
      <c r="AI167" s="21">
        <f>100*(AI33-AI32)</f>
        <v/>
      </c>
      <c r="AJ167" s="21">
        <f>100*(AJ33-AJ32)</f>
        <v/>
      </c>
      <c r="AK167" s="21">
        <f>100*(AK33-AK32)</f>
        <v/>
      </c>
      <c r="AL167" s="21">
        <f>AVERAGE(C167:AK167)</f>
        <v/>
      </c>
    </row>
    <row r="168">
      <c r="A168" s="19">
        <f>A34</f>
        <v/>
      </c>
      <c r="B168" s="20">
        <f>B34</f>
        <v/>
      </c>
      <c r="C168" s="21">
        <f>100*(C34-C33)</f>
        <v/>
      </c>
      <c r="D168" s="21">
        <f>100*(D34-D33)</f>
        <v/>
      </c>
      <c r="E168" s="21">
        <f>100*(E34-E33)</f>
        <v/>
      </c>
      <c r="F168" s="21">
        <f>100*(F34-F33)</f>
        <v/>
      </c>
      <c r="G168" s="21">
        <f>100*(G34-G33)</f>
        <v/>
      </c>
      <c r="H168" s="21">
        <f>100*(H34-H33)</f>
        <v/>
      </c>
      <c r="I168" s="21">
        <f>100*(I34-I33)</f>
        <v/>
      </c>
      <c r="J168" s="21">
        <f>100*(J34-J33)</f>
        <v/>
      </c>
      <c r="K168" s="21">
        <f>100*(K34-K33)</f>
        <v/>
      </c>
      <c r="L168" s="21">
        <f>100*(L34-L33)</f>
        <v/>
      </c>
      <c r="M168" s="21">
        <f>100*(M34-M33)</f>
        <v/>
      </c>
      <c r="N168" s="21">
        <f>100*(N34-N33)</f>
        <v/>
      </c>
      <c r="O168" s="21">
        <f>100*(O34-O33)</f>
        <v/>
      </c>
      <c r="P168" s="21">
        <f>100*(P34-P33)</f>
        <v/>
      </c>
      <c r="Q168" s="21">
        <f>100*(Q34-Q33)</f>
        <v/>
      </c>
      <c r="R168" s="21">
        <f>100*(R34-R33)</f>
        <v/>
      </c>
      <c r="S168" s="21">
        <f>100*(S34-S33)</f>
        <v/>
      </c>
      <c r="T168" s="21">
        <f>100*(T34-T33)</f>
        <v/>
      </c>
      <c r="U168" s="21">
        <f>100*(U34-U33)</f>
        <v/>
      </c>
      <c r="V168" s="21">
        <f>100*(V34-V33)</f>
        <v/>
      </c>
      <c r="W168" s="21">
        <f>100*(W34-W33)</f>
        <v/>
      </c>
      <c r="X168" s="21">
        <f>100*(X34-X33)</f>
        <v/>
      </c>
      <c r="Y168" s="21">
        <f>100*(Y34-Y33)</f>
        <v/>
      </c>
      <c r="Z168" s="21">
        <f>100*(Z34-Z33)</f>
        <v/>
      </c>
      <c r="AA168" s="21">
        <f>100*(AA34-AA33)</f>
        <v/>
      </c>
      <c r="AB168" s="21">
        <f>100*(AB34-AB33)</f>
        <v/>
      </c>
      <c r="AC168" s="21">
        <f>100*(AC34-AC33)</f>
        <v/>
      </c>
      <c r="AD168" s="21">
        <f>100*(AD34-AD33)</f>
        <v/>
      </c>
      <c r="AE168" s="21">
        <f>100*(AE34-AE33)</f>
        <v/>
      </c>
      <c r="AF168" s="21">
        <f>100*(AF34-AF33)</f>
        <v/>
      </c>
      <c r="AG168" s="21">
        <f>100*(AG34-AG33)</f>
        <v/>
      </c>
      <c r="AH168" s="21">
        <f>100*(AH34-AH33)</f>
        <v/>
      </c>
      <c r="AI168" s="21">
        <f>100*(AI34-AI33)</f>
        <v/>
      </c>
      <c r="AJ168" s="21">
        <f>100*(AJ34-AJ33)</f>
        <v/>
      </c>
      <c r="AK168" s="21">
        <f>100*(AK34-AK33)</f>
        <v/>
      </c>
      <c r="AL168" s="21">
        <f>AVERAGE(C168:AK168)</f>
        <v/>
      </c>
    </row>
    <row r="169">
      <c r="A169" s="19">
        <f>A35</f>
        <v/>
      </c>
      <c r="B169" s="20">
        <f>B35</f>
        <v/>
      </c>
      <c r="C169" s="21">
        <f>100*(C35-C34)</f>
        <v/>
      </c>
      <c r="D169" s="21">
        <f>100*(D35-D34)</f>
        <v/>
      </c>
      <c r="E169" s="21">
        <f>100*(E35-E34)</f>
        <v/>
      </c>
      <c r="F169" s="21">
        <f>100*(F35-F34)</f>
        <v/>
      </c>
      <c r="G169" s="21">
        <f>100*(G35-G34)</f>
        <v/>
      </c>
      <c r="H169" s="21">
        <f>100*(H35-H34)</f>
        <v/>
      </c>
      <c r="I169" s="21">
        <f>100*(I35-I34)</f>
        <v/>
      </c>
      <c r="J169" s="21">
        <f>100*(J35-J34)</f>
        <v/>
      </c>
      <c r="K169" s="21">
        <f>100*(K35-K34)</f>
        <v/>
      </c>
      <c r="L169" s="21">
        <f>100*(L35-L34)</f>
        <v/>
      </c>
      <c r="M169" s="21">
        <f>100*(M35-M34)</f>
        <v/>
      </c>
      <c r="N169" s="21">
        <f>100*(N35-N34)</f>
        <v/>
      </c>
      <c r="O169" s="21">
        <f>100*(O35-O34)</f>
        <v/>
      </c>
      <c r="P169" s="21">
        <f>100*(P35-P34)</f>
        <v/>
      </c>
      <c r="Q169" s="21">
        <f>100*(Q35-Q34)</f>
        <v/>
      </c>
      <c r="R169" s="21">
        <f>100*(R35-R34)</f>
        <v/>
      </c>
      <c r="S169" s="21">
        <f>100*(S35-S34)</f>
        <v/>
      </c>
      <c r="T169" s="21">
        <f>100*(T35-T34)</f>
        <v/>
      </c>
      <c r="U169" s="21">
        <f>100*(U35-U34)</f>
        <v/>
      </c>
      <c r="V169" s="21">
        <f>100*(V35-V34)</f>
        <v/>
      </c>
      <c r="W169" s="21">
        <f>100*(W35-W34)</f>
        <v/>
      </c>
      <c r="X169" s="21">
        <f>100*(X35-X34)</f>
        <v/>
      </c>
      <c r="Y169" s="21">
        <f>100*(Y35-Y34)</f>
        <v/>
      </c>
      <c r="Z169" s="21">
        <f>100*(Z35-Z34)</f>
        <v/>
      </c>
      <c r="AA169" s="21">
        <f>100*(AA35-AA34)</f>
        <v/>
      </c>
      <c r="AB169" s="21">
        <f>100*(AB35-AB34)</f>
        <v/>
      </c>
      <c r="AC169" s="21">
        <f>100*(AC35-AC34)</f>
        <v/>
      </c>
      <c r="AD169" s="21">
        <f>100*(AD35-AD34)</f>
        <v/>
      </c>
      <c r="AE169" s="21">
        <f>100*(AE35-AE34)</f>
        <v/>
      </c>
      <c r="AF169" s="21">
        <f>100*(AF35-AF34)</f>
        <v/>
      </c>
      <c r="AG169" s="21">
        <f>100*(AG35-AG34)</f>
        <v/>
      </c>
      <c r="AH169" s="21">
        <f>100*(AH35-AH34)</f>
        <v/>
      </c>
      <c r="AI169" s="21">
        <f>100*(AI35-AI34)</f>
        <v/>
      </c>
      <c r="AJ169" s="21">
        <f>100*(AJ35-AJ34)</f>
        <v/>
      </c>
      <c r="AK169" s="21">
        <f>100*(AK35-AK34)</f>
        <v/>
      </c>
      <c r="AL169" s="21">
        <f>AVERAGE(C169:AK169)</f>
        <v/>
      </c>
    </row>
    <row r="170">
      <c r="A170" s="19">
        <f>A36</f>
        <v/>
      </c>
      <c r="B170" s="20">
        <f>B36</f>
        <v/>
      </c>
      <c r="C170" s="21">
        <f>100*(C36-C35)</f>
        <v/>
      </c>
      <c r="D170" s="21">
        <f>100*(D36-D35)</f>
        <v/>
      </c>
      <c r="E170" s="21">
        <f>100*(E36-E35)</f>
        <v/>
      </c>
      <c r="F170" s="21">
        <f>100*(F36-F35)</f>
        <v/>
      </c>
      <c r="G170" s="21">
        <f>100*(G36-G35)</f>
        <v/>
      </c>
      <c r="H170" s="21">
        <f>100*(H36-H35)</f>
        <v/>
      </c>
      <c r="I170" s="21">
        <f>100*(I36-I35)</f>
        <v/>
      </c>
      <c r="J170" s="21">
        <f>100*(J36-J35)</f>
        <v/>
      </c>
      <c r="K170" s="21">
        <f>100*(K36-K35)</f>
        <v/>
      </c>
      <c r="L170" s="21">
        <f>100*(L36-L35)</f>
        <v/>
      </c>
      <c r="M170" s="21">
        <f>100*(M36-M35)</f>
        <v/>
      </c>
      <c r="N170" s="21">
        <f>100*(N36-N35)</f>
        <v/>
      </c>
      <c r="O170" s="21">
        <f>100*(O36-O35)</f>
        <v/>
      </c>
      <c r="P170" s="21">
        <f>100*(P36-P35)</f>
        <v/>
      </c>
      <c r="Q170" s="21">
        <f>100*(Q36-Q35)</f>
        <v/>
      </c>
      <c r="R170" s="21">
        <f>100*(R36-R35)</f>
        <v/>
      </c>
      <c r="S170" s="21">
        <f>100*(S36-S35)</f>
        <v/>
      </c>
      <c r="T170" s="21">
        <f>100*(T36-T35)</f>
        <v/>
      </c>
      <c r="U170" s="21">
        <f>100*(U36-U35)</f>
        <v/>
      </c>
      <c r="V170" s="21">
        <f>100*(V36-V35)</f>
        <v/>
      </c>
      <c r="W170" s="21">
        <f>100*(W36-W35)</f>
        <v/>
      </c>
      <c r="X170" s="21">
        <f>100*(X36-X35)</f>
        <v/>
      </c>
      <c r="Y170" s="21">
        <f>100*(Y36-Y35)</f>
        <v/>
      </c>
      <c r="Z170" s="21">
        <f>100*(Z36-Z35)</f>
        <v/>
      </c>
      <c r="AA170" s="21">
        <f>100*(AA36-AA35)</f>
        <v/>
      </c>
      <c r="AB170" s="21">
        <f>100*(AB36-AB35)</f>
        <v/>
      </c>
      <c r="AC170" s="21">
        <f>100*(AC36-AC35)</f>
        <v/>
      </c>
      <c r="AD170" s="21">
        <f>100*(AD36-AD35)</f>
        <v/>
      </c>
      <c r="AE170" s="21">
        <f>100*(AE36-AE35)</f>
        <v/>
      </c>
      <c r="AF170" s="21">
        <f>100*(AF36-AF35)</f>
        <v/>
      </c>
      <c r="AG170" s="21">
        <f>100*(AG36-AG35)</f>
        <v/>
      </c>
      <c r="AH170" s="21">
        <f>100*(AH36-AH35)</f>
        <v/>
      </c>
      <c r="AI170" s="21">
        <f>100*(AI36-AI35)</f>
        <v/>
      </c>
      <c r="AJ170" s="21">
        <f>100*(AJ36-AJ35)</f>
        <v/>
      </c>
      <c r="AK170" s="21">
        <f>100*(AK36-AK35)</f>
        <v/>
      </c>
      <c r="AL170" s="21">
        <f>AVERAGE(C170:AK170)</f>
        <v/>
      </c>
    </row>
    <row r="171">
      <c r="A171" s="19">
        <f>A37</f>
        <v/>
      </c>
      <c r="B171" s="20">
        <f>B37</f>
        <v/>
      </c>
      <c r="C171" s="21">
        <f>100*(C37-C36)</f>
        <v/>
      </c>
      <c r="D171" s="21">
        <f>100*(D37-D36)</f>
        <v/>
      </c>
      <c r="E171" s="21">
        <f>100*(E37-E36)</f>
        <v/>
      </c>
      <c r="F171" s="21">
        <f>100*(F37-F36)</f>
        <v/>
      </c>
      <c r="G171" s="21">
        <f>100*(G37-G36)</f>
        <v/>
      </c>
      <c r="H171" s="21">
        <f>100*(H37-H36)</f>
        <v/>
      </c>
      <c r="I171" s="21">
        <f>100*(I37-I36)</f>
        <v/>
      </c>
      <c r="J171" s="21">
        <f>100*(J37-J36)</f>
        <v/>
      </c>
      <c r="K171" s="21">
        <f>100*(K37-K36)</f>
        <v/>
      </c>
      <c r="L171" s="21">
        <f>100*(L37-L36)</f>
        <v/>
      </c>
      <c r="M171" s="21">
        <f>100*(M37-M36)</f>
        <v/>
      </c>
      <c r="N171" s="21">
        <f>100*(N37-N36)</f>
        <v/>
      </c>
      <c r="O171" s="21">
        <f>100*(O37-O36)</f>
        <v/>
      </c>
      <c r="P171" s="21">
        <f>100*(P37-P36)</f>
        <v/>
      </c>
      <c r="Q171" s="21">
        <f>100*(Q37-Q36)</f>
        <v/>
      </c>
      <c r="R171" s="21">
        <f>100*(R37-R36)</f>
        <v/>
      </c>
      <c r="S171" s="21">
        <f>100*(S37-S36)</f>
        <v/>
      </c>
      <c r="T171" s="21">
        <f>100*(T37-T36)</f>
        <v/>
      </c>
      <c r="U171" s="21">
        <f>100*(U37-U36)</f>
        <v/>
      </c>
      <c r="V171" s="21">
        <f>100*(V37-V36)</f>
        <v/>
      </c>
      <c r="W171" s="21">
        <f>100*(W37-W36)</f>
        <v/>
      </c>
      <c r="X171" s="21">
        <f>100*(X37-X36)</f>
        <v/>
      </c>
      <c r="Y171" s="21">
        <f>100*(Y37-Y36)</f>
        <v/>
      </c>
      <c r="Z171" s="21">
        <f>100*(Z37-Z36)</f>
        <v/>
      </c>
      <c r="AA171" s="21">
        <f>100*(AA37-AA36)</f>
        <v/>
      </c>
      <c r="AB171" s="21">
        <f>100*(AB37-AB36)</f>
        <v/>
      </c>
      <c r="AC171" s="21">
        <f>100*(AC37-AC36)</f>
        <v/>
      </c>
      <c r="AD171" s="21">
        <f>100*(AD37-AD36)</f>
        <v/>
      </c>
      <c r="AE171" s="21">
        <f>100*(AE37-AE36)</f>
        <v/>
      </c>
      <c r="AF171" s="21">
        <f>100*(AF37-AF36)</f>
        <v/>
      </c>
      <c r="AG171" s="21">
        <f>100*(AG37-AG36)</f>
        <v/>
      </c>
      <c r="AH171" s="21">
        <f>100*(AH37-AH36)</f>
        <v/>
      </c>
      <c r="AI171" s="21">
        <f>100*(AI37-AI36)</f>
        <v/>
      </c>
      <c r="AJ171" s="21">
        <f>100*(AJ37-AJ36)</f>
        <v/>
      </c>
      <c r="AK171" s="21">
        <f>100*(AK37-AK36)</f>
        <v/>
      </c>
      <c r="AL171" s="21">
        <f>AVERAGE(C171:AK171)</f>
        <v/>
      </c>
    </row>
    <row r="172">
      <c r="A172" s="19">
        <f>A38</f>
        <v/>
      </c>
      <c r="B172" s="20">
        <f>B38</f>
        <v/>
      </c>
      <c r="C172" s="21">
        <f>100*(C38-C37)</f>
        <v/>
      </c>
      <c r="D172" s="21">
        <f>100*(D38-D37)</f>
        <v/>
      </c>
      <c r="E172" s="21">
        <f>100*(E38-E37)</f>
        <v/>
      </c>
      <c r="F172" s="21">
        <f>100*(F38-F37)</f>
        <v/>
      </c>
      <c r="G172" s="21">
        <f>100*(G38-G37)</f>
        <v/>
      </c>
      <c r="H172" s="21">
        <f>100*(H38-H37)</f>
        <v/>
      </c>
      <c r="I172" s="21">
        <f>100*(I38-I37)</f>
        <v/>
      </c>
      <c r="J172" s="21">
        <f>100*(J38-J37)</f>
        <v/>
      </c>
      <c r="K172" s="21">
        <f>100*(K38-K37)</f>
        <v/>
      </c>
      <c r="L172" s="21">
        <f>100*(L38-L37)</f>
        <v/>
      </c>
      <c r="M172" s="21">
        <f>100*(M38-M37)</f>
        <v/>
      </c>
      <c r="N172" s="21">
        <f>100*(N38-N37)</f>
        <v/>
      </c>
      <c r="O172" s="21">
        <f>100*(O38-O37)</f>
        <v/>
      </c>
      <c r="P172" s="21">
        <f>100*(P38-P37)</f>
        <v/>
      </c>
      <c r="Q172" s="21">
        <f>100*(Q38-Q37)</f>
        <v/>
      </c>
      <c r="R172" s="21">
        <f>100*(R38-R37)</f>
        <v/>
      </c>
      <c r="S172" s="21">
        <f>100*(S38-S37)</f>
        <v/>
      </c>
      <c r="T172" s="21">
        <f>100*(T38-T37)</f>
        <v/>
      </c>
      <c r="U172" s="21">
        <f>100*(U38-U37)</f>
        <v/>
      </c>
      <c r="V172" s="21">
        <f>100*(V38-V37)</f>
        <v/>
      </c>
      <c r="W172" s="21">
        <f>100*(W38-W37)</f>
        <v/>
      </c>
      <c r="X172" s="21">
        <f>100*(X38-X37)</f>
        <v/>
      </c>
      <c r="Y172" s="21">
        <f>100*(Y38-Y37)</f>
        <v/>
      </c>
      <c r="Z172" s="21">
        <f>100*(Z38-Z37)</f>
        <v/>
      </c>
      <c r="AA172" s="21">
        <f>100*(AA38-AA37)</f>
        <v/>
      </c>
      <c r="AB172" s="21">
        <f>100*(AB38-AB37)</f>
        <v/>
      </c>
      <c r="AC172" s="21">
        <f>100*(AC38-AC37)</f>
        <v/>
      </c>
      <c r="AD172" s="21">
        <f>100*(AD38-AD37)</f>
        <v/>
      </c>
      <c r="AE172" s="21">
        <f>100*(AE38-AE37)</f>
        <v/>
      </c>
      <c r="AF172" s="21">
        <f>100*(AF38-AF37)</f>
        <v/>
      </c>
      <c r="AG172" s="21">
        <f>100*(AG38-AG37)</f>
        <v/>
      </c>
      <c r="AH172" s="21">
        <f>100*(AH38-AH37)</f>
        <v/>
      </c>
      <c r="AI172" s="21">
        <f>100*(AI38-AI37)</f>
        <v/>
      </c>
      <c r="AJ172" s="21">
        <f>100*(AJ38-AJ37)</f>
        <v/>
      </c>
      <c r="AK172" s="21">
        <f>100*(AK38-AK37)</f>
        <v/>
      </c>
      <c r="AL172" s="21">
        <f>AVERAGE(C172:AK172)</f>
        <v/>
      </c>
    </row>
    <row r="173">
      <c r="A173" s="19">
        <f>A39</f>
        <v/>
      </c>
      <c r="B173" s="20">
        <f>B39</f>
        <v/>
      </c>
      <c r="C173" s="21">
        <f>100*(C39-C38)</f>
        <v/>
      </c>
      <c r="D173" s="21">
        <f>100*(D39-D38)</f>
        <v/>
      </c>
      <c r="E173" s="21">
        <f>100*(E39-E38)</f>
        <v/>
      </c>
      <c r="F173" s="21">
        <f>100*(F39-F38)</f>
        <v/>
      </c>
      <c r="G173" s="21">
        <f>100*(G39-G38)</f>
        <v/>
      </c>
      <c r="H173" s="21">
        <f>100*(H39-H38)</f>
        <v/>
      </c>
      <c r="I173" s="21">
        <f>100*(I39-I38)</f>
        <v/>
      </c>
      <c r="J173" s="21">
        <f>100*(J39-J38)</f>
        <v/>
      </c>
      <c r="K173" s="21">
        <f>100*(K39-K38)</f>
        <v/>
      </c>
      <c r="L173" s="21">
        <f>100*(L39-L38)</f>
        <v/>
      </c>
      <c r="M173" s="21">
        <f>100*(M39-M38)</f>
        <v/>
      </c>
      <c r="N173" s="21">
        <f>100*(N39-N38)</f>
        <v/>
      </c>
      <c r="O173" s="21">
        <f>100*(O39-O38)</f>
        <v/>
      </c>
      <c r="P173" s="21">
        <f>100*(P39-P38)</f>
        <v/>
      </c>
      <c r="Q173" s="21">
        <f>100*(Q39-Q38)</f>
        <v/>
      </c>
      <c r="R173" s="21">
        <f>100*(R39-R38)</f>
        <v/>
      </c>
      <c r="S173" s="21">
        <f>100*(S39-S38)</f>
        <v/>
      </c>
      <c r="T173" s="21">
        <f>100*(T39-T38)</f>
        <v/>
      </c>
      <c r="U173" s="21">
        <f>100*(U39-U38)</f>
        <v/>
      </c>
      <c r="V173" s="21">
        <f>100*(V39-V38)</f>
        <v/>
      </c>
      <c r="W173" s="21">
        <f>100*(W39-W38)</f>
        <v/>
      </c>
      <c r="X173" s="21">
        <f>100*(X39-X38)</f>
        <v/>
      </c>
      <c r="Y173" s="21">
        <f>100*(Y39-Y38)</f>
        <v/>
      </c>
      <c r="Z173" s="21">
        <f>100*(Z39-Z38)</f>
        <v/>
      </c>
      <c r="AA173" s="21">
        <f>100*(AA39-AA38)</f>
        <v/>
      </c>
      <c r="AB173" s="21">
        <f>100*(AB39-AB38)</f>
        <v/>
      </c>
      <c r="AC173" s="21">
        <f>100*(AC39-AC38)</f>
        <v/>
      </c>
      <c r="AD173" s="21">
        <f>100*(AD39-AD38)</f>
        <v/>
      </c>
      <c r="AE173" s="21">
        <f>100*(AE39-AE38)</f>
        <v/>
      </c>
      <c r="AF173" s="21">
        <f>100*(AF39-AF38)</f>
        <v/>
      </c>
      <c r="AG173" s="21">
        <f>100*(AG39-AG38)</f>
        <v/>
      </c>
      <c r="AH173" s="21">
        <f>100*(AH39-AH38)</f>
        <v/>
      </c>
      <c r="AI173" s="21">
        <f>100*(AI39-AI38)</f>
        <v/>
      </c>
      <c r="AJ173" s="21">
        <f>100*(AJ39-AJ38)</f>
        <v/>
      </c>
      <c r="AK173" s="21">
        <f>100*(AK39-AK38)</f>
        <v/>
      </c>
      <c r="AL173" s="21">
        <f>AVERAGE(C173:AK173)</f>
        <v/>
      </c>
    </row>
    <row r="174">
      <c r="A174" s="19">
        <f>A40</f>
        <v/>
      </c>
      <c r="B174" s="20">
        <f>B40</f>
        <v/>
      </c>
      <c r="C174" s="21">
        <f>100*(C40-C39)</f>
        <v/>
      </c>
      <c r="D174" s="21">
        <f>100*(D40-D39)</f>
        <v/>
      </c>
      <c r="E174" s="21">
        <f>100*(E40-E39)</f>
        <v/>
      </c>
      <c r="F174" s="21">
        <f>100*(F40-F39)</f>
        <v/>
      </c>
      <c r="G174" s="21">
        <f>100*(G40-G39)</f>
        <v/>
      </c>
      <c r="H174" s="21">
        <f>100*(H40-H39)</f>
        <v/>
      </c>
      <c r="I174" s="21">
        <f>100*(I40-I39)</f>
        <v/>
      </c>
      <c r="J174" s="21">
        <f>100*(J40-J39)</f>
        <v/>
      </c>
      <c r="K174" s="21">
        <f>100*(K40-K39)</f>
        <v/>
      </c>
      <c r="L174" s="21">
        <f>100*(L40-L39)</f>
        <v/>
      </c>
      <c r="M174" s="21">
        <f>100*(M40-M39)</f>
        <v/>
      </c>
      <c r="N174" s="21">
        <f>100*(N40-N39)</f>
        <v/>
      </c>
      <c r="O174" s="21">
        <f>100*(O40-O39)</f>
        <v/>
      </c>
      <c r="P174" s="21">
        <f>100*(P40-P39)</f>
        <v/>
      </c>
      <c r="Q174" s="21">
        <f>100*(Q40-Q39)</f>
        <v/>
      </c>
      <c r="R174" s="21">
        <f>100*(R40-R39)</f>
        <v/>
      </c>
      <c r="S174" s="21">
        <f>100*(S40-S39)</f>
        <v/>
      </c>
      <c r="T174" s="21">
        <f>100*(T40-T39)</f>
        <v/>
      </c>
      <c r="U174" s="21">
        <f>100*(U40-U39)</f>
        <v/>
      </c>
      <c r="V174" s="21">
        <f>100*(V40-V39)</f>
        <v/>
      </c>
      <c r="W174" s="21">
        <f>100*(W40-W39)</f>
        <v/>
      </c>
      <c r="X174" s="21">
        <f>100*(X40-X39)</f>
        <v/>
      </c>
      <c r="Y174" s="21">
        <f>100*(Y40-Y39)</f>
        <v/>
      </c>
      <c r="Z174" s="21">
        <f>100*(Z40-Z39)</f>
        <v/>
      </c>
      <c r="AA174" s="21">
        <f>100*(AA40-AA39)</f>
        <v/>
      </c>
      <c r="AB174" s="21">
        <f>100*(AB40-AB39)</f>
        <v/>
      </c>
      <c r="AC174" s="21">
        <f>100*(AC40-AC39)</f>
        <v/>
      </c>
      <c r="AD174" s="21">
        <f>100*(AD40-AD39)</f>
        <v/>
      </c>
      <c r="AE174" s="21">
        <f>100*(AE40-AE39)</f>
        <v/>
      </c>
      <c r="AF174" s="21">
        <f>100*(AF40-AF39)</f>
        <v/>
      </c>
      <c r="AG174" s="21">
        <f>100*(AG40-AG39)</f>
        <v/>
      </c>
      <c r="AH174" s="21">
        <f>100*(AH40-AH39)</f>
        <v/>
      </c>
      <c r="AI174" s="21">
        <f>100*(AI40-AI39)</f>
        <v/>
      </c>
      <c r="AJ174" s="21">
        <f>100*(AJ40-AJ39)</f>
        <v/>
      </c>
      <c r="AK174" s="21">
        <f>100*(AK40-AK39)</f>
        <v/>
      </c>
      <c r="AL174" s="21">
        <f>AVERAGE(C174:AK174)</f>
        <v/>
      </c>
    </row>
    <row r="175">
      <c r="A175" s="19">
        <f>A41</f>
        <v/>
      </c>
      <c r="B175" s="20">
        <f>B41</f>
        <v/>
      </c>
      <c r="C175" s="21">
        <f>100*(C41-C40)</f>
        <v/>
      </c>
      <c r="D175" s="21">
        <f>100*(D41-D40)</f>
        <v/>
      </c>
      <c r="E175" s="21">
        <f>100*(E41-E40)</f>
        <v/>
      </c>
      <c r="F175" s="21">
        <f>100*(F41-F40)</f>
        <v/>
      </c>
      <c r="G175" s="21">
        <f>100*(G41-G40)</f>
        <v/>
      </c>
      <c r="H175" s="21">
        <f>100*(H41-H40)</f>
        <v/>
      </c>
      <c r="I175" s="21">
        <f>100*(I41-I40)</f>
        <v/>
      </c>
      <c r="J175" s="21">
        <f>100*(J41-J40)</f>
        <v/>
      </c>
      <c r="K175" s="21">
        <f>100*(K41-K40)</f>
        <v/>
      </c>
      <c r="L175" s="21">
        <f>100*(L41-L40)</f>
        <v/>
      </c>
      <c r="M175" s="21">
        <f>100*(M41-M40)</f>
        <v/>
      </c>
      <c r="N175" s="21">
        <f>100*(N41-N40)</f>
        <v/>
      </c>
      <c r="O175" s="21">
        <f>100*(O41-O40)</f>
        <v/>
      </c>
      <c r="P175" s="21">
        <f>100*(P41-P40)</f>
        <v/>
      </c>
      <c r="Q175" s="21">
        <f>100*(Q41-Q40)</f>
        <v/>
      </c>
      <c r="R175" s="21">
        <f>100*(R41-R40)</f>
        <v/>
      </c>
      <c r="S175" s="21">
        <f>100*(S41-S40)</f>
        <v/>
      </c>
      <c r="T175" s="21">
        <f>100*(T41-T40)</f>
        <v/>
      </c>
      <c r="U175" s="21">
        <f>100*(U41-U40)</f>
        <v/>
      </c>
      <c r="V175" s="21">
        <f>100*(V41-V40)</f>
        <v/>
      </c>
      <c r="W175" s="21">
        <f>100*(W41-W40)</f>
        <v/>
      </c>
      <c r="X175" s="21">
        <f>100*(X41-X40)</f>
        <v/>
      </c>
      <c r="Y175" s="21">
        <f>100*(Y41-Y40)</f>
        <v/>
      </c>
      <c r="Z175" s="21">
        <f>100*(Z41-Z40)</f>
        <v/>
      </c>
      <c r="AA175" s="21">
        <f>100*(AA41-AA40)</f>
        <v/>
      </c>
      <c r="AB175" s="21">
        <f>100*(AB41-AB40)</f>
        <v/>
      </c>
      <c r="AC175" s="21">
        <f>100*(AC41-AC40)</f>
        <v/>
      </c>
      <c r="AD175" s="21">
        <f>100*(AD41-AD40)</f>
        <v/>
      </c>
      <c r="AE175" s="21">
        <f>100*(AE41-AE40)</f>
        <v/>
      </c>
      <c r="AF175" s="21">
        <f>100*(AF41-AF40)</f>
        <v/>
      </c>
      <c r="AG175" s="21">
        <f>100*(AG41-AG40)</f>
        <v/>
      </c>
      <c r="AH175" s="21">
        <f>100*(AH41-AH40)</f>
        <v/>
      </c>
      <c r="AI175" s="21">
        <f>100*(AI41-AI40)</f>
        <v/>
      </c>
      <c r="AJ175" s="21">
        <f>100*(AJ41-AJ40)</f>
        <v/>
      </c>
      <c r="AK175" s="21">
        <f>100*(AK41-AK40)</f>
        <v/>
      </c>
      <c r="AL175" s="21">
        <f>AVERAGE(C175:AK175)</f>
        <v/>
      </c>
    </row>
    <row r="176">
      <c r="A176" s="19">
        <f>A42</f>
        <v/>
      </c>
      <c r="B176" s="20">
        <f>B42</f>
        <v/>
      </c>
      <c r="C176" s="21">
        <f>100*(C42-C41)</f>
        <v/>
      </c>
      <c r="D176" s="21">
        <f>100*(D42-D41)</f>
        <v/>
      </c>
      <c r="E176" s="21">
        <f>100*(E42-E41)</f>
        <v/>
      </c>
      <c r="F176" s="21">
        <f>100*(F42-F41)</f>
        <v/>
      </c>
      <c r="G176" s="21">
        <f>100*(G42-G41)</f>
        <v/>
      </c>
      <c r="H176" s="21">
        <f>100*(H42-H41)</f>
        <v/>
      </c>
      <c r="I176" s="21">
        <f>100*(I42-I41)</f>
        <v/>
      </c>
      <c r="J176" s="21">
        <f>100*(J42-J41)</f>
        <v/>
      </c>
      <c r="K176" s="21">
        <f>100*(K42-K41)</f>
        <v/>
      </c>
      <c r="L176" s="21">
        <f>100*(L42-L41)</f>
        <v/>
      </c>
      <c r="M176" s="21">
        <f>100*(M42-M41)</f>
        <v/>
      </c>
      <c r="N176" s="21">
        <f>100*(N42-N41)</f>
        <v/>
      </c>
      <c r="O176" s="21">
        <f>100*(O42-O41)</f>
        <v/>
      </c>
      <c r="P176" s="21">
        <f>100*(P42-P41)</f>
        <v/>
      </c>
      <c r="Q176" s="21">
        <f>100*(Q42-Q41)</f>
        <v/>
      </c>
      <c r="R176" s="21">
        <f>100*(R42-R41)</f>
        <v/>
      </c>
      <c r="S176" s="21">
        <f>100*(S42-S41)</f>
        <v/>
      </c>
      <c r="T176" s="21">
        <f>100*(T42-T41)</f>
        <v/>
      </c>
      <c r="U176" s="21">
        <f>100*(U42-U41)</f>
        <v/>
      </c>
      <c r="V176" s="21">
        <f>100*(V42-V41)</f>
        <v/>
      </c>
      <c r="W176" s="21">
        <f>100*(W42-W41)</f>
        <v/>
      </c>
      <c r="X176" s="21">
        <f>100*(X42-X41)</f>
        <v/>
      </c>
      <c r="Y176" s="21">
        <f>100*(Y42-Y41)</f>
        <v/>
      </c>
      <c r="Z176" s="21">
        <f>100*(Z42-Z41)</f>
        <v/>
      </c>
      <c r="AA176" s="21">
        <f>100*(AA42-AA41)</f>
        <v/>
      </c>
      <c r="AB176" s="21">
        <f>100*(AB42-AB41)</f>
        <v/>
      </c>
      <c r="AC176" s="21">
        <f>100*(AC42-AC41)</f>
        <v/>
      </c>
      <c r="AD176" s="21">
        <f>100*(AD42-AD41)</f>
        <v/>
      </c>
      <c r="AE176" s="21">
        <f>100*(AE42-AE41)</f>
        <v/>
      </c>
      <c r="AF176" s="21">
        <f>100*(AF42-AF41)</f>
        <v/>
      </c>
      <c r="AG176" s="21">
        <f>100*(AG42-AG41)</f>
        <v/>
      </c>
      <c r="AH176" s="21">
        <f>100*(AH42-AH41)</f>
        <v/>
      </c>
      <c r="AI176" s="21">
        <f>100*(AI42-AI41)</f>
        <v/>
      </c>
      <c r="AJ176" s="21">
        <f>100*(AJ42-AJ41)</f>
        <v/>
      </c>
      <c r="AK176" s="21">
        <f>100*(AK42-AK41)</f>
        <v/>
      </c>
      <c r="AL176" s="21">
        <f>AVERAGE(C176:AK176)</f>
        <v/>
      </c>
    </row>
    <row r="177">
      <c r="A177" s="19">
        <f>A43</f>
        <v/>
      </c>
      <c r="B177" s="20">
        <f>B43</f>
        <v/>
      </c>
      <c r="C177" s="21">
        <f>100*(C43-C42)</f>
        <v/>
      </c>
      <c r="D177" s="21">
        <f>100*(D43-D42)</f>
        <v/>
      </c>
      <c r="E177" s="21">
        <f>100*(E43-E42)</f>
        <v/>
      </c>
      <c r="F177" s="21">
        <f>100*(F43-F42)</f>
        <v/>
      </c>
      <c r="G177" s="21">
        <f>100*(G43-G42)</f>
        <v/>
      </c>
      <c r="H177" s="21">
        <f>100*(H43-H42)</f>
        <v/>
      </c>
      <c r="I177" s="21">
        <f>100*(I43-I42)</f>
        <v/>
      </c>
      <c r="J177" s="21">
        <f>100*(J43-J42)</f>
        <v/>
      </c>
      <c r="K177" s="21">
        <f>100*(K43-K42)</f>
        <v/>
      </c>
      <c r="L177" s="21">
        <f>100*(L43-L42)</f>
        <v/>
      </c>
      <c r="M177" s="21">
        <f>100*(M43-M42)</f>
        <v/>
      </c>
      <c r="N177" s="21">
        <f>100*(N43-N42)</f>
        <v/>
      </c>
      <c r="O177" s="21">
        <f>100*(O43-O42)</f>
        <v/>
      </c>
      <c r="P177" s="21">
        <f>100*(P43-P42)</f>
        <v/>
      </c>
      <c r="Q177" s="21">
        <f>100*(Q43-Q42)</f>
        <v/>
      </c>
      <c r="R177" s="21">
        <f>100*(R43-R42)</f>
        <v/>
      </c>
      <c r="S177" s="21">
        <f>100*(S43-S42)</f>
        <v/>
      </c>
      <c r="T177" s="21">
        <f>100*(T43-T42)</f>
        <v/>
      </c>
      <c r="U177" s="21">
        <f>100*(U43-U42)</f>
        <v/>
      </c>
      <c r="V177" s="21">
        <f>100*(V43-V42)</f>
        <v/>
      </c>
      <c r="W177" s="21">
        <f>100*(W43-W42)</f>
        <v/>
      </c>
      <c r="X177" s="21">
        <f>100*(X43-X42)</f>
        <v/>
      </c>
      <c r="Y177" s="21">
        <f>100*(Y43-Y42)</f>
        <v/>
      </c>
      <c r="Z177" s="21">
        <f>100*(Z43-Z42)</f>
        <v/>
      </c>
      <c r="AA177" s="21">
        <f>100*(AA43-AA42)</f>
        <v/>
      </c>
      <c r="AB177" s="21">
        <f>100*(AB43-AB42)</f>
        <v/>
      </c>
      <c r="AC177" s="21">
        <f>100*(AC43-AC42)</f>
        <v/>
      </c>
      <c r="AD177" s="21">
        <f>100*(AD43-AD42)</f>
        <v/>
      </c>
      <c r="AE177" s="21">
        <f>100*(AE43-AE42)</f>
        <v/>
      </c>
      <c r="AF177" s="21">
        <f>100*(AF43-AF42)</f>
        <v/>
      </c>
      <c r="AG177" s="21">
        <f>100*(AG43-AG42)</f>
        <v/>
      </c>
      <c r="AH177" s="21">
        <f>100*(AH43-AH42)</f>
        <v/>
      </c>
      <c r="AI177" s="21">
        <f>100*(AI43-AI42)</f>
        <v/>
      </c>
      <c r="AJ177" s="21">
        <f>100*(AJ43-AJ42)</f>
        <v/>
      </c>
      <c r="AK177" s="21">
        <f>100*(AK43-AK42)</f>
        <v/>
      </c>
      <c r="AL177" s="21">
        <f>AVERAGE(C177:AK177)</f>
        <v/>
      </c>
    </row>
    <row r="178">
      <c r="A178" s="19">
        <f>A44</f>
        <v/>
      </c>
      <c r="B178" s="20">
        <f>B44</f>
        <v/>
      </c>
      <c r="C178" s="21">
        <f>100*(C44-C43)</f>
        <v/>
      </c>
      <c r="D178" s="21">
        <f>100*(D44-D43)</f>
        <v/>
      </c>
      <c r="E178" s="21">
        <f>100*(E44-E43)</f>
        <v/>
      </c>
      <c r="F178" s="21">
        <f>100*(F44-F43)</f>
        <v/>
      </c>
      <c r="G178" s="21">
        <f>100*(G44-G43)</f>
        <v/>
      </c>
      <c r="H178" s="21">
        <f>100*(H44-H43)</f>
        <v/>
      </c>
      <c r="I178" s="21">
        <f>100*(I44-I43)</f>
        <v/>
      </c>
      <c r="J178" s="21">
        <f>100*(J44-J43)</f>
        <v/>
      </c>
      <c r="K178" s="21">
        <f>100*(K44-K43)</f>
        <v/>
      </c>
      <c r="L178" s="21">
        <f>100*(L44-L43)</f>
        <v/>
      </c>
      <c r="M178" s="21">
        <f>100*(M44-M43)</f>
        <v/>
      </c>
      <c r="N178" s="21">
        <f>100*(N44-N43)</f>
        <v/>
      </c>
      <c r="O178" s="21">
        <f>100*(O44-O43)</f>
        <v/>
      </c>
      <c r="P178" s="21">
        <f>100*(P44-P43)</f>
        <v/>
      </c>
      <c r="Q178" s="21">
        <f>100*(Q44-Q43)</f>
        <v/>
      </c>
      <c r="R178" s="21">
        <f>100*(R44-R43)</f>
        <v/>
      </c>
      <c r="S178" s="21">
        <f>100*(S44-S43)</f>
        <v/>
      </c>
      <c r="T178" s="21">
        <f>100*(T44-T43)</f>
        <v/>
      </c>
      <c r="U178" s="21">
        <f>100*(U44-U43)</f>
        <v/>
      </c>
      <c r="V178" s="21">
        <f>100*(V44-V43)</f>
        <v/>
      </c>
      <c r="W178" s="21">
        <f>100*(W44-W43)</f>
        <v/>
      </c>
      <c r="X178" s="21">
        <f>100*(X44-X43)</f>
        <v/>
      </c>
      <c r="Y178" s="21">
        <f>100*(Y44-Y43)</f>
        <v/>
      </c>
      <c r="Z178" s="21">
        <f>100*(Z44-Z43)</f>
        <v/>
      </c>
      <c r="AA178" s="21">
        <f>100*(AA44-AA43)</f>
        <v/>
      </c>
      <c r="AB178" s="21">
        <f>100*(AB44-AB43)</f>
        <v/>
      </c>
      <c r="AC178" s="21">
        <f>100*(AC44-AC43)</f>
        <v/>
      </c>
      <c r="AD178" s="21">
        <f>100*(AD44-AD43)</f>
        <v/>
      </c>
      <c r="AE178" s="21">
        <f>100*(AE44-AE43)</f>
        <v/>
      </c>
      <c r="AF178" s="21">
        <f>100*(AF44-AF43)</f>
        <v/>
      </c>
      <c r="AG178" s="21">
        <f>100*(AG44-AG43)</f>
        <v/>
      </c>
      <c r="AH178" s="21">
        <f>100*(AH44-AH43)</f>
        <v/>
      </c>
      <c r="AI178" s="21">
        <f>100*(AI44-AI43)</f>
        <v/>
      </c>
      <c r="AJ178" s="21">
        <f>100*(AJ44-AJ43)</f>
        <v/>
      </c>
      <c r="AK178" s="21">
        <f>100*(AK44-AK43)</f>
        <v/>
      </c>
      <c r="AL178" s="21">
        <f>AVERAGE(C178:AK178)</f>
        <v/>
      </c>
    </row>
    <row r="179">
      <c r="A179" s="19">
        <f>A45</f>
        <v/>
      </c>
      <c r="B179" s="20">
        <f>B45</f>
        <v/>
      </c>
      <c r="C179" s="21">
        <f>100*(C45-C44)</f>
        <v/>
      </c>
      <c r="D179" s="21">
        <f>100*(D45-D44)</f>
        <v/>
      </c>
      <c r="E179" s="21">
        <f>100*(E45-E44)</f>
        <v/>
      </c>
      <c r="F179" s="21">
        <f>100*(F45-F44)</f>
        <v/>
      </c>
      <c r="G179" s="21">
        <f>100*(G45-G44)</f>
        <v/>
      </c>
      <c r="H179" s="21">
        <f>100*(H45-H44)</f>
        <v/>
      </c>
      <c r="I179" s="21">
        <f>100*(I45-I44)</f>
        <v/>
      </c>
      <c r="J179" s="21">
        <f>100*(J45-J44)</f>
        <v/>
      </c>
      <c r="K179" s="21">
        <f>100*(K45-K44)</f>
        <v/>
      </c>
      <c r="L179" s="21">
        <f>100*(L45-L44)</f>
        <v/>
      </c>
      <c r="M179" s="21">
        <f>100*(M45-M44)</f>
        <v/>
      </c>
      <c r="N179" s="21">
        <f>100*(N45-N44)</f>
        <v/>
      </c>
      <c r="O179" s="21">
        <f>100*(O45-O44)</f>
        <v/>
      </c>
      <c r="P179" s="21">
        <f>100*(P45-P44)</f>
        <v/>
      </c>
      <c r="Q179" s="21">
        <f>100*(Q45-Q44)</f>
        <v/>
      </c>
      <c r="R179" s="21">
        <f>100*(R45-R44)</f>
        <v/>
      </c>
      <c r="S179" s="21">
        <f>100*(S45-S44)</f>
        <v/>
      </c>
      <c r="T179" s="21">
        <f>100*(T45-T44)</f>
        <v/>
      </c>
      <c r="U179" s="21">
        <f>100*(U45-U44)</f>
        <v/>
      </c>
      <c r="V179" s="21">
        <f>100*(V45-V44)</f>
        <v/>
      </c>
      <c r="W179" s="21">
        <f>100*(W45-W44)</f>
        <v/>
      </c>
      <c r="X179" s="21">
        <f>100*(X45-X44)</f>
        <v/>
      </c>
      <c r="Y179" s="21">
        <f>100*(Y45-Y44)</f>
        <v/>
      </c>
      <c r="Z179" s="21">
        <f>100*(Z45-Z44)</f>
        <v/>
      </c>
      <c r="AA179" s="21">
        <f>100*(AA45-AA44)</f>
        <v/>
      </c>
      <c r="AB179" s="21">
        <f>100*(AB45-AB44)</f>
        <v/>
      </c>
      <c r="AC179" s="21">
        <f>100*(AC45-AC44)</f>
        <v/>
      </c>
      <c r="AD179" s="21">
        <f>100*(AD45-AD44)</f>
        <v/>
      </c>
      <c r="AE179" s="21">
        <f>100*(AE45-AE44)</f>
        <v/>
      </c>
      <c r="AF179" s="21">
        <f>100*(AF45-AF44)</f>
        <v/>
      </c>
      <c r="AG179" s="21">
        <f>100*(AG45-AG44)</f>
        <v/>
      </c>
      <c r="AH179" s="21">
        <f>100*(AH45-AH44)</f>
        <v/>
      </c>
      <c r="AI179" s="21">
        <f>100*(AI45-AI44)</f>
        <v/>
      </c>
      <c r="AJ179" s="21">
        <f>100*(AJ45-AJ44)</f>
        <v/>
      </c>
      <c r="AK179" s="21">
        <f>100*(AK45-AK44)</f>
        <v/>
      </c>
      <c r="AL179" s="21">
        <f>AVERAGE(C179:AK179)</f>
        <v/>
      </c>
    </row>
    <row r="180">
      <c r="A180" s="19">
        <f>A46</f>
        <v/>
      </c>
      <c r="B180" s="20">
        <f>B46</f>
        <v/>
      </c>
      <c r="C180" s="21">
        <f>100*(C46-C45)</f>
        <v/>
      </c>
      <c r="D180" s="21">
        <f>100*(D46-D45)</f>
        <v/>
      </c>
      <c r="E180" s="21">
        <f>100*(E46-E45)</f>
        <v/>
      </c>
      <c r="F180" s="21">
        <f>100*(F46-F45)</f>
        <v/>
      </c>
      <c r="G180" s="21">
        <f>100*(G46-G45)</f>
        <v/>
      </c>
      <c r="H180" s="21">
        <f>100*(H46-H45)</f>
        <v/>
      </c>
      <c r="I180" s="21">
        <f>100*(I46-I45)</f>
        <v/>
      </c>
      <c r="J180" s="21">
        <f>100*(J46-J45)</f>
        <v/>
      </c>
      <c r="K180" s="21">
        <f>100*(K46-K45)</f>
        <v/>
      </c>
      <c r="L180" s="21">
        <f>100*(L46-L45)</f>
        <v/>
      </c>
      <c r="M180" s="21">
        <f>100*(M46-M45)</f>
        <v/>
      </c>
      <c r="N180" s="21">
        <f>100*(N46-N45)</f>
        <v/>
      </c>
      <c r="O180" s="21">
        <f>100*(O46-O45)</f>
        <v/>
      </c>
      <c r="P180" s="21">
        <f>100*(P46-P45)</f>
        <v/>
      </c>
      <c r="Q180" s="21">
        <f>100*(Q46-Q45)</f>
        <v/>
      </c>
      <c r="R180" s="21">
        <f>100*(R46-R45)</f>
        <v/>
      </c>
      <c r="S180" s="21">
        <f>100*(S46-S45)</f>
        <v/>
      </c>
      <c r="T180" s="21">
        <f>100*(T46-T45)</f>
        <v/>
      </c>
      <c r="U180" s="21">
        <f>100*(U46-U45)</f>
        <v/>
      </c>
      <c r="V180" s="21">
        <f>100*(V46-V45)</f>
        <v/>
      </c>
      <c r="W180" s="21">
        <f>100*(W46-W45)</f>
        <v/>
      </c>
      <c r="X180" s="21">
        <f>100*(X46-X45)</f>
        <v/>
      </c>
      <c r="Y180" s="21">
        <f>100*(Y46-Y45)</f>
        <v/>
      </c>
      <c r="Z180" s="21">
        <f>100*(Z46-Z45)</f>
        <v/>
      </c>
      <c r="AA180" s="21">
        <f>100*(AA46-AA45)</f>
        <v/>
      </c>
      <c r="AB180" s="21">
        <f>100*(AB46-AB45)</f>
        <v/>
      </c>
      <c r="AC180" s="21">
        <f>100*(AC46-AC45)</f>
        <v/>
      </c>
      <c r="AD180" s="21">
        <f>100*(AD46-AD45)</f>
        <v/>
      </c>
      <c r="AE180" s="21">
        <f>100*(AE46-AE45)</f>
        <v/>
      </c>
      <c r="AF180" s="21">
        <f>100*(AF46-AF45)</f>
        <v/>
      </c>
      <c r="AG180" s="21">
        <f>100*(AG46-AG45)</f>
        <v/>
      </c>
      <c r="AH180" s="21">
        <f>100*(AH46-AH45)</f>
        <v/>
      </c>
      <c r="AI180" s="21">
        <f>100*(AI46-AI45)</f>
        <v/>
      </c>
      <c r="AJ180" s="21">
        <f>100*(AJ46-AJ45)</f>
        <v/>
      </c>
      <c r="AK180" s="21">
        <f>100*(AK46-AK45)</f>
        <v/>
      </c>
      <c r="AL180" s="21">
        <f>AVERAGE(C180:AK180)</f>
        <v/>
      </c>
    </row>
    <row r="181">
      <c r="A181" s="19">
        <f>A47</f>
        <v/>
      </c>
      <c r="B181" s="20">
        <f>B47</f>
        <v/>
      </c>
      <c r="C181" s="21">
        <f>100*(C47-C46)</f>
        <v/>
      </c>
      <c r="D181" s="21">
        <f>100*(D47-D46)</f>
        <v/>
      </c>
      <c r="E181" s="21">
        <f>100*(E47-E46)</f>
        <v/>
      </c>
      <c r="F181" s="21">
        <f>100*(F47-F46)</f>
        <v/>
      </c>
      <c r="G181" s="21">
        <f>100*(G47-G46)</f>
        <v/>
      </c>
      <c r="H181" s="21">
        <f>100*(H47-H46)</f>
        <v/>
      </c>
      <c r="I181" s="21">
        <f>100*(I47-I46)</f>
        <v/>
      </c>
      <c r="J181" s="21">
        <f>100*(J47-J46)</f>
        <v/>
      </c>
      <c r="K181" s="21">
        <f>100*(K47-K46)</f>
        <v/>
      </c>
      <c r="L181" s="21">
        <f>100*(L47-L46)</f>
        <v/>
      </c>
      <c r="M181" s="21">
        <f>100*(M47-M46)</f>
        <v/>
      </c>
      <c r="N181" s="21">
        <f>100*(N47-N46)</f>
        <v/>
      </c>
      <c r="O181" s="21">
        <f>100*(O47-O46)</f>
        <v/>
      </c>
      <c r="P181" s="21">
        <f>100*(P47-P46)</f>
        <v/>
      </c>
      <c r="Q181" s="21">
        <f>100*(Q47-Q46)</f>
        <v/>
      </c>
      <c r="R181" s="21">
        <f>100*(R47-R46)</f>
        <v/>
      </c>
      <c r="S181" s="21">
        <f>100*(S47-S46)</f>
        <v/>
      </c>
      <c r="T181" s="21">
        <f>100*(T47-T46)</f>
        <v/>
      </c>
      <c r="U181" s="21">
        <f>100*(U47-U46)</f>
        <v/>
      </c>
      <c r="V181" s="21">
        <f>100*(V47-V46)</f>
        <v/>
      </c>
      <c r="W181" s="21">
        <f>100*(W47-W46)</f>
        <v/>
      </c>
      <c r="X181" s="21">
        <f>100*(X47-X46)</f>
        <v/>
      </c>
      <c r="Y181" s="21">
        <f>100*(Y47-Y46)</f>
        <v/>
      </c>
      <c r="Z181" s="21">
        <f>100*(Z47-Z46)</f>
        <v/>
      </c>
      <c r="AA181" s="21">
        <f>100*(AA47-AA46)</f>
        <v/>
      </c>
      <c r="AB181" s="21">
        <f>100*(AB47-AB46)</f>
        <v/>
      </c>
      <c r="AC181" s="21">
        <f>100*(AC47-AC46)</f>
        <v/>
      </c>
      <c r="AD181" s="21">
        <f>100*(AD47-AD46)</f>
        <v/>
      </c>
      <c r="AE181" s="21">
        <f>100*(AE47-AE46)</f>
        <v/>
      </c>
      <c r="AF181" s="21">
        <f>100*(AF47-AF46)</f>
        <v/>
      </c>
      <c r="AG181" s="21">
        <f>100*(AG47-AG46)</f>
        <v/>
      </c>
      <c r="AH181" s="21">
        <f>100*(AH47-AH46)</f>
        <v/>
      </c>
      <c r="AI181" s="21">
        <f>100*(AI47-AI46)</f>
        <v/>
      </c>
      <c r="AJ181" s="21">
        <f>100*(AJ47-AJ46)</f>
        <v/>
      </c>
      <c r="AK181" s="21">
        <f>100*(AK47-AK46)</f>
        <v/>
      </c>
      <c r="AL181" s="21">
        <f>AVERAGE(C181:AK181)</f>
        <v/>
      </c>
    </row>
    <row r="182">
      <c r="A182" s="19">
        <f>A48</f>
        <v/>
      </c>
      <c r="B182" s="20">
        <f>B48</f>
        <v/>
      </c>
      <c r="C182" s="21">
        <f>100*(C48-C47)</f>
        <v/>
      </c>
      <c r="D182" s="21">
        <f>100*(D48-D47)</f>
        <v/>
      </c>
      <c r="E182" s="21">
        <f>100*(E48-E47)</f>
        <v/>
      </c>
      <c r="F182" s="21">
        <f>100*(F48-F47)</f>
        <v/>
      </c>
      <c r="G182" s="21">
        <f>100*(G48-G47)</f>
        <v/>
      </c>
      <c r="H182" s="21">
        <f>100*(H48-H47)</f>
        <v/>
      </c>
      <c r="I182" s="21">
        <f>100*(I48-I47)</f>
        <v/>
      </c>
      <c r="J182" s="21">
        <f>100*(J48-J47)</f>
        <v/>
      </c>
      <c r="K182" s="21">
        <f>100*(K48-K47)</f>
        <v/>
      </c>
      <c r="L182" s="21">
        <f>100*(L48-L47)</f>
        <v/>
      </c>
      <c r="M182" s="21">
        <f>100*(M48-M47)</f>
        <v/>
      </c>
      <c r="N182" s="21">
        <f>100*(N48-N47)</f>
        <v/>
      </c>
      <c r="O182" s="21">
        <f>100*(O48-O47)</f>
        <v/>
      </c>
      <c r="P182" s="21">
        <f>100*(P48-P47)</f>
        <v/>
      </c>
      <c r="Q182" s="21">
        <f>100*(Q48-Q47)</f>
        <v/>
      </c>
      <c r="R182" s="21">
        <f>100*(R48-R47)</f>
        <v/>
      </c>
      <c r="S182" s="21">
        <f>100*(S48-S47)</f>
        <v/>
      </c>
      <c r="T182" s="21">
        <f>100*(T48-T47)</f>
        <v/>
      </c>
      <c r="U182" s="21">
        <f>100*(U48-U47)</f>
        <v/>
      </c>
      <c r="V182" s="21">
        <f>100*(V48-V47)</f>
        <v/>
      </c>
      <c r="W182" s="21">
        <f>100*(W48-W47)</f>
        <v/>
      </c>
      <c r="X182" s="21">
        <f>100*(X48-X47)</f>
        <v/>
      </c>
      <c r="Y182" s="21">
        <f>100*(Y48-Y47)</f>
        <v/>
      </c>
      <c r="Z182" s="21">
        <f>100*(Z48-Z47)</f>
        <v/>
      </c>
      <c r="AA182" s="21">
        <f>100*(AA48-AA47)</f>
        <v/>
      </c>
      <c r="AB182" s="21">
        <f>100*(AB48-AB47)</f>
        <v/>
      </c>
      <c r="AC182" s="21">
        <f>100*(AC48-AC47)</f>
        <v/>
      </c>
      <c r="AD182" s="21">
        <f>100*(AD48-AD47)</f>
        <v/>
      </c>
      <c r="AE182" s="21">
        <f>100*(AE48-AE47)</f>
        <v/>
      </c>
      <c r="AF182" s="21">
        <f>100*(AF48-AF47)</f>
        <v/>
      </c>
      <c r="AG182" s="21">
        <f>100*(AG48-AG47)</f>
        <v/>
      </c>
      <c r="AH182" s="21">
        <f>100*(AH48-AH47)</f>
        <v/>
      </c>
      <c r="AI182" s="21">
        <f>100*(AI48-AI47)</f>
        <v/>
      </c>
      <c r="AJ182" s="21">
        <f>100*(AJ48-AJ47)</f>
        <v/>
      </c>
      <c r="AK182" s="21">
        <f>100*(AK48-AK47)</f>
        <v/>
      </c>
      <c r="AL182" s="21">
        <f>AVERAGE(C182:AK182)</f>
        <v/>
      </c>
    </row>
    <row r="183">
      <c r="A183" s="19">
        <f>A49</f>
        <v/>
      </c>
      <c r="B183" s="20">
        <f>B49</f>
        <v/>
      </c>
      <c r="C183" s="21">
        <f>100*(C49-C48)</f>
        <v/>
      </c>
      <c r="D183" s="21">
        <f>100*(D49-D48)</f>
        <v/>
      </c>
      <c r="E183" s="21">
        <f>100*(E49-E48)</f>
        <v/>
      </c>
      <c r="F183" s="21">
        <f>100*(F49-F48)</f>
        <v/>
      </c>
      <c r="G183" s="21">
        <f>100*(G49-G48)</f>
        <v/>
      </c>
      <c r="H183" s="21">
        <f>100*(H49-H48)</f>
        <v/>
      </c>
      <c r="I183" s="21">
        <f>100*(I49-I48)</f>
        <v/>
      </c>
      <c r="J183" s="21">
        <f>100*(J49-J48)</f>
        <v/>
      </c>
      <c r="K183" s="21">
        <f>100*(K49-K48)</f>
        <v/>
      </c>
      <c r="L183" s="21">
        <f>100*(L49-L48)</f>
        <v/>
      </c>
      <c r="M183" s="21">
        <f>100*(M49-M48)</f>
        <v/>
      </c>
      <c r="N183" s="21">
        <f>100*(N49-N48)</f>
        <v/>
      </c>
      <c r="O183" s="21">
        <f>100*(O49-O48)</f>
        <v/>
      </c>
      <c r="P183" s="21">
        <f>100*(P49-P48)</f>
        <v/>
      </c>
      <c r="Q183" s="21">
        <f>100*(Q49-Q48)</f>
        <v/>
      </c>
      <c r="R183" s="21">
        <f>100*(R49-R48)</f>
        <v/>
      </c>
      <c r="S183" s="21">
        <f>100*(S49-S48)</f>
        <v/>
      </c>
      <c r="T183" s="21">
        <f>100*(T49-T48)</f>
        <v/>
      </c>
      <c r="U183" s="21">
        <f>100*(U49-U48)</f>
        <v/>
      </c>
      <c r="V183" s="21">
        <f>100*(V49-V48)</f>
        <v/>
      </c>
      <c r="W183" s="21">
        <f>100*(W49-W48)</f>
        <v/>
      </c>
      <c r="X183" s="21">
        <f>100*(X49-X48)</f>
        <v/>
      </c>
      <c r="Y183" s="21">
        <f>100*(Y49-Y48)</f>
        <v/>
      </c>
      <c r="Z183" s="21">
        <f>100*(Z49-Z48)</f>
        <v/>
      </c>
      <c r="AA183" s="21">
        <f>100*(AA49-AA48)</f>
        <v/>
      </c>
      <c r="AB183" s="21">
        <f>100*(AB49-AB48)</f>
        <v/>
      </c>
      <c r="AC183" s="21">
        <f>100*(AC49-AC48)</f>
        <v/>
      </c>
      <c r="AD183" s="21">
        <f>100*(AD49-AD48)</f>
        <v/>
      </c>
      <c r="AE183" s="21">
        <f>100*(AE49-AE48)</f>
        <v/>
      </c>
      <c r="AF183" s="21">
        <f>100*(AF49-AF48)</f>
        <v/>
      </c>
      <c r="AG183" s="21">
        <f>100*(AG49-AG48)</f>
        <v/>
      </c>
      <c r="AH183" s="21">
        <f>100*(AH49-AH48)</f>
        <v/>
      </c>
      <c r="AI183" s="21">
        <f>100*(AI49-AI48)</f>
        <v/>
      </c>
      <c r="AJ183" s="21">
        <f>100*(AJ49-AJ48)</f>
        <v/>
      </c>
      <c r="AK183" s="21">
        <f>100*(AK49-AK48)</f>
        <v/>
      </c>
      <c r="AL183" s="21">
        <f>AVERAGE(C183:AK183)</f>
        <v/>
      </c>
    </row>
    <row r="184">
      <c r="A184" s="19">
        <f>A50</f>
        <v/>
      </c>
      <c r="B184" s="20">
        <f>B50</f>
        <v/>
      </c>
      <c r="C184" s="21">
        <f>100*(C50-C49)</f>
        <v/>
      </c>
      <c r="D184" s="21">
        <f>100*(D50-D49)</f>
        <v/>
      </c>
      <c r="E184" s="21">
        <f>100*(E50-E49)</f>
        <v/>
      </c>
      <c r="F184" s="21">
        <f>100*(F50-F49)</f>
        <v/>
      </c>
      <c r="G184" s="21">
        <f>100*(G50-G49)</f>
        <v/>
      </c>
      <c r="H184" s="21">
        <f>100*(H50-H49)</f>
        <v/>
      </c>
      <c r="I184" s="21">
        <f>100*(I50-I49)</f>
        <v/>
      </c>
      <c r="J184" s="21">
        <f>100*(J50-J49)</f>
        <v/>
      </c>
      <c r="K184" s="21">
        <f>100*(K50-K49)</f>
        <v/>
      </c>
      <c r="L184" s="21">
        <f>100*(L50-L49)</f>
        <v/>
      </c>
      <c r="M184" s="21">
        <f>100*(M50-M49)</f>
        <v/>
      </c>
      <c r="N184" s="21">
        <f>100*(N50-N49)</f>
        <v/>
      </c>
      <c r="O184" s="21">
        <f>100*(O50-O49)</f>
        <v/>
      </c>
      <c r="P184" s="21">
        <f>100*(P50-P49)</f>
        <v/>
      </c>
      <c r="Q184" s="21">
        <f>100*(Q50-Q49)</f>
        <v/>
      </c>
      <c r="R184" s="21">
        <f>100*(R50-R49)</f>
        <v/>
      </c>
      <c r="S184" s="21">
        <f>100*(S50-S49)</f>
        <v/>
      </c>
      <c r="T184" s="21">
        <f>100*(T50-T49)</f>
        <v/>
      </c>
      <c r="U184" s="21">
        <f>100*(U50-U49)</f>
        <v/>
      </c>
      <c r="V184" s="21">
        <f>100*(V50-V49)</f>
        <v/>
      </c>
      <c r="W184" s="21">
        <f>100*(W50-W49)</f>
        <v/>
      </c>
      <c r="X184" s="21">
        <f>100*(X50-X49)</f>
        <v/>
      </c>
      <c r="Y184" s="21">
        <f>100*(Y50-Y49)</f>
        <v/>
      </c>
      <c r="Z184" s="21">
        <f>100*(Z50-Z49)</f>
        <v/>
      </c>
      <c r="AA184" s="21">
        <f>100*(AA50-AA49)</f>
        <v/>
      </c>
      <c r="AB184" s="21">
        <f>100*(AB50-AB49)</f>
        <v/>
      </c>
      <c r="AC184" s="21">
        <f>100*(AC50-AC49)</f>
        <v/>
      </c>
      <c r="AD184" s="21">
        <f>100*(AD50-AD49)</f>
        <v/>
      </c>
      <c r="AE184" s="21">
        <f>100*(AE50-AE49)</f>
        <v/>
      </c>
      <c r="AF184" s="21">
        <f>100*(AF50-AF49)</f>
        <v/>
      </c>
      <c r="AG184" s="21">
        <f>100*(AG50-AG49)</f>
        <v/>
      </c>
      <c r="AH184" s="21">
        <f>100*(AH50-AH49)</f>
        <v/>
      </c>
      <c r="AI184" s="21">
        <f>100*(AI50-AI49)</f>
        <v/>
      </c>
      <c r="AJ184" s="21">
        <f>100*(AJ50-AJ49)</f>
        <v/>
      </c>
      <c r="AK184" s="21">
        <f>100*(AK50-AK49)</f>
        <v/>
      </c>
      <c r="AL184" s="21">
        <f>AVERAGE(C184:AK184)</f>
        <v/>
      </c>
    </row>
    <row r="185">
      <c r="A185" s="19">
        <f>A51</f>
        <v/>
      </c>
      <c r="B185" s="20">
        <f>B51</f>
        <v/>
      </c>
      <c r="C185" s="21">
        <f>100*(C51-C50)</f>
        <v/>
      </c>
      <c r="D185" s="21">
        <f>100*(D51-D50)</f>
        <v/>
      </c>
      <c r="E185" s="21">
        <f>100*(E51-E50)</f>
        <v/>
      </c>
      <c r="F185" s="21">
        <f>100*(F51-F50)</f>
        <v/>
      </c>
      <c r="G185" s="21">
        <f>100*(G51-G50)</f>
        <v/>
      </c>
      <c r="H185" s="21">
        <f>100*(H51-H50)</f>
        <v/>
      </c>
      <c r="I185" s="21">
        <f>100*(I51-I50)</f>
        <v/>
      </c>
      <c r="J185" s="21">
        <f>100*(J51-J50)</f>
        <v/>
      </c>
      <c r="K185" s="21">
        <f>100*(K51-K50)</f>
        <v/>
      </c>
      <c r="L185" s="21">
        <f>100*(L51-L50)</f>
        <v/>
      </c>
      <c r="M185" s="21">
        <f>100*(M51-M50)</f>
        <v/>
      </c>
      <c r="N185" s="21">
        <f>100*(N51-N50)</f>
        <v/>
      </c>
      <c r="O185" s="21">
        <f>100*(O51-O50)</f>
        <v/>
      </c>
      <c r="P185" s="21">
        <f>100*(P51-P50)</f>
        <v/>
      </c>
      <c r="Q185" s="21">
        <f>100*(Q51-Q50)</f>
        <v/>
      </c>
      <c r="R185" s="21">
        <f>100*(R51-R50)</f>
        <v/>
      </c>
      <c r="S185" s="21">
        <f>100*(S51-S50)</f>
        <v/>
      </c>
      <c r="T185" s="21">
        <f>100*(T51-T50)</f>
        <v/>
      </c>
      <c r="U185" s="21">
        <f>100*(U51-U50)</f>
        <v/>
      </c>
      <c r="V185" s="21">
        <f>100*(V51-V50)</f>
        <v/>
      </c>
      <c r="W185" s="21">
        <f>100*(W51-W50)</f>
        <v/>
      </c>
      <c r="X185" s="21">
        <f>100*(X51-X50)</f>
        <v/>
      </c>
      <c r="Y185" s="21">
        <f>100*(Y51-Y50)</f>
        <v/>
      </c>
      <c r="Z185" s="21">
        <f>100*(Z51-Z50)</f>
        <v/>
      </c>
      <c r="AA185" s="21">
        <f>100*(AA51-AA50)</f>
        <v/>
      </c>
      <c r="AB185" s="21">
        <f>100*(AB51-AB50)</f>
        <v/>
      </c>
      <c r="AC185" s="21">
        <f>100*(AC51-AC50)</f>
        <v/>
      </c>
      <c r="AD185" s="21">
        <f>100*(AD51-AD50)</f>
        <v/>
      </c>
      <c r="AE185" s="21">
        <f>100*(AE51-AE50)</f>
        <v/>
      </c>
      <c r="AF185" s="21">
        <f>100*(AF51-AF50)</f>
        <v/>
      </c>
      <c r="AG185" s="21">
        <f>100*(AG51-AG50)</f>
        <v/>
      </c>
      <c r="AH185" s="21">
        <f>100*(AH51-AH50)</f>
        <v/>
      </c>
      <c r="AI185" s="21">
        <f>100*(AI51-AI50)</f>
        <v/>
      </c>
      <c r="AJ185" s="21">
        <f>100*(AJ51-AJ50)</f>
        <v/>
      </c>
      <c r="AK185" s="21">
        <f>100*(AK51-AK50)</f>
        <v/>
      </c>
      <c r="AL185" s="21">
        <f>AVERAGE(C185:AK185)</f>
        <v/>
      </c>
    </row>
    <row r="186">
      <c r="A186" s="19">
        <f>A52</f>
        <v/>
      </c>
      <c r="B186" s="20">
        <f>B52</f>
        <v/>
      </c>
      <c r="C186" s="21">
        <f>100*(C52-C51)</f>
        <v/>
      </c>
      <c r="D186" s="21">
        <f>100*(D52-D51)</f>
        <v/>
      </c>
      <c r="E186" s="21">
        <f>100*(E52-E51)</f>
        <v/>
      </c>
      <c r="F186" s="21">
        <f>100*(F52-F51)</f>
        <v/>
      </c>
      <c r="G186" s="21">
        <f>100*(G52-G51)</f>
        <v/>
      </c>
      <c r="H186" s="21">
        <f>100*(H52-H51)</f>
        <v/>
      </c>
      <c r="I186" s="21">
        <f>100*(I52-I51)</f>
        <v/>
      </c>
      <c r="J186" s="21">
        <f>100*(J52-J51)</f>
        <v/>
      </c>
      <c r="K186" s="21">
        <f>100*(K52-K51)</f>
        <v/>
      </c>
      <c r="L186" s="21">
        <f>100*(L52-L51)</f>
        <v/>
      </c>
      <c r="M186" s="21">
        <f>100*(M52-M51)</f>
        <v/>
      </c>
      <c r="N186" s="21">
        <f>100*(N52-N51)</f>
        <v/>
      </c>
      <c r="O186" s="21">
        <f>100*(O52-O51)</f>
        <v/>
      </c>
      <c r="P186" s="21">
        <f>100*(P52-P51)</f>
        <v/>
      </c>
      <c r="Q186" s="21">
        <f>100*(Q52-Q51)</f>
        <v/>
      </c>
      <c r="R186" s="21">
        <f>100*(R52-R51)</f>
        <v/>
      </c>
      <c r="S186" s="21">
        <f>100*(S52-S51)</f>
        <v/>
      </c>
      <c r="T186" s="21">
        <f>100*(T52-T51)</f>
        <v/>
      </c>
      <c r="U186" s="21">
        <f>100*(U52-U51)</f>
        <v/>
      </c>
      <c r="V186" s="21">
        <f>100*(V52-V51)</f>
        <v/>
      </c>
      <c r="W186" s="21">
        <f>100*(W52-W51)</f>
        <v/>
      </c>
      <c r="X186" s="21">
        <f>100*(X52-X51)</f>
        <v/>
      </c>
      <c r="Y186" s="21">
        <f>100*(Y52-Y51)</f>
        <v/>
      </c>
      <c r="Z186" s="21">
        <f>100*(Z52-Z51)</f>
        <v/>
      </c>
      <c r="AA186" s="21">
        <f>100*(AA52-AA51)</f>
        <v/>
      </c>
      <c r="AB186" s="21">
        <f>100*(AB52-AB51)</f>
        <v/>
      </c>
      <c r="AC186" s="21">
        <f>100*(AC52-AC51)</f>
        <v/>
      </c>
      <c r="AD186" s="21">
        <f>100*(AD52-AD51)</f>
        <v/>
      </c>
      <c r="AE186" s="21">
        <f>100*(AE52-AE51)</f>
        <v/>
      </c>
      <c r="AF186" s="21">
        <f>100*(AF52-AF51)</f>
        <v/>
      </c>
      <c r="AG186" s="21">
        <f>100*(AG52-AG51)</f>
        <v/>
      </c>
      <c r="AH186" s="21">
        <f>100*(AH52-AH51)</f>
        <v/>
      </c>
      <c r="AI186" s="21">
        <f>100*(AI52-AI51)</f>
        <v/>
      </c>
      <c r="AJ186" s="21">
        <f>100*(AJ52-AJ51)</f>
        <v/>
      </c>
      <c r="AK186" s="21">
        <f>100*(AK52-AK51)</f>
        <v/>
      </c>
      <c r="AL186" s="21">
        <f>AVERAGE(C186:AK186)</f>
        <v/>
      </c>
    </row>
    <row r="187">
      <c r="A187" s="19">
        <f>A53</f>
        <v/>
      </c>
      <c r="B187" s="20">
        <f>B53</f>
        <v/>
      </c>
      <c r="C187" s="21">
        <f>100*(C53-C52)</f>
        <v/>
      </c>
      <c r="D187" s="21">
        <f>100*(D53-D52)</f>
        <v/>
      </c>
      <c r="E187" s="21">
        <f>100*(E53-E52)</f>
        <v/>
      </c>
      <c r="F187" s="21">
        <f>100*(F53-F52)</f>
        <v/>
      </c>
      <c r="G187" s="21">
        <f>100*(G53-G52)</f>
        <v/>
      </c>
      <c r="H187" s="21">
        <f>100*(H53-H52)</f>
        <v/>
      </c>
      <c r="I187" s="21">
        <f>100*(I53-I52)</f>
        <v/>
      </c>
      <c r="J187" s="21">
        <f>100*(J53-J52)</f>
        <v/>
      </c>
      <c r="K187" s="21">
        <f>100*(K53-K52)</f>
        <v/>
      </c>
      <c r="L187" s="21">
        <f>100*(L53-L52)</f>
        <v/>
      </c>
      <c r="M187" s="21">
        <f>100*(M53-M52)</f>
        <v/>
      </c>
      <c r="N187" s="21">
        <f>100*(N53-N52)</f>
        <v/>
      </c>
      <c r="O187" s="21">
        <f>100*(O53-O52)</f>
        <v/>
      </c>
      <c r="P187" s="21">
        <f>100*(P53-P52)</f>
        <v/>
      </c>
      <c r="Q187" s="21">
        <f>100*(Q53-Q52)</f>
        <v/>
      </c>
      <c r="R187" s="21">
        <f>100*(R53-R52)</f>
        <v/>
      </c>
      <c r="S187" s="21">
        <f>100*(S53-S52)</f>
        <v/>
      </c>
      <c r="T187" s="21">
        <f>100*(T53-T52)</f>
        <v/>
      </c>
      <c r="U187" s="21">
        <f>100*(U53-U52)</f>
        <v/>
      </c>
      <c r="V187" s="21">
        <f>100*(V53-V52)</f>
        <v/>
      </c>
      <c r="W187" s="21">
        <f>100*(W53-W52)</f>
        <v/>
      </c>
      <c r="X187" s="21">
        <f>100*(X53-X52)</f>
        <v/>
      </c>
      <c r="Y187" s="21">
        <f>100*(Y53-Y52)</f>
        <v/>
      </c>
      <c r="Z187" s="21">
        <f>100*(Z53-Z52)</f>
        <v/>
      </c>
      <c r="AA187" s="21">
        <f>100*(AA53-AA52)</f>
        <v/>
      </c>
      <c r="AB187" s="21">
        <f>100*(AB53-AB52)</f>
        <v/>
      </c>
      <c r="AC187" s="21">
        <f>100*(AC53-AC52)</f>
        <v/>
      </c>
      <c r="AD187" s="21">
        <f>100*(AD53-AD52)</f>
        <v/>
      </c>
      <c r="AE187" s="21">
        <f>100*(AE53-AE52)</f>
        <v/>
      </c>
      <c r="AF187" s="21">
        <f>100*(AF53-AF52)</f>
        <v/>
      </c>
      <c r="AG187" s="21">
        <f>100*(AG53-AG52)</f>
        <v/>
      </c>
      <c r="AH187" s="21">
        <f>100*(AH53-AH52)</f>
        <v/>
      </c>
      <c r="AI187" s="21">
        <f>100*(AI53-AI52)</f>
        <v/>
      </c>
      <c r="AJ187" s="21">
        <f>100*(AJ53-AJ52)</f>
        <v/>
      </c>
      <c r="AK187" s="21">
        <f>100*(AK53-AK52)</f>
        <v/>
      </c>
      <c r="AL187" s="21">
        <f>AVERAGE(C187:AK187)</f>
        <v/>
      </c>
    </row>
    <row r="188">
      <c r="A188" s="19">
        <f>A54</f>
        <v/>
      </c>
      <c r="B188" s="20">
        <f>B54</f>
        <v/>
      </c>
      <c r="C188" s="21">
        <f>100*(C54-C53)</f>
        <v/>
      </c>
      <c r="D188" s="21">
        <f>100*(D54-D53)</f>
        <v/>
      </c>
      <c r="E188" s="21">
        <f>100*(E54-E53)</f>
        <v/>
      </c>
      <c r="F188" s="21">
        <f>100*(F54-F53)</f>
        <v/>
      </c>
      <c r="G188" s="21">
        <f>100*(G54-G53)</f>
        <v/>
      </c>
      <c r="H188" s="21">
        <f>100*(H54-H53)</f>
        <v/>
      </c>
      <c r="I188" s="21">
        <f>100*(I54-I53)</f>
        <v/>
      </c>
      <c r="J188" s="21">
        <f>100*(J54-J53)</f>
        <v/>
      </c>
      <c r="K188" s="21">
        <f>100*(K54-K53)</f>
        <v/>
      </c>
      <c r="L188" s="21">
        <f>100*(L54-L53)</f>
        <v/>
      </c>
      <c r="M188" s="21">
        <f>100*(M54-M53)</f>
        <v/>
      </c>
      <c r="N188" s="21">
        <f>100*(N54-N53)</f>
        <v/>
      </c>
      <c r="O188" s="21">
        <f>100*(O54-O53)</f>
        <v/>
      </c>
      <c r="P188" s="21">
        <f>100*(P54-P53)</f>
        <v/>
      </c>
      <c r="Q188" s="21">
        <f>100*(Q54-Q53)</f>
        <v/>
      </c>
      <c r="R188" s="21">
        <f>100*(R54-R53)</f>
        <v/>
      </c>
      <c r="S188" s="21">
        <f>100*(S54-S53)</f>
        <v/>
      </c>
      <c r="T188" s="21">
        <f>100*(T54-T53)</f>
        <v/>
      </c>
      <c r="U188" s="21">
        <f>100*(U54-U53)</f>
        <v/>
      </c>
      <c r="V188" s="21">
        <f>100*(V54-V53)</f>
        <v/>
      </c>
      <c r="W188" s="21">
        <f>100*(W54-W53)</f>
        <v/>
      </c>
      <c r="X188" s="21">
        <f>100*(X54-X53)</f>
        <v/>
      </c>
      <c r="Y188" s="21">
        <f>100*(Y54-Y53)</f>
        <v/>
      </c>
      <c r="Z188" s="21">
        <f>100*(Z54-Z53)</f>
        <v/>
      </c>
      <c r="AA188" s="21">
        <f>100*(AA54-AA53)</f>
        <v/>
      </c>
      <c r="AB188" s="21">
        <f>100*(AB54-AB53)</f>
        <v/>
      </c>
      <c r="AC188" s="21">
        <f>100*(AC54-AC53)</f>
        <v/>
      </c>
      <c r="AD188" s="21">
        <f>100*(AD54-AD53)</f>
        <v/>
      </c>
      <c r="AE188" s="21">
        <f>100*(AE54-AE53)</f>
        <v/>
      </c>
      <c r="AF188" s="21">
        <f>100*(AF54-AF53)</f>
        <v/>
      </c>
      <c r="AG188" s="21">
        <f>100*(AG54-AG53)</f>
        <v/>
      </c>
      <c r="AH188" s="21">
        <f>100*(AH54-AH53)</f>
        <v/>
      </c>
      <c r="AI188" s="21">
        <f>100*(AI54-AI53)</f>
        <v/>
      </c>
      <c r="AJ188" s="21">
        <f>100*(AJ54-AJ53)</f>
        <v/>
      </c>
      <c r="AK188" s="21">
        <f>100*(AK54-AK53)</f>
        <v/>
      </c>
      <c r="AL188" s="21">
        <f>AVERAGE(C188:AK188)</f>
        <v/>
      </c>
    </row>
    <row r="189">
      <c r="A189" s="19">
        <f>A55</f>
        <v/>
      </c>
      <c r="B189" s="20">
        <f>B55</f>
        <v/>
      </c>
      <c r="C189" s="21">
        <f>100*(C55-C54)</f>
        <v/>
      </c>
      <c r="D189" s="21">
        <f>100*(D55-D54)</f>
        <v/>
      </c>
      <c r="E189" s="21">
        <f>100*(E55-E54)</f>
        <v/>
      </c>
      <c r="F189" s="21">
        <f>100*(F55-F54)</f>
        <v/>
      </c>
      <c r="G189" s="21">
        <f>100*(G55-G54)</f>
        <v/>
      </c>
      <c r="H189" s="21">
        <f>100*(H55-H54)</f>
        <v/>
      </c>
      <c r="I189" s="21">
        <f>100*(I55-I54)</f>
        <v/>
      </c>
      <c r="J189" s="21">
        <f>100*(J55-J54)</f>
        <v/>
      </c>
      <c r="K189" s="21">
        <f>100*(K55-K54)</f>
        <v/>
      </c>
      <c r="L189" s="21">
        <f>100*(L55-L54)</f>
        <v/>
      </c>
      <c r="M189" s="21">
        <f>100*(M55-M54)</f>
        <v/>
      </c>
      <c r="N189" s="21">
        <f>100*(N55-N54)</f>
        <v/>
      </c>
      <c r="O189" s="21">
        <f>100*(O55-O54)</f>
        <v/>
      </c>
      <c r="P189" s="21">
        <f>100*(P55-P54)</f>
        <v/>
      </c>
      <c r="Q189" s="21">
        <f>100*(Q55-Q54)</f>
        <v/>
      </c>
      <c r="R189" s="21">
        <f>100*(R55-R54)</f>
        <v/>
      </c>
      <c r="S189" s="21">
        <f>100*(S55-S54)</f>
        <v/>
      </c>
      <c r="T189" s="21">
        <f>100*(T55-T54)</f>
        <v/>
      </c>
      <c r="U189" s="21">
        <f>100*(U55-U54)</f>
        <v/>
      </c>
      <c r="V189" s="21">
        <f>100*(V55-V54)</f>
        <v/>
      </c>
      <c r="W189" s="21">
        <f>100*(W55-W54)</f>
        <v/>
      </c>
      <c r="X189" s="21">
        <f>100*(X55-X54)</f>
        <v/>
      </c>
      <c r="Y189" s="21">
        <f>100*(Y55-Y54)</f>
        <v/>
      </c>
      <c r="Z189" s="21">
        <f>100*(Z55-Z54)</f>
        <v/>
      </c>
      <c r="AA189" s="21">
        <f>100*(AA55-AA54)</f>
        <v/>
      </c>
      <c r="AB189" s="21">
        <f>100*(AB55-AB54)</f>
        <v/>
      </c>
      <c r="AC189" s="21">
        <f>100*(AC55-AC54)</f>
        <v/>
      </c>
      <c r="AD189" s="21">
        <f>100*(AD55-AD54)</f>
        <v/>
      </c>
      <c r="AE189" s="21">
        <f>100*(AE55-AE54)</f>
        <v/>
      </c>
      <c r="AF189" s="21">
        <f>100*(AF55-AF54)</f>
        <v/>
      </c>
      <c r="AG189" s="21">
        <f>100*(AG55-AG54)</f>
        <v/>
      </c>
      <c r="AH189" s="21">
        <f>100*(AH55-AH54)</f>
        <v/>
      </c>
      <c r="AI189" s="21">
        <f>100*(AI55-AI54)</f>
        <v/>
      </c>
      <c r="AJ189" s="21">
        <f>100*(AJ55-AJ54)</f>
        <v/>
      </c>
      <c r="AK189" s="21">
        <f>100*(AK55-AK54)</f>
        <v/>
      </c>
      <c r="AL189" s="21">
        <f>AVERAGE(C189:AK189)</f>
        <v/>
      </c>
    </row>
    <row r="190">
      <c r="A190" s="19">
        <f>A56</f>
        <v/>
      </c>
      <c r="B190" s="20">
        <f>B56</f>
        <v/>
      </c>
      <c r="C190" s="21">
        <f>100*(C56-C55)</f>
        <v/>
      </c>
      <c r="D190" s="21">
        <f>100*(D56-D55)</f>
        <v/>
      </c>
      <c r="E190" s="21">
        <f>100*(E56-E55)</f>
        <v/>
      </c>
      <c r="F190" s="21">
        <f>100*(F56-F55)</f>
        <v/>
      </c>
      <c r="G190" s="21">
        <f>100*(G56-G55)</f>
        <v/>
      </c>
      <c r="H190" s="21">
        <f>100*(H56-H55)</f>
        <v/>
      </c>
      <c r="I190" s="21">
        <f>100*(I56-I55)</f>
        <v/>
      </c>
      <c r="J190" s="21">
        <f>100*(J56-J55)</f>
        <v/>
      </c>
      <c r="K190" s="21">
        <f>100*(K56-K55)</f>
        <v/>
      </c>
      <c r="L190" s="21">
        <f>100*(L56-L55)</f>
        <v/>
      </c>
      <c r="M190" s="21">
        <f>100*(M56-M55)</f>
        <v/>
      </c>
      <c r="N190" s="21">
        <f>100*(N56-N55)</f>
        <v/>
      </c>
      <c r="O190" s="21">
        <f>100*(O56-O55)</f>
        <v/>
      </c>
      <c r="P190" s="21">
        <f>100*(P56-P55)</f>
        <v/>
      </c>
      <c r="Q190" s="21">
        <f>100*(Q56-Q55)</f>
        <v/>
      </c>
      <c r="R190" s="21">
        <f>100*(R56-R55)</f>
        <v/>
      </c>
      <c r="S190" s="21">
        <f>100*(S56-S55)</f>
        <v/>
      </c>
      <c r="T190" s="21">
        <f>100*(T56-T55)</f>
        <v/>
      </c>
      <c r="U190" s="21">
        <f>100*(U56-U55)</f>
        <v/>
      </c>
      <c r="V190" s="21">
        <f>100*(V56-V55)</f>
        <v/>
      </c>
      <c r="W190" s="21">
        <f>100*(W56-W55)</f>
        <v/>
      </c>
      <c r="X190" s="21">
        <f>100*(X56-X55)</f>
        <v/>
      </c>
      <c r="Y190" s="21">
        <f>100*(Y56-Y55)</f>
        <v/>
      </c>
      <c r="Z190" s="21">
        <f>100*(Z56-Z55)</f>
        <v/>
      </c>
      <c r="AA190" s="21">
        <f>100*(AA56-AA55)</f>
        <v/>
      </c>
      <c r="AB190" s="21">
        <f>100*(AB56-AB55)</f>
        <v/>
      </c>
      <c r="AC190" s="21">
        <f>100*(AC56-AC55)</f>
        <v/>
      </c>
      <c r="AD190" s="21">
        <f>100*(AD56-AD55)</f>
        <v/>
      </c>
      <c r="AE190" s="21">
        <f>100*(AE56-AE55)</f>
        <v/>
      </c>
      <c r="AF190" s="21">
        <f>100*(AF56-AF55)</f>
        <v/>
      </c>
      <c r="AG190" s="21">
        <f>100*(AG56-AG55)</f>
        <v/>
      </c>
      <c r="AH190" s="21">
        <f>100*(AH56-AH55)</f>
        <v/>
      </c>
      <c r="AI190" s="21">
        <f>100*(AI56-AI55)</f>
        <v/>
      </c>
      <c r="AJ190" s="21">
        <f>100*(AJ56-AJ55)</f>
        <v/>
      </c>
      <c r="AK190" s="21">
        <f>100*(AK56-AK55)</f>
        <v/>
      </c>
      <c r="AL190" s="21">
        <f>AVERAGE(C190:AK190)</f>
        <v/>
      </c>
    </row>
    <row r="191">
      <c r="A191" s="19">
        <f>A57</f>
        <v/>
      </c>
      <c r="B191" s="20">
        <f>B57</f>
        <v/>
      </c>
      <c r="C191" s="21">
        <f>100*(C57-C56)</f>
        <v/>
      </c>
      <c r="D191" s="21">
        <f>100*(D57-D56)</f>
        <v/>
      </c>
      <c r="E191" s="21">
        <f>100*(E57-E56)</f>
        <v/>
      </c>
      <c r="F191" s="21">
        <f>100*(F57-F56)</f>
        <v/>
      </c>
      <c r="G191" s="21">
        <f>100*(G57-G56)</f>
        <v/>
      </c>
      <c r="H191" s="21">
        <f>100*(H57-H56)</f>
        <v/>
      </c>
      <c r="I191" s="21">
        <f>100*(I57-I56)</f>
        <v/>
      </c>
      <c r="J191" s="21">
        <f>100*(J57-J56)</f>
        <v/>
      </c>
      <c r="K191" s="21">
        <f>100*(K57-K56)</f>
        <v/>
      </c>
      <c r="L191" s="21">
        <f>100*(L57-L56)</f>
        <v/>
      </c>
      <c r="M191" s="21">
        <f>100*(M57-M56)</f>
        <v/>
      </c>
      <c r="N191" s="21">
        <f>100*(N57-N56)</f>
        <v/>
      </c>
      <c r="O191" s="21">
        <f>100*(O57-O56)</f>
        <v/>
      </c>
      <c r="P191" s="21">
        <f>100*(P57-P56)</f>
        <v/>
      </c>
      <c r="Q191" s="21">
        <f>100*(Q57-Q56)</f>
        <v/>
      </c>
      <c r="R191" s="21">
        <f>100*(R57-R56)</f>
        <v/>
      </c>
      <c r="S191" s="21">
        <f>100*(S57-S56)</f>
        <v/>
      </c>
      <c r="T191" s="21">
        <f>100*(T57-T56)</f>
        <v/>
      </c>
      <c r="U191" s="21">
        <f>100*(U57-U56)</f>
        <v/>
      </c>
      <c r="V191" s="21">
        <f>100*(V57-V56)</f>
        <v/>
      </c>
      <c r="W191" s="21">
        <f>100*(W57-W56)</f>
        <v/>
      </c>
      <c r="X191" s="21">
        <f>100*(X57-X56)</f>
        <v/>
      </c>
      <c r="Y191" s="21">
        <f>100*(Y57-Y56)</f>
        <v/>
      </c>
      <c r="Z191" s="21">
        <f>100*(Z57-Z56)</f>
        <v/>
      </c>
      <c r="AA191" s="21">
        <f>100*(AA57-AA56)</f>
        <v/>
      </c>
      <c r="AB191" s="21">
        <f>100*(AB57-AB56)</f>
        <v/>
      </c>
      <c r="AC191" s="21">
        <f>100*(AC57-AC56)</f>
        <v/>
      </c>
      <c r="AD191" s="21">
        <f>100*(AD57-AD56)</f>
        <v/>
      </c>
      <c r="AE191" s="21">
        <f>100*(AE57-AE56)</f>
        <v/>
      </c>
      <c r="AF191" s="21">
        <f>100*(AF57-AF56)</f>
        <v/>
      </c>
      <c r="AG191" s="21">
        <f>100*(AG57-AG56)</f>
        <v/>
      </c>
      <c r="AH191" s="21">
        <f>100*(AH57-AH56)</f>
        <v/>
      </c>
      <c r="AI191" s="21">
        <f>100*(AI57-AI56)</f>
        <v/>
      </c>
      <c r="AJ191" s="21">
        <f>100*(AJ57-AJ56)</f>
        <v/>
      </c>
      <c r="AK191" s="21">
        <f>100*(AK57-AK56)</f>
        <v/>
      </c>
      <c r="AL191" s="21">
        <f>AVERAGE(C191:AK191)</f>
        <v/>
      </c>
    </row>
    <row r="192">
      <c r="A192" s="19">
        <f>A58</f>
        <v/>
      </c>
      <c r="B192" s="20">
        <f>B58</f>
        <v/>
      </c>
      <c r="C192" s="21">
        <f>100*(C58-C57)</f>
        <v/>
      </c>
      <c r="D192" s="21">
        <f>100*(D58-D57)</f>
        <v/>
      </c>
      <c r="E192" s="21">
        <f>100*(E58-E57)</f>
        <v/>
      </c>
      <c r="F192" s="21">
        <f>100*(F58-F57)</f>
        <v/>
      </c>
      <c r="G192" s="21">
        <f>100*(G58-G57)</f>
        <v/>
      </c>
      <c r="H192" s="21">
        <f>100*(H58-H57)</f>
        <v/>
      </c>
      <c r="I192" s="21">
        <f>100*(I58-I57)</f>
        <v/>
      </c>
      <c r="J192" s="21">
        <f>100*(J58-J57)</f>
        <v/>
      </c>
      <c r="K192" s="21">
        <f>100*(K58-K57)</f>
        <v/>
      </c>
      <c r="L192" s="21">
        <f>100*(L58-L57)</f>
        <v/>
      </c>
      <c r="M192" s="21">
        <f>100*(M58-M57)</f>
        <v/>
      </c>
      <c r="N192" s="21">
        <f>100*(N58-N57)</f>
        <v/>
      </c>
      <c r="O192" s="21">
        <f>100*(O58-O57)</f>
        <v/>
      </c>
      <c r="P192" s="21">
        <f>100*(P58-P57)</f>
        <v/>
      </c>
      <c r="Q192" s="21">
        <f>100*(Q58-Q57)</f>
        <v/>
      </c>
      <c r="R192" s="21">
        <f>100*(R58-R57)</f>
        <v/>
      </c>
      <c r="S192" s="21">
        <f>100*(S58-S57)</f>
        <v/>
      </c>
      <c r="T192" s="21">
        <f>100*(T58-T57)</f>
        <v/>
      </c>
      <c r="U192" s="21">
        <f>100*(U58-U57)</f>
        <v/>
      </c>
      <c r="V192" s="21">
        <f>100*(V58-V57)</f>
        <v/>
      </c>
      <c r="W192" s="21">
        <f>100*(W58-W57)</f>
        <v/>
      </c>
      <c r="X192" s="21">
        <f>100*(X58-X57)</f>
        <v/>
      </c>
      <c r="Y192" s="21">
        <f>100*(Y58-Y57)</f>
        <v/>
      </c>
      <c r="Z192" s="21">
        <f>100*(Z58-Z57)</f>
        <v/>
      </c>
      <c r="AA192" s="21">
        <f>100*(AA58-AA57)</f>
        <v/>
      </c>
      <c r="AB192" s="21">
        <f>100*(AB58-AB57)</f>
        <v/>
      </c>
      <c r="AC192" s="21">
        <f>100*(AC58-AC57)</f>
        <v/>
      </c>
      <c r="AD192" s="21">
        <f>100*(AD58-AD57)</f>
        <v/>
      </c>
      <c r="AE192" s="21">
        <f>100*(AE58-AE57)</f>
        <v/>
      </c>
      <c r="AF192" s="21">
        <f>100*(AF58-AF57)</f>
        <v/>
      </c>
      <c r="AG192" s="21">
        <f>100*(AG58-AG57)</f>
        <v/>
      </c>
      <c r="AH192" s="21">
        <f>100*(AH58-AH57)</f>
        <v/>
      </c>
      <c r="AI192" s="21">
        <f>100*(AI58-AI57)</f>
        <v/>
      </c>
      <c r="AJ192" s="21">
        <f>100*(AJ58-AJ57)</f>
        <v/>
      </c>
      <c r="AK192" s="21">
        <f>100*(AK58-AK57)</f>
        <v/>
      </c>
      <c r="AL192" s="21">
        <f>AVERAGE(C192:AK192)</f>
        <v/>
      </c>
    </row>
    <row r="193">
      <c r="A193" s="19">
        <f>A59</f>
        <v/>
      </c>
      <c r="B193" s="20">
        <f>B59</f>
        <v/>
      </c>
      <c r="C193" s="21">
        <f>100*(C59-C58)</f>
        <v/>
      </c>
      <c r="D193" s="21">
        <f>100*(D59-D58)</f>
        <v/>
      </c>
      <c r="E193" s="21">
        <f>100*(E59-E58)</f>
        <v/>
      </c>
      <c r="F193" s="21">
        <f>100*(F59-F58)</f>
        <v/>
      </c>
      <c r="G193" s="21">
        <f>100*(G59-G58)</f>
        <v/>
      </c>
      <c r="H193" s="21">
        <f>100*(H59-H58)</f>
        <v/>
      </c>
      <c r="I193" s="21">
        <f>100*(I59-I58)</f>
        <v/>
      </c>
      <c r="J193" s="21">
        <f>100*(J59-J58)</f>
        <v/>
      </c>
      <c r="K193" s="21">
        <f>100*(K59-K58)</f>
        <v/>
      </c>
      <c r="L193" s="21">
        <f>100*(L59-L58)</f>
        <v/>
      </c>
      <c r="M193" s="21">
        <f>100*(M59-M58)</f>
        <v/>
      </c>
      <c r="N193" s="21">
        <f>100*(N59-N58)</f>
        <v/>
      </c>
      <c r="O193" s="21">
        <f>100*(O59-O58)</f>
        <v/>
      </c>
      <c r="P193" s="21">
        <f>100*(P59-P58)</f>
        <v/>
      </c>
      <c r="Q193" s="21">
        <f>100*(Q59-Q58)</f>
        <v/>
      </c>
      <c r="R193" s="21">
        <f>100*(R59-R58)</f>
        <v/>
      </c>
      <c r="S193" s="21">
        <f>100*(S59-S58)</f>
        <v/>
      </c>
      <c r="T193" s="21">
        <f>100*(T59-T58)</f>
        <v/>
      </c>
      <c r="U193" s="21">
        <f>100*(U59-U58)</f>
        <v/>
      </c>
      <c r="V193" s="21">
        <f>100*(V59-V58)</f>
        <v/>
      </c>
      <c r="W193" s="21">
        <f>100*(W59-W58)</f>
        <v/>
      </c>
      <c r="X193" s="21">
        <f>100*(X59-X58)</f>
        <v/>
      </c>
      <c r="Y193" s="21">
        <f>100*(Y59-Y58)</f>
        <v/>
      </c>
      <c r="Z193" s="21">
        <f>100*(Z59-Z58)</f>
        <v/>
      </c>
      <c r="AA193" s="21">
        <f>100*(AA59-AA58)</f>
        <v/>
      </c>
      <c r="AB193" s="21">
        <f>100*(AB59-AB58)</f>
        <v/>
      </c>
      <c r="AC193" s="21">
        <f>100*(AC59-AC58)</f>
        <v/>
      </c>
      <c r="AD193" s="21">
        <f>100*(AD59-AD58)</f>
        <v/>
      </c>
      <c r="AE193" s="21">
        <f>100*(AE59-AE58)</f>
        <v/>
      </c>
      <c r="AF193" s="21">
        <f>100*(AF59-AF58)</f>
        <v/>
      </c>
      <c r="AG193" s="21">
        <f>100*(AG59-AG58)</f>
        <v/>
      </c>
      <c r="AH193" s="21">
        <f>100*(AH59-AH58)</f>
        <v/>
      </c>
      <c r="AI193" s="21">
        <f>100*(AI59-AI58)</f>
        <v/>
      </c>
      <c r="AJ193" s="21">
        <f>100*(AJ59-AJ58)</f>
        <v/>
      </c>
      <c r="AK193" s="21">
        <f>100*(AK59-AK58)</f>
        <v/>
      </c>
      <c r="AL193" s="21">
        <f>AVERAGE(C193:AK193)</f>
        <v/>
      </c>
    </row>
    <row r="194">
      <c r="A194" s="19">
        <f>A60</f>
        <v/>
      </c>
      <c r="B194" s="20">
        <f>B60</f>
        <v/>
      </c>
      <c r="C194" s="21">
        <f>100*(C60-C59)</f>
        <v/>
      </c>
      <c r="D194" s="21">
        <f>100*(D60-D59)</f>
        <v/>
      </c>
      <c r="E194" s="21">
        <f>100*(E60-E59)</f>
        <v/>
      </c>
      <c r="F194" s="21">
        <f>100*(F60-F59)</f>
        <v/>
      </c>
      <c r="G194" s="21">
        <f>100*(G60-G59)</f>
        <v/>
      </c>
      <c r="H194" s="21">
        <f>100*(H60-H59)</f>
        <v/>
      </c>
      <c r="I194" s="21">
        <f>100*(I60-I59)</f>
        <v/>
      </c>
      <c r="J194" s="21">
        <f>100*(J60-J59)</f>
        <v/>
      </c>
      <c r="K194" s="21">
        <f>100*(K60-K59)</f>
        <v/>
      </c>
      <c r="L194" s="21">
        <f>100*(L60-L59)</f>
        <v/>
      </c>
      <c r="M194" s="21">
        <f>100*(M60-M59)</f>
        <v/>
      </c>
      <c r="N194" s="21">
        <f>100*(N60-N59)</f>
        <v/>
      </c>
      <c r="O194" s="21">
        <f>100*(O60-O59)</f>
        <v/>
      </c>
      <c r="P194" s="21">
        <f>100*(P60-P59)</f>
        <v/>
      </c>
      <c r="Q194" s="21">
        <f>100*(Q60-Q59)</f>
        <v/>
      </c>
      <c r="R194" s="21">
        <f>100*(R60-R59)</f>
        <v/>
      </c>
      <c r="S194" s="21">
        <f>100*(S60-S59)</f>
        <v/>
      </c>
      <c r="T194" s="21">
        <f>100*(T60-T59)</f>
        <v/>
      </c>
      <c r="U194" s="21">
        <f>100*(U60-U59)</f>
        <v/>
      </c>
      <c r="V194" s="21">
        <f>100*(V60-V59)</f>
        <v/>
      </c>
      <c r="W194" s="21">
        <f>100*(W60-W59)</f>
        <v/>
      </c>
      <c r="X194" s="21">
        <f>100*(X60-X59)</f>
        <v/>
      </c>
      <c r="Y194" s="21">
        <f>100*(Y60-Y59)</f>
        <v/>
      </c>
      <c r="Z194" s="21">
        <f>100*(Z60-Z59)</f>
        <v/>
      </c>
      <c r="AA194" s="21">
        <f>100*(AA60-AA59)</f>
        <v/>
      </c>
      <c r="AB194" s="21">
        <f>100*(AB60-AB59)</f>
        <v/>
      </c>
      <c r="AC194" s="21">
        <f>100*(AC60-AC59)</f>
        <v/>
      </c>
      <c r="AD194" s="21">
        <f>100*(AD60-AD59)</f>
        <v/>
      </c>
      <c r="AE194" s="21">
        <f>100*(AE60-AE59)</f>
        <v/>
      </c>
      <c r="AF194" s="21">
        <f>100*(AF60-AF59)</f>
        <v/>
      </c>
      <c r="AG194" s="21">
        <f>100*(AG60-AG59)</f>
        <v/>
      </c>
      <c r="AH194" s="21">
        <f>100*(AH60-AH59)</f>
        <v/>
      </c>
      <c r="AI194" s="21">
        <f>100*(AI60-AI59)</f>
        <v/>
      </c>
      <c r="AJ194" s="21">
        <f>100*(AJ60-AJ59)</f>
        <v/>
      </c>
      <c r="AK194" s="21">
        <f>100*(AK60-AK59)</f>
        <v/>
      </c>
      <c r="AL194" s="21">
        <f>AVERAGE(C194:AK194)</f>
        <v/>
      </c>
    </row>
    <row r="195">
      <c r="A195" s="19">
        <f>A61</f>
        <v/>
      </c>
      <c r="B195" s="20">
        <f>B61</f>
        <v/>
      </c>
      <c r="C195" s="21">
        <f>100*(C61-C60)</f>
        <v/>
      </c>
      <c r="D195" s="21">
        <f>100*(D61-D60)</f>
        <v/>
      </c>
      <c r="E195" s="21">
        <f>100*(E61-E60)</f>
        <v/>
      </c>
      <c r="F195" s="21">
        <f>100*(F61-F60)</f>
        <v/>
      </c>
      <c r="G195" s="21">
        <f>100*(G61-G60)</f>
        <v/>
      </c>
      <c r="H195" s="21">
        <f>100*(H61-H60)</f>
        <v/>
      </c>
      <c r="I195" s="21">
        <f>100*(I61-I60)</f>
        <v/>
      </c>
      <c r="J195" s="21">
        <f>100*(J61-J60)</f>
        <v/>
      </c>
      <c r="K195" s="21">
        <f>100*(K61-K60)</f>
        <v/>
      </c>
      <c r="L195" s="21">
        <f>100*(L61-L60)</f>
        <v/>
      </c>
      <c r="M195" s="21">
        <f>100*(M61-M60)</f>
        <v/>
      </c>
      <c r="N195" s="21">
        <f>100*(N61-N60)</f>
        <v/>
      </c>
      <c r="O195" s="21">
        <f>100*(O61-O60)</f>
        <v/>
      </c>
      <c r="P195" s="21">
        <f>100*(P61-P60)</f>
        <v/>
      </c>
      <c r="Q195" s="21">
        <f>100*(Q61-Q60)</f>
        <v/>
      </c>
      <c r="R195" s="21">
        <f>100*(R61-R60)</f>
        <v/>
      </c>
      <c r="S195" s="21">
        <f>100*(S61-S60)</f>
        <v/>
      </c>
      <c r="T195" s="21">
        <f>100*(T61-T60)</f>
        <v/>
      </c>
      <c r="U195" s="21">
        <f>100*(U61-U60)</f>
        <v/>
      </c>
      <c r="V195" s="21">
        <f>100*(V61-V60)</f>
        <v/>
      </c>
      <c r="W195" s="21">
        <f>100*(W61-W60)</f>
        <v/>
      </c>
      <c r="X195" s="21">
        <f>100*(X61-X60)</f>
        <v/>
      </c>
      <c r="Y195" s="21">
        <f>100*(Y61-Y60)</f>
        <v/>
      </c>
      <c r="Z195" s="21">
        <f>100*(Z61-Z60)</f>
        <v/>
      </c>
      <c r="AA195" s="21">
        <f>100*(AA61-AA60)</f>
        <v/>
      </c>
      <c r="AB195" s="21">
        <f>100*(AB61-AB60)</f>
        <v/>
      </c>
      <c r="AC195" s="21">
        <f>100*(AC61-AC60)</f>
        <v/>
      </c>
      <c r="AD195" s="21">
        <f>100*(AD61-AD60)</f>
        <v/>
      </c>
      <c r="AE195" s="21">
        <f>100*(AE61-AE60)</f>
        <v/>
      </c>
      <c r="AF195" s="21">
        <f>100*(AF61-AF60)</f>
        <v/>
      </c>
      <c r="AG195" s="21">
        <f>100*(AG61-AG60)</f>
        <v/>
      </c>
      <c r="AH195" s="21">
        <f>100*(AH61-AH60)</f>
        <v/>
      </c>
      <c r="AI195" s="21">
        <f>100*(AI61-AI60)</f>
        <v/>
      </c>
      <c r="AJ195" s="21">
        <f>100*(AJ61-AJ60)</f>
        <v/>
      </c>
      <c r="AK195" s="21">
        <f>100*(AK61-AK60)</f>
        <v/>
      </c>
      <c r="AL195" s="21">
        <f>AVERAGE(C195:AK195)</f>
        <v/>
      </c>
    </row>
    <row r="196">
      <c r="A196" s="19">
        <f>A62</f>
        <v/>
      </c>
      <c r="B196" s="20">
        <f>B62</f>
        <v/>
      </c>
      <c r="C196" s="21">
        <f>100*(C62-C61)</f>
        <v/>
      </c>
      <c r="D196" s="21">
        <f>100*(D62-D61)</f>
        <v/>
      </c>
      <c r="E196" s="21">
        <f>100*(E62-E61)</f>
        <v/>
      </c>
      <c r="F196" s="21">
        <f>100*(F62-F61)</f>
        <v/>
      </c>
      <c r="G196" s="21">
        <f>100*(G62-G61)</f>
        <v/>
      </c>
      <c r="H196" s="21">
        <f>100*(H62-H61)</f>
        <v/>
      </c>
      <c r="I196" s="21">
        <f>100*(I62-I61)</f>
        <v/>
      </c>
      <c r="J196" s="21">
        <f>100*(J62-J61)</f>
        <v/>
      </c>
      <c r="K196" s="21">
        <f>100*(K62-K61)</f>
        <v/>
      </c>
      <c r="L196" s="21">
        <f>100*(L62-L61)</f>
        <v/>
      </c>
      <c r="M196" s="21">
        <f>100*(M62-M61)</f>
        <v/>
      </c>
      <c r="N196" s="21">
        <f>100*(N62-N61)</f>
        <v/>
      </c>
      <c r="O196" s="21">
        <f>100*(O62-O61)</f>
        <v/>
      </c>
      <c r="P196" s="21">
        <f>100*(P62-P61)</f>
        <v/>
      </c>
      <c r="Q196" s="21">
        <f>100*(Q62-Q61)</f>
        <v/>
      </c>
      <c r="R196" s="21">
        <f>100*(R62-R61)</f>
        <v/>
      </c>
      <c r="S196" s="21">
        <f>100*(S62-S61)</f>
        <v/>
      </c>
      <c r="T196" s="21">
        <f>100*(T62-T61)</f>
        <v/>
      </c>
      <c r="U196" s="21">
        <f>100*(U62-U61)</f>
        <v/>
      </c>
      <c r="V196" s="21">
        <f>100*(V62-V61)</f>
        <v/>
      </c>
      <c r="W196" s="21">
        <f>100*(W62-W61)</f>
        <v/>
      </c>
      <c r="X196" s="21">
        <f>100*(X62-X61)</f>
        <v/>
      </c>
      <c r="Y196" s="21">
        <f>100*(Y62-Y61)</f>
        <v/>
      </c>
      <c r="Z196" s="21">
        <f>100*(Z62-Z61)</f>
        <v/>
      </c>
      <c r="AA196" s="21">
        <f>100*(AA62-AA61)</f>
        <v/>
      </c>
      <c r="AB196" s="21">
        <f>100*(AB62-AB61)</f>
        <v/>
      </c>
      <c r="AC196" s="21">
        <f>100*(AC62-AC61)</f>
        <v/>
      </c>
      <c r="AD196" s="21">
        <f>100*(AD62-AD61)</f>
        <v/>
      </c>
      <c r="AE196" s="21">
        <f>100*(AE62-AE61)</f>
        <v/>
      </c>
      <c r="AF196" s="21">
        <f>100*(AF62-AF61)</f>
        <v/>
      </c>
      <c r="AG196" s="21">
        <f>100*(AG62-AG61)</f>
        <v/>
      </c>
      <c r="AH196" s="21">
        <f>100*(AH62-AH61)</f>
        <v/>
      </c>
      <c r="AI196" s="21">
        <f>100*(AI62-AI61)</f>
        <v/>
      </c>
      <c r="AJ196" s="21">
        <f>100*(AJ62-AJ61)</f>
        <v/>
      </c>
      <c r="AK196" s="21">
        <f>100*(AK62-AK61)</f>
        <v/>
      </c>
      <c r="AL196" s="21">
        <f>AVERAGE(C196:AK196)</f>
        <v/>
      </c>
    </row>
    <row r="197">
      <c r="A197" s="19">
        <f>A63</f>
        <v/>
      </c>
      <c r="B197" s="20">
        <f>B63</f>
        <v/>
      </c>
      <c r="C197" s="21">
        <f>100*(C63-C62)</f>
        <v/>
      </c>
      <c r="D197" s="21">
        <f>100*(D63-D62)</f>
        <v/>
      </c>
      <c r="E197" s="21">
        <f>100*(E63-E62)</f>
        <v/>
      </c>
      <c r="F197" s="21">
        <f>100*(F63-F62)</f>
        <v/>
      </c>
      <c r="G197" s="21">
        <f>100*(G63-G62)</f>
        <v/>
      </c>
      <c r="H197" s="21">
        <f>100*(H63-H62)</f>
        <v/>
      </c>
      <c r="I197" s="21">
        <f>100*(I63-I62)</f>
        <v/>
      </c>
      <c r="J197" s="21">
        <f>100*(J63-J62)</f>
        <v/>
      </c>
      <c r="K197" s="21">
        <f>100*(K63-K62)</f>
        <v/>
      </c>
      <c r="L197" s="21">
        <f>100*(L63-L62)</f>
        <v/>
      </c>
      <c r="M197" s="21">
        <f>100*(M63-M62)</f>
        <v/>
      </c>
      <c r="N197" s="21">
        <f>100*(N63-N62)</f>
        <v/>
      </c>
      <c r="O197" s="21">
        <f>100*(O63-O62)</f>
        <v/>
      </c>
      <c r="P197" s="21">
        <f>100*(P63-P62)</f>
        <v/>
      </c>
      <c r="Q197" s="21">
        <f>100*(Q63-Q62)</f>
        <v/>
      </c>
      <c r="R197" s="21">
        <f>100*(R63-R62)</f>
        <v/>
      </c>
      <c r="S197" s="21">
        <f>100*(S63-S62)</f>
        <v/>
      </c>
      <c r="T197" s="21">
        <f>100*(T63-T62)</f>
        <v/>
      </c>
      <c r="U197" s="21">
        <f>100*(U63-U62)</f>
        <v/>
      </c>
      <c r="V197" s="21">
        <f>100*(V63-V62)</f>
        <v/>
      </c>
      <c r="W197" s="21">
        <f>100*(W63-W62)</f>
        <v/>
      </c>
      <c r="X197" s="21">
        <f>100*(X63-X62)</f>
        <v/>
      </c>
      <c r="Y197" s="21">
        <f>100*(Y63-Y62)</f>
        <v/>
      </c>
      <c r="Z197" s="21">
        <f>100*(Z63-Z62)</f>
        <v/>
      </c>
      <c r="AA197" s="21">
        <f>100*(AA63-AA62)</f>
        <v/>
      </c>
      <c r="AB197" s="21">
        <f>100*(AB63-AB62)</f>
        <v/>
      </c>
      <c r="AC197" s="21">
        <f>100*(AC63-AC62)</f>
        <v/>
      </c>
      <c r="AD197" s="21">
        <f>100*(AD63-AD62)</f>
        <v/>
      </c>
      <c r="AE197" s="21">
        <f>100*(AE63-AE62)</f>
        <v/>
      </c>
      <c r="AF197" s="21">
        <f>100*(AF63-AF62)</f>
        <v/>
      </c>
      <c r="AG197" s="21">
        <f>100*(AG63-AG62)</f>
        <v/>
      </c>
      <c r="AH197" s="21">
        <f>100*(AH63-AH62)</f>
        <v/>
      </c>
      <c r="AI197" s="21">
        <f>100*(AI63-AI62)</f>
        <v/>
      </c>
      <c r="AJ197" s="21">
        <f>100*(AJ63-AJ62)</f>
        <v/>
      </c>
      <c r="AK197" s="21">
        <f>100*(AK63-AK62)</f>
        <v/>
      </c>
      <c r="AL197" s="21">
        <f>AVERAGE(C197:AK197)</f>
        <v/>
      </c>
    </row>
    <row r="198">
      <c r="A198" s="19">
        <f>A64</f>
        <v/>
      </c>
      <c r="B198" s="20">
        <f>B64</f>
        <v/>
      </c>
      <c r="C198" s="21">
        <f>100*(C64-C63)</f>
        <v/>
      </c>
      <c r="D198" s="21">
        <f>100*(D64-D63)</f>
        <v/>
      </c>
      <c r="E198" s="21">
        <f>100*(E64-E63)</f>
        <v/>
      </c>
      <c r="F198" s="21">
        <f>100*(F64-F63)</f>
        <v/>
      </c>
      <c r="G198" s="21">
        <f>100*(G64-G63)</f>
        <v/>
      </c>
      <c r="H198" s="21">
        <f>100*(H64-H63)</f>
        <v/>
      </c>
      <c r="I198" s="21">
        <f>100*(I64-I63)</f>
        <v/>
      </c>
      <c r="J198" s="21">
        <f>100*(J64-J63)</f>
        <v/>
      </c>
      <c r="K198" s="21">
        <f>100*(K64-K63)</f>
        <v/>
      </c>
      <c r="L198" s="21">
        <f>100*(L64-L63)</f>
        <v/>
      </c>
      <c r="M198" s="21">
        <f>100*(M64-M63)</f>
        <v/>
      </c>
      <c r="N198" s="21">
        <f>100*(N64-N63)</f>
        <v/>
      </c>
      <c r="O198" s="21">
        <f>100*(O64-O63)</f>
        <v/>
      </c>
      <c r="P198" s="21">
        <f>100*(P64-P63)</f>
        <v/>
      </c>
      <c r="Q198" s="21">
        <f>100*(Q64-Q63)</f>
        <v/>
      </c>
      <c r="R198" s="21">
        <f>100*(R64-R63)</f>
        <v/>
      </c>
      <c r="S198" s="21">
        <f>100*(S64-S63)</f>
        <v/>
      </c>
      <c r="T198" s="21">
        <f>100*(T64-T63)</f>
        <v/>
      </c>
      <c r="U198" s="21">
        <f>100*(U64-U63)</f>
        <v/>
      </c>
      <c r="V198" s="21">
        <f>100*(V64-V63)</f>
        <v/>
      </c>
      <c r="W198" s="21">
        <f>100*(W64-W63)</f>
        <v/>
      </c>
      <c r="X198" s="21">
        <f>100*(X64-X63)</f>
        <v/>
      </c>
      <c r="Y198" s="21">
        <f>100*(Y64-Y63)</f>
        <v/>
      </c>
      <c r="Z198" s="21">
        <f>100*(Z64-Z63)</f>
        <v/>
      </c>
      <c r="AA198" s="21">
        <f>100*(AA64-AA63)</f>
        <v/>
      </c>
      <c r="AB198" s="21">
        <f>100*(AB64-AB63)</f>
        <v/>
      </c>
      <c r="AC198" s="21">
        <f>100*(AC64-AC63)</f>
        <v/>
      </c>
      <c r="AD198" s="21">
        <f>100*(AD64-AD63)</f>
        <v/>
      </c>
      <c r="AE198" s="21">
        <f>100*(AE64-AE63)</f>
        <v/>
      </c>
      <c r="AF198" s="21">
        <f>100*(AF64-AF63)</f>
        <v/>
      </c>
      <c r="AG198" s="21">
        <f>100*(AG64-AG63)</f>
        <v/>
      </c>
      <c r="AH198" s="21">
        <f>100*(AH64-AH63)</f>
        <v/>
      </c>
      <c r="AI198" s="21">
        <f>100*(AI64-AI63)</f>
        <v/>
      </c>
      <c r="AJ198" s="21">
        <f>100*(AJ64-AJ63)</f>
        <v/>
      </c>
      <c r="AK198" s="21">
        <f>100*(AK64-AK63)</f>
        <v/>
      </c>
      <c r="AL198" s="21">
        <f>AVERAGE(C198:AK198)</f>
        <v/>
      </c>
    </row>
    <row r="199">
      <c r="A199" s="19">
        <f>A65</f>
        <v/>
      </c>
      <c r="B199" s="20">
        <f>B65</f>
        <v/>
      </c>
      <c r="C199" s="21">
        <f>100*(C65-C64)</f>
        <v/>
      </c>
      <c r="D199" s="21">
        <f>100*(D65-D64)</f>
        <v/>
      </c>
      <c r="E199" s="21">
        <f>100*(E65-E64)</f>
        <v/>
      </c>
      <c r="F199" s="21">
        <f>100*(F65-F64)</f>
        <v/>
      </c>
      <c r="G199" s="21">
        <f>100*(G65-G64)</f>
        <v/>
      </c>
      <c r="H199" s="21">
        <f>100*(H65-H64)</f>
        <v/>
      </c>
      <c r="I199" s="21">
        <f>100*(I65-I64)</f>
        <v/>
      </c>
      <c r="J199" s="21">
        <f>100*(J65-J64)</f>
        <v/>
      </c>
      <c r="K199" s="21">
        <f>100*(K65-K64)</f>
        <v/>
      </c>
      <c r="L199" s="21">
        <f>100*(L65-L64)</f>
        <v/>
      </c>
      <c r="M199" s="21">
        <f>100*(M65-M64)</f>
        <v/>
      </c>
      <c r="N199" s="21">
        <f>100*(N65-N64)</f>
        <v/>
      </c>
      <c r="O199" s="21">
        <f>100*(O65-O64)</f>
        <v/>
      </c>
      <c r="P199" s="21">
        <f>100*(P65-P64)</f>
        <v/>
      </c>
      <c r="Q199" s="21">
        <f>100*(Q65-Q64)</f>
        <v/>
      </c>
      <c r="R199" s="21">
        <f>100*(R65-R64)</f>
        <v/>
      </c>
      <c r="S199" s="21">
        <f>100*(S65-S64)</f>
        <v/>
      </c>
      <c r="T199" s="21">
        <f>100*(T65-T64)</f>
        <v/>
      </c>
      <c r="U199" s="21">
        <f>100*(U65-U64)</f>
        <v/>
      </c>
      <c r="V199" s="21">
        <f>100*(V65-V64)</f>
        <v/>
      </c>
      <c r="W199" s="21">
        <f>100*(W65-W64)</f>
        <v/>
      </c>
      <c r="X199" s="21">
        <f>100*(X65-X64)</f>
        <v/>
      </c>
      <c r="Y199" s="21">
        <f>100*(Y65-Y64)</f>
        <v/>
      </c>
      <c r="Z199" s="21">
        <f>100*(Z65-Z64)</f>
        <v/>
      </c>
      <c r="AA199" s="21">
        <f>100*(AA65-AA64)</f>
        <v/>
      </c>
      <c r="AB199" s="21">
        <f>100*(AB65-AB64)</f>
        <v/>
      </c>
      <c r="AC199" s="21">
        <f>100*(AC65-AC64)</f>
        <v/>
      </c>
      <c r="AD199" s="21">
        <f>100*(AD65-AD64)</f>
        <v/>
      </c>
      <c r="AE199" s="21">
        <f>100*(AE65-AE64)</f>
        <v/>
      </c>
      <c r="AF199" s="21">
        <f>100*(AF65-AF64)</f>
        <v/>
      </c>
      <c r="AG199" s="21">
        <f>100*(AG65-AG64)</f>
        <v/>
      </c>
      <c r="AH199" s="21">
        <f>100*(AH65-AH64)</f>
        <v/>
      </c>
      <c r="AI199" s="21">
        <f>100*(AI65-AI64)</f>
        <v/>
      </c>
      <c r="AJ199" s="21">
        <f>100*(AJ65-AJ64)</f>
        <v/>
      </c>
      <c r="AK199" s="21">
        <f>100*(AK65-AK64)</f>
        <v/>
      </c>
      <c r="AL199" s="21">
        <f>AVERAGE(C199:AK199)</f>
        <v/>
      </c>
    </row>
    <row r="200">
      <c r="A200" s="19">
        <f>A66</f>
        <v/>
      </c>
      <c r="B200" s="20">
        <f>B66</f>
        <v/>
      </c>
      <c r="C200" s="21">
        <f>100*(C66-C65)</f>
        <v/>
      </c>
      <c r="D200" s="21">
        <f>100*(D66-D65)</f>
        <v/>
      </c>
      <c r="E200" s="21">
        <f>100*(E66-E65)</f>
        <v/>
      </c>
      <c r="F200" s="21">
        <f>100*(F66-F65)</f>
        <v/>
      </c>
      <c r="G200" s="21">
        <f>100*(G66-G65)</f>
        <v/>
      </c>
      <c r="H200" s="21">
        <f>100*(H66-H65)</f>
        <v/>
      </c>
      <c r="I200" s="21">
        <f>100*(I66-I65)</f>
        <v/>
      </c>
      <c r="J200" s="21">
        <f>100*(J66-J65)</f>
        <v/>
      </c>
      <c r="K200" s="21">
        <f>100*(K66-K65)</f>
        <v/>
      </c>
      <c r="L200" s="21">
        <f>100*(L66-L65)</f>
        <v/>
      </c>
      <c r="M200" s="21">
        <f>100*(M66-M65)</f>
        <v/>
      </c>
      <c r="N200" s="21">
        <f>100*(N66-N65)</f>
        <v/>
      </c>
      <c r="O200" s="21">
        <f>100*(O66-O65)</f>
        <v/>
      </c>
      <c r="P200" s="21">
        <f>100*(P66-P65)</f>
        <v/>
      </c>
      <c r="Q200" s="21">
        <f>100*(Q66-Q65)</f>
        <v/>
      </c>
      <c r="R200" s="21">
        <f>100*(R66-R65)</f>
        <v/>
      </c>
      <c r="S200" s="21">
        <f>100*(S66-S65)</f>
        <v/>
      </c>
      <c r="T200" s="21">
        <f>100*(T66-T65)</f>
        <v/>
      </c>
      <c r="U200" s="21">
        <f>100*(U66-U65)</f>
        <v/>
      </c>
      <c r="V200" s="21">
        <f>100*(V66-V65)</f>
        <v/>
      </c>
      <c r="W200" s="21">
        <f>100*(W66-W65)</f>
        <v/>
      </c>
      <c r="X200" s="21">
        <f>100*(X66-X65)</f>
        <v/>
      </c>
      <c r="Y200" s="21">
        <f>100*(Y66-Y65)</f>
        <v/>
      </c>
      <c r="Z200" s="21">
        <f>100*(Z66-Z65)</f>
        <v/>
      </c>
      <c r="AA200" s="21">
        <f>100*(AA66-AA65)</f>
        <v/>
      </c>
      <c r="AB200" s="21">
        <f>100*(AB66-AB65)</f>
        <v/>
      </c>
      <c r="AC200" s="21">
        <f>100*(AC66-AC65)</f>
        <v/>
      </c>
      <c r="AD200" s="21">
        <f>100*(AD66-AD65)</f>
        <v/>
      </c>
      <c r="AE200" s="21">
        <f>100*(AE66-AE65)</f>
        <v/>
      </c>
      <c r="AF200" s="21">
        <f>100*(AF66-AF65)</f>
        <v/>
      </c>
      <c r="AG200" s="21">
        <f>100*(AG66-AG65)</f>
        <v/>
      </c>
      <c r="AH200" s="21">
        <f>100*(AH66-AH65)</f>
        <v/>
      </c>
      <c r="AI200" s="21">
        <f>100*(AI66-AI65)</f>
        <v/>
      </c>
      <c r="AJ200" s="21">
        <f>100*(AJ66-AJ65)</f>
        <v/>
      </c>
      <c r="AK200" s="21">
        <f>100*(AK66-AK65)</f>
        <v/>
      </c>
      <c r="AL200" s="21">
        <f>AVERAGE(C200:AK200)</f>
        <v/>
      </c>
    </row>
    <row r="201">
      <c r="A201" s="19">
        <f>A67</f>
        <v/>
      </c>
      <c r="B201" s="20">
        <f>B67</f>
        <v/>
      </c>
      <c r="C201" s="21">
        <f>100*(C67-C66)</f>
        <v/>
      </c>
      <c r="D201" s="21">
        <f>100*(D67-D66)</f>
        <v/>
      </c>
      <c r="E201" s="21">
        <f>100*(E67-E66)</f>
        <v/>
      </c>
      <c r="F201" s="21">
        <f>100*(F67-F66)</f>
        <v/>
      </c>
      <c r="G201" s="21">
        <f>100*(G67-G66)</f>
        <v/>
      </c>
      <c r="H201" s="21">
        <f>100*(H67-H66)</f>
        <v/>
      </c>
      <c r="I201" s="21">
        <f>100*(I67-I66)</f>
        <v/>
      </c>
      <c r="J201" s="21">
        <f>100*(J67-J66)</f>
        <v/>
      </c>
      <c r="K201" s="21">
        <f>100*(K67-K66)</f>
        <v/>
      </c>
      <c r="L201" s="21">
        <f>100*(L67-L66)</f>
        <v/>
      </c>
      <c r="M201" s="21">
        <f>100*(M67-M66)</f>
        <v/>
      </c>
      <c r="N201" s="21">
        <f>100*(N67-N66)</f>
        <v/>
      </c>
      <c r="O201" s="21">
        <f>100*(O67-O66)</f>
        <v/>
      </c>
      <c r="P201" s="21">
        <f>100*(P67-P66)</f>
        <v/>
      </c>
      <c r="Q201" s="21">
        <f>100*(Q67-Q66)</f>
        <v/>
      </c>
      <c r="R201" s="21">
        <f>100*(R67-R66)</f>
        <v/>
      </c>
      <c r="S201" s="21">
        <f>100*(S67-S66)</f>
        <v/>
      </c>
      <c r="T201" s="21">
        <f>100*(T67-T66)</f>
        <v/>
      </c>
      <c r="U201" s="21">
        <f>100*(U67-U66)</f>
        <v/>
      </c>
      <c r="V201" s="21">
        <f>100*(V67-V66)</f>
        <v/>
      </c>
      <c r="W201" s="21">
        <f>100*(W67-W66)</f>
        <v/>
      </c>
      <c r="X201" s="21">
        <f>100*(X67-X66)</f>
        <v/>
      </c>
      <c r="Y201" s="21">
        <f>100*(Y67-Y66)</f>
        <v/>
      </c>
      <c r="Z201" s="21">
        <f>100*(Z67-Z66)</f>
        <v/>
      </c>
      <c r="AA201" s="21">
        <f>100*(AA67-AA66)</f>
        <v/>
      </c>
      <c r="AB201" s="21">
        <f>100*(AB67-AB66)</f>
        <v/>
      </c>
      <c r="AC201" s="21">
        <f>100*(AC67-AC66)</f>
        <v/>
      </c>
      <c r="AD201" s="21">
        <f>100*(AD67-AD66)</f>
        <v/>
      </c>
      <c r="AE201" s="21">
        <f>100*(AE67-AE66)</f>
        <v/>
      </c>
      <c r="AF201" s="21">
        <f>100*(AF67-AF66)</f>
        <v/>
      </c>
      <c r="AG201" s="21">
        <f>100*(AG67-AG66)</f>
        <v/>
      </c>
      <c r="AH201" s="21">
        <f>100*(AH67-AH66)</f>
        <v/>
      </c>
      <c r="AI201" s="21">
        <f>100*(AI67-AI66)</f>
        <v/>
      </c>
      <c r="AJ201" s="21">
        <f>100*(AJ67-AJ66)</f>
        <v/>
      </c>
      <c r="AK201" s="21">
        <f>100*(AK67-AK66)</f>
        <v/>
      </c>
      <c r="AL201" s="21">
        <f>AVERAGE(C201:AK201)</f>
        <v/>
      </c>
    </row>
    <row r="202">
      <c r="A202" s="19">
        <f>A68</f>
        <v/>
      </c>
      <c r="B202" s="20">
        <f>B68</f>
        <v/>
      </c>
      <c r="C202" s="21">
        <f>100*(C68-C67)</f>
        <v/>
      </c>
      <c r="D202" s="21">
        <f>100*(D68-D67)</f>
        <v/>
      </c>
      <c r="E202" s="21">
        <f>100*(E68-E67)</f>
        <v/>
      </c>
      <c r="F202" s="21">
        <f>100*(F68-F67)</f>
        <v/>
      </c>
      <c r="G202" s="21">
        <f>100*(G68-G67)</f>
        <v/>
      </c>
      <c r="H202" s="21">
        <f>100*(H68-H67)</f>
        <v/>
      </c>
      <c r="I202" s="21">
        <f>100*(I68-I67)</f>
        <v/>
      </c>
      <c r="J202" s="21">
        <f>100*(J68-J67)</f>
        <v/>
      </c>
      <c r="K202" s="21">
        <f>100*(K68-K67)</f>
        <v/>
      </c>
      <c r="L202" s="21">
        <f>100*(L68-L67)</f>
        <v/>
      </c>
      <c r="M202" s="21">
        <f>100*(M68-M67)</f>
        <v/>
      </c>
      <c r="N202" s="21">
        <f>100*(N68-N67)</f>
        <v/>
      </c>
      <c r="O202" s="21">
        <f>100*(O68-O67)</f>
        <v/>
      </c>
      <c r="P202" s="21">
        <f>100*(P68-P67)</f>
        <v/>
      </c>
      <c r="Q202" s="21">
        <f>100*(Q68-Q67)</f>
        <v/>
      </c>
      <c r="R202" s="21">
        <f>100*(R68-R67)</f>
        <v/>
      </c>
      <c r="S202" s="21">
        <f>100*(S68-S67)</f>
        <v/>
      </c>
      <c r="T202" s="21">
        <f>100*(T68-T67)</f>
        <v/>
      </c>
      <c r="U202" s="21">
        <f>100*(U68-U67)</f>
        <v/>
      </c>
      <c r="V202" s="21">
        <f>100*(V68-V67)</f>
        <v/>
      </c>
      <c r="W202" s="21">
        <f>100*(W68-W67)</f>
        <v/>
      </c>
      <c r="X202" s="21">
        <f>100*(X68-X67)</f>
        <v/>
      </c>
      <c r="Y202" s="21">
        <f>100*(Y68-Y67)</f>
        <v/>
      </c>
      <c r="Z202" s="21">
        <f>100*(Z68-Z67)</f>
        <v/>
      </c>
      <c r="AA202" s="21">
        <f>100*(AA68-AA67)</f>
        <v/>
      </c>
      <c r="AB202" s="21">
        <f>100*(AB68-AB67)</f>
        <v/>
      </c>
      <c r="AC202" s="21">
        <f>100*(AC68-AC67)</f>
        <v/>
      </c>
      <c r="AD202" s="21">
        <f>100*(AD68-AD67)</f>
        <v/>
      </c>
      <c r="AE202" s="21">
        <f>100*(AE68-AE67)</f>
        <v/>
      </c>
      <c r="AF202" s="21">
        <f>100*(AF68-AF67)</f>
        <v/>
      </c>
      <c r="AG202" s="21">
        <f>100*(AG68-AG67)</f>
        <v/>
      </c>
      <c r="AH202" s="21">
        <f>100*(AH68-AH67)</f>
        <v/>
      </c>
      <c r="AI202" s="21">
        <f>100*(AI68-AI67)</f>
        <v/>
      </c>
      <c r="AJ202" s="21">
        <f>100*(AJ68-AJ67)</f>
        <v/>
      </c>
      <c r="AK202" s="21">
        <f>100*(AK68-AK67)</f>
        <v/>
      </c>
      <c r="AL202" s="21">
        <f>AVERAGE(C202:AK202)</f>
        <v/>
      </c>
    </row>
    <row r="203">
      <c r="A203" s="19">
        <f>A69</f>
        <v/>
      </c>
      <c r="B203" s="20">
        <f>B69</f>
        <v/>
      </c>
      <c r="C203" s="21">
        <f>100*(C69-C68)</f>
        <v/>
      </c>
      <c r="D203" s="21">
        <f>100*(D69-D68)</f>
        <v/>
      </c>
      <c r="E203" s="21">
        <f>100*(E69-E68)</f>
        <v/>
      </c>
      <c r="F203" s="21">
        <f>100*(F69-F68)</f>
        <v/>
      </c>
      <c r="G203" s="21">
        <f>100*(G69-G68)</f>
        <v/>
      </c>
      <c r="H203" s="21">
        <f>100*(H69-H68)</f>
        <v/>
      </c>
      <c r="I203" s="21">
        <f>100*(I69-I68)</f>
        <v/>
      </c>
      <c r="J203" s="21">
        <f>100*(J69-J68)</f>
        <v/>
      </c>
      <c r="K203" s="21">
        <f>100*(K69-K68)</f>
        <v/>
      </c>
      <c r="L203" s="21">
        <f>100*(L69-L68)</f>
        <v/>
      </c>
      <c r="M203" s="21">
        <f>100*(M69-M68)</f>
        <v/>
      </c>
      <c r="N203" s="21">
        <f>100*(N69-N68)</f>
        <v/>
      </c>
      <c r="O203" s="21">
        <f>100*(O69-O68)</f>
        <v/>
      </c>
      <c r="P203" s="21">
        <f>100*(P69-P68)</f>
        <v/>
      </c>
      <c r="Q203" s="21">
        <f>100*(Q69-Q68)</f>
        <v/>
      </c>
      <c r="R203" s="21">
        <f>100*(R69-R68)</f>
        <v/>
      </c>
      <c r="S203" s="21">
        <f>100*(S69-S68)</f>
        <v/>
      </c>
      <c r="T203" s="21">
        <f>100*(T69-T68)</f>
        <v/>
      </c>
      <c r="U203" s="21">
        <f>100*(U69-U68)</f>
        <v/>
      </c>
      <c r="V203" s="21">
        <f>100*(V69-V68)</f>
        <v/>
      </c>
      <c r="W203" s="21">
        <f>100*(W69-W68)</f>
        <v/>
      </c>
      <c r="X203" s="21">
        <f>100*(X69-X68)</f>
        <v/>
      </c>
      <c r="Y203" s="21">
        <f>100*(Y69-Y68)</f>
        <v/>
      </c>
      <c r="Z203" s="21">
        <f>100*(Z69-Z68)</f>
        <v/>
      </c>
      <c r="AA203" s="21">
        <f>100*(AA69-AA68)</f>
        <v/>
      </c>
      <c r="AB203" s="21">
        <f>100*(AB69-AB68)</f>
        <v/>
      </c>
      <c r="AC203" s="21">
        <f>100*(AC69-AC68)</f>
        <v/>
      </c>
      <c r="AD203" s="21">
        <f>100*(AD69-AD68)</f>
        <v/>
      </c>
      <c r="AE203" s="21">
        <f>100*(AE69-AE68)</f>
        <v/>
      </c>
      <c r="AF203" s="21">
        <f>100*(AF69-AF68)</f>
        <v/>
      </c>
      <c r="AG203" s="21">
        <f>100*(AG69-AG68)</f>
        <v/>
      </c>
      <c r="AH203" s="21">
        <f>100*(AH69-AH68)</f>
        <v/>
      </c>
      <c r="AI203" s="21">
        <f>100*(AI69-AI68)</f>
        <v/>
      </c>
      <c r="AJ203" s="21">
        <f>100*(AJ69-AJ68)</f>
        <v/>
      </c>
      <c r="AK203" s="21">
        <f>100*(AK69-AK68)</f>
        <v/>
      </c>
      <c r="AL203" s="21">
        <f>AVERAGE(C203:AK203)</f>
        <v/>
      </c>
    </row>
    <row r="204">
      <c r="A204" s="19">
        <f>A70</f>
        <v/>
      </c>
      <c r="B204" s="20">
        <f>B70</f>
        <v/>
      </c>
      <c r="C204" s="21">
        <f>100*(C70-C69)</f>
        <v/>
      </c>
      <c r="D204" s="21">
        <f>100*(D70-D69)</f>
        <v/>
      </c>
      <c r="E204" s="21">
        <f>100*(E70-E69)</f>
        <v/>
      </c>
      <c r="F204" s="21">
        <f>100*(F70-F69)</f>
        <v/>
      </c>
      <c r="G204" s="21">
        <f>100*(G70-G69)</f>
        <v/>
      </c>
      <c r="H204" s="21">
        <f>100*(H70-H69)</f>
        <v/>
      </c>
      <c r="I204" s="21">
        <f>100*(I70-I69)</f>
        <v/>
      </c>
      <c r="J204" s="21">
        <f>100*(J70-J69)</f>
        <v/>
      </c>
      <c r="K204" s="21">
        <f>100*(K70-K69)</f>
        <v/>
      </c>
      <c r="L204" s="21">
        <f>100*(L70-L69)</f>
        <v/>
      </c>
      <c r="M204" s="21">
        <f>100*(M70-M69)</f>
        <v/>
      </c>
      <c r="N204" s="21">
        <f>100*(N70-N69)</f>
        <v/>
      </c>
      <c r="O204" s="21">
        <f>100*(O70-O69)</f>
        <v/>
      </c>
      <c r="P204" s="21">
        <f>100*(P70-P69)</f>
        <v/>
      </c>
      <c r="Q204" s="21">
        <f>100*(Q70-Q69)</f>
        <v/>
      </c>
      <c r="R204" s="21">
        <f>100*(R70-R69)</f>
        <v/>
      </c>
      <c r="S204" s="21">
        <f>100*(S70-S69)</f>
        <v/>
      </c>
      <c r="T204" s="21">
        <f>100*(T70-T69)</f>
        <v/>
      </c>
      <c r="U204" s="21">
        <f>100*(U70-U69)</f>
        <v/>
      </c>
      <c r="V204" s="21">
        <f>100*(V70-V69)</f>
        <v/>
      </c>
      <c r="W204" s="21">
        <f>100*(W70-W69)</f>
        <v/>
      </c>
      <c r="X204" s="21">
        <f>100*(X70-X69)</f>
        <v/>
      </c>
      <c r="Y204" s="21">
        <f>100*(Y70-Y69)</f>
        <v/>
      </c>
      <c r="Z204" s="21">
        <f>100*(Z70-Z69)</f>
        <v/>
      </c>
      <c r="AA204" s="21">
        <f>100*(AA70-AA69)</f>
        <v/>
      </c>
      <c r="AB204" s="21">
        <f>100*(AB70-AB69)</f>
        <v/>
      </c>
      <c r="AC204" s="21">
        <f>100*(AC70-AC69)</f>
        <v/>
      </c>
      <c r="AD204" s="21">
        <f>100*(AD70-AD69)</f>
        <v/>
      </c>
      <c r="AE204" s="21">
        <f>100*(AE70-AE69)</f>
        <v/>
      </c>
      <c r="AF204" s="21">
        <f>100*(AF70-AF69)</f>
        <v/>
      </c>
      <c r="AG204" s="21">
        <f>100*(AG70-AG69)</f>
        <v/>
      </c>
      <c r="AH204" s="21">
        <f>100*(AH70-AH69)</f>
        <v/>
      </c>
      <c r="AI204" s="21">
        <f>100*(AI70-AI69)</f>
        <v/>
      </c>
      <c r="AJ204" s="21">
        <f>100*(AJ70-AJ69)</f>
        <v/>
      </c>
      <c r="AK204" s="21">
        <f>100*(AK70-AK69)</f>
        <v/>
      </c>
      <c r="AL204" s="21">
        <f>AVERAGE(C204:AK204)</f>
        <v/>
      </c>
    </row>
    <row r="205">
      <c r="A205" s="19">
        <f>A71</f>
        <v/>
      </c>
      <c r="B205" s="20">
        <f>B71</f>
        <v/>
      </c>
      <c r="C205" s="21">
        <f>100*(C71-C70)</f>
        <v/>
      </c>
      <c r="D205" s="21">
        <f>100*(D71-D70)</f>
        <v/>
      </c>
      <c r="E205" s="21">
        <f>100*(E71-E70)</f>
        <v/>
      </c>
      <c r="F205" s="21">
        <f>100*(F71-F70)</f>
        <v/>
      </c>
      <c r="G205" s="21">
        <f>100*(G71-G70)</f>
        <v/>
      </c>
      <c r="H205" s="21">
        <f>100*(H71-H70)</f>
        <v/>
      </c>
      <c r="I205" s="21">
        <f>100*(I71-I70)</f>
        <v/>
      </c>
      <c r="J205" s="21">
        <f>100*(J71-J70)</f>
        <v/>
      </c>
      <c r="K205" s="21">
        <f>100*(K71-K70)</f>
        <v/>
      </c>
      <c r="L205" s="21">
        <f>100*(L71-L70)</f>
        <v/>
      </c>
      <c r="M205" s="21">
        <f>100*(M71-M70)</f>
        <v/>
      </c>
      <c r="N205" s="21">
        <f>100*(N71-N70)</f>
        <v/>
      </c>
      <c r="O205" s="21">
        <f>100*(O71-O70)</f>
        <v/>
      </c>
      <c r="P205" s="21">
        <f>100*(P71-P70)</f>
        <v/>
      </c>
      <c r="Q205" s="21">
        <f>100*(Q71-Q70)</f>
        <v/>
      </c>
      <c r="R205" s="21">
        <f>100*(R71-R70)</f>
        <v/>
      </c>
      <c r="S205" s="21">
        <f>100*(S71-S70)</f>
        <v/>
      </c>
      <c r="T205" s="21">
        <f>100*(T71-T70)</f>
        <v/>
      </c>
      <c r="U205" s="21">
        <f>100*(U71-U70)</f>
        <v/>
      </c>
      <c r="V205" s="21">
        <f>100*(V71-V70)</f>
        <v/>
      </c>
      <c r="W205" s="21">
        <f>100*(W71-W70)</f>
        <v/>
      </c>
      <c r="X205" s="21">
        <f>100*(X71-X70)</f>
        <v/>
      </c>
      <c r="Y205" s="21">
        <f>100*(Y71-Y70)</f>
        <v/>
      </c>
      <c r="Z205" s="21">
        <f>100*(Z71-Z70)</f>
        <v/>
      </c>
      <c r="AA205" s="21">
        <f>100*(AA71-AA70)</f>
        <v/>
      </c>
      <c r="AB205" s="21">
        <f>100*(AB71-AB70)</f>
        <v/>
      </c>
      <c r="AC205" s="21">
        <f>100*(AC71-AC70)</f>
        <v/>
      </c>
      <c r="AD205" s="21">
        <f>100*(AD71-AD70)</f>
        <v/>
      </c>
      <c r="AE205" s="21">
        <f>100*(AE71-AE70)</f>
        <v/>
      </c>
      <c r="AF205" s="21">
        <f>100*(AF71-AF70)</f>
        <v/>
      </c>
      <c r="AG205" s="21">
        <f>100*(AG71-AG70)</f>
        <v/>
      </c>
      <c r="AH205" s="21">
        <f>100*(AH71-AH70)</f>
        <v/>
      </c>
      <c r="AI205" s="21">
        <f>100*(AI71-AI70)</f>
        <v/>
      </c>
      <c r="AJ205" s="21">
        <f>100*(AJ71-AJ70)</f>
        <v/>
      </c>
      <c r="AK205" s="21">
        <f>100*(AK71-AK70)</f>
        <v/>
      </c>
      <c r="AL205" s="21">
        <f>AVERAGE(C205:AK205)</f>
        <v/>
      </c>
    </row>
    <row r="206">
      <c r="A206" s="19">
        <f>A72</f>
        <v/>
      </c>
      <c r="B206" s="20">
        <f>B72</f>
        <v/>
      </c>
      <c r="C206" s="21">
        <f>100*(C72-C71)</f>
        <v/>
      </c>
      <c r="D206" s="21">
        <f>100*(D72-D71)</f>
        <v/>
      </c>
      <c r="E206" s="21">
        <f>100*(E72-E71)</f>
        <v/>
      </c>
      <c r="F206" s="21">
        <f>100*(F72-F71)</f>
        <v/>
      </c>
      <c r="G206" s="21">
        <f>100*(G72-G71)</f>
        <v/>
      </c>
      <c r="H206" s="21">
        <f>100*(H72-H71)</f>
        <v/>
      </c>
      <c r="I206" s="21">
        <f>100*(I72-I71)</f>
        <v/>
      </c>
      <c r="J206" s="21">
        <f>100*(J72-J71)</f>
        <v/>
      </c>
      <c r="K206" s="21">
        <f>100*(K72-K71)</f>
        <v/>
      </c>
      <c r="L206" s="21">
        <f>100*(L72-L71)</f>
        <v/>
      </c>
      <c r="M206" s="21">
        <f>100*(M72-M71)</f>
        <v/>
      </c>
      <c r="N206" s="21">
        <f>100*(N72-N71)</f>
        <v/>
      </c>
      <c r="O206" s="21">
        <f>100*(O72-O71)</f>
        <v/>
      </c>
      <c r="P206" s="21">
        <f>100*(P72-P71)</f>
        <v/>
      </c>
      <c r="Q206" s="21">
        <f>100*(Q72-Q71)</f>
        <v/>
      </c>
      <c r="R206" s="21">
        <f>100*(R72-R71)</f>
        <v/>
      </c>
      <c r="S206" s="21">
        <f>100*(S72-S71)</f>
        <v/>
      </c>
      <c r="T206" s="21">
        <f>100*(T72-T71)</f>
        <v/>
      </c>
      <c r="U206" s="21">
        <f>100*(U72-U71)</f>
        <v/>
      </c>
      <c r="V206" s="21">
        <f>100*(V72-V71)</f>
        <v/>
      </c>
      <c r="W206" s="21">
        <f>100*(W72-W71)</f>
        <v/>
      </c>
      <c r="X206" s="21">
        <f>100*(X72-X71)</f>
        <v/>
      </c>
      <c r="Y206" s="21">
        <f>100*(Y72-Y71)</f>
        <v/>
      </c>
      <c r="Z206" s="21">
        <f>100*(Z72-Z71)</f>
        <v/>
      </c>
      <c r="AA206" s="21">
        <f>100*(AA72-AA71)</f>
        <v/>
      </c>
      <c r="AB206" s="21">
        <f>100*(AB72-AB71)</f>
        <v/>
      </c>
      <c r="AC206" s="21">
        <f>100*(AC72-AC71)</f>
        <v/>
      </c>
      <c r="AD206" s="21">
        <f>100*(AD72-AD71)</f>
        <v/>
      </c>
      <c r="AE206" s="21">
        <f>100*(AE72-AE71)</f>
        <v/>
      </c>
      <c r="AF206" s="21">
        <f>100*(AF72-AF71)</f>
        <v/>
      </c>
      <c r="AG206" s="21">
        <f>100*(AG72-AG71)</f>
        <v/>
      </c>
      <c r="AH206" s="21">
        <f>100*(AH72-AH71)</f>
        <v/>
      </c>
      <c r="AI206" s="21">
        <f>100*(AI72-AI71)</f>
        <v/>
      </c>
      <c r="AJ206" s="21">
        <f>100*(AJ72-AJ71)</f>
        <v/>
      </c>
      <c r="AK206" s="21">
        <f>100*(AK72-AK71)</f>
        <v/>
      </c>
      <c r="AL206" s="21">
        <f>AVERAGE(C206:AK206)</f>
        <v/>
      </c>
    </row>
    <row r="207">
      <c r="A207" s="19">
        <f>A73</f>
        <v/>
      </c>
      <c r="B207" s="20">
        <f>B73</f>
        <v/>
      </c>
      <c r="C207" s="21">
        <f>100*(C73-C72)</f>
        <v/>
      </c>
      <c r="D207" s="21">
        <f>100*(D73-D72)</f>
        <v/>
      </c>
      <c r="E207" s="21">
        <f>100*(E73-E72)</f>
        <v/>
      </c>
      <c r="F207" s="21">
        <f>100*(F73-F72)</f>
        <v/>
      </c>
      <c r="G207" s="21">
        <f>100*(G73-G72)</f>
        <v/>
      </c>
      <c r="H207" s="21">
        <f>100*(H73-H72)</f>
        <v/>
      </c>
      <c r="I207" s="21">
        <f>100*(I73-I72)</f>
        <v/>
      </c>
      <c r="J207" s="21">
        <f>100*(J73-J72)</f>
        <v/>
      </c>
      <c r="K207" s="21">
        <f>100*(K73-K72)</f>
        <v/>
      </c>
      <c r="L207" s="21">
        <f>100*(L73-L72)</f>
        <v/>
      </c>
      <c r="M207" s="21">
        <f>100*(M73-M72)</f>
        <v/>
      </c>
      <c r="N207" s="21">
        <f>100*(N73-N72)</f>
        <v/>
      </c>
      <c r="O207" s="21">
        <f>100*(O73-O72)</f>
        <v/>
      </c>
      <c r="P207" s="21">
        <f>100*(P73-P72)</f>
        <v/>
      </c>
      <c r="Q207" s="21">
        <f>100*(Q73-Q72)</f>
        <v/>
      </c>
      <c r="R207" s="21">
        <f>100*(R73-R72)</f>
        <v/>
      </c>
      <c r="S207" s="21">
        <f>100*(S73-S72)</f>
        <v/>
      </c>
      <c r="T207" s="21">
        <f>100*(T73-T72)</f>
        <v/>
      </c>
      <c r="U207" s="21">
        <f>100*(U73-U72)</f>
        <v/>
      </c>
      <c r="V207" s="21">
        <f>100*(V73-V72)</f>
        <v/>
      </c>
      <c r="W207" s="21">
        <f>100*(W73-W72)</f>
        <v/>
      </c>
      <c r="X207" s="21">
        <f>100*(X73-X72)</f>
        <v/>
      </c>
      <c r="Y207" s="21">
        <f>100*(Y73-Y72)</f>
        <v/>
      </c>
      <c r="Z207" s="21">
        <f>100*(Z73-Z72)</f>
        <v/>
      </c>
      <c r="AA207" s="21">
        <f>100*(AA73-AA72)</f>
        <v/>
      </c>
      <c r="AB207" s="21">
        <f>100*(AB73-AB72)</f>
        <v/>
      </c>
      <c r="AC207" s="21">
        <f>100*(AC73-AC72)</f>
        <v/>
      </c>
      <c r="AD207" s="21">
        <f>100*(AD73-AD72)</f>
        <v/>
      </c>
      <c r="AE207" s="21">
        <f>100*(AE73-AE72)</f>
        <v/>
      </c>
      <c r="AF207" s="21">
        <f>100*(AF73-AF72)</f>
        <v/>
      </c>
      <c r="AG207" s="21">
        <f>100*(AG73-AG72)</f>
        <v/>
      </c>
      <c r="AH207" s="21">
        <f>100*(AH73-AH72)</f>
        <v/>
      </c>
      <c r="AI207" s="21">
        <f>100*(AI73-AI72)</f>
        <v/>
      </c>
      <c r="AJ207" s="21">
        <f>100*(AJ73-AJ72)</f>
        <v/>
      </c>
      <c r="AK207" s="21">
        <f>100*(AK73-AK72)</f>
        <v/>
      </c>
      <c r="AL207" s="21">
        <f>AVERAGE(C207:AK207)</f>
        <v/>
      </c>
    </row>
    <row r="208">
      <c r="A208" s="19">
        <f>A74</f>
        <v/>
      </c>
      <c r="B208" s="20">
        <f>B74</f>
        <v/>
      </c>
      <c r="C208" s="21">
        <f>100*(C74-C73)</f>
        <v/>
      </c>
      <c r="D208" s="21">
        <f>100*(D74-D73)</f>
        <v/>
      </c>
      <c r="E208" s="21">
        <f>100*(E74-E73)</f>
        <v/>
      </c>
      <c r="F208" s="21">
        <f>100*(F74-F73)</f>
        <v/>
      </c>
      <c r="G208" s="21">
        <f>100*(G74-G73)</f>
        <v/>
      </c>
      <c r="H208" s="21">
        <f>100*(H74-H73)</f>
        <v/>
      </c>
      <c r="I208" s="21">
        <f>100*(I74-I73)</f>
        <v/>
      </c>
      <c r="J208" s="21">
        <f>100*(J74-J73)</f>
        <v/>
      </c>
      <c r="K208" s="21">
        <f>100*(K74-K73)</f>
        <v/>
      </c>
      <c r="L208" s="21">
        <f>100*(L74-L73)</f>
        <v/>
      </c>
      <c r="M208" s="21">
        <f>100*(M74-M73)</f>
        <v/>
      </c>
      <c r="N208" s="21">
        <f>100*(N74-N73)</f>
        <v/>
      </c>
      <c r="O208" s="21">
        <f>100*(O74-O73)</f>
        <v/>
      </c>
      <c r="P208" s="21">
        <f>100*(P74-P73)</f>
        <v/>
      </c>
      <c r="Q208" s="21">
        <f>100*(Q74-Q73)</f>
        <v/>
      </c>
      <c r="R208" s="21">
        <f>100*(R74-R73)</f>
        <v/>
      </c>
      <c r="S208" s="21">
        <f>100*(S74-S73)</f>
        <v/>
      </c>
      <c r="T208" s="21">
        <f>100*(T74-T73)</f>
        <v/>
      </c>
      <c r="U208" s="21">
        <f>100*(U74-U73)</f>
        <v/>
      </c>
      <c r="V208" s="21">
        <f>100*(V74-V73)</f>
        <v/>
      </c>
      <c r="W208" s="21">
        <f>100*(W74-W73)</f>
        <v/>
      </c>
      <c r="X208" s="21">
        <f>100*(X74-X73)</f>
        <v/>
      </c>
      <c r="Y208" s="21">
        <f>100*(Y74-Y73)</f>
        <v/>
      </c>
      <c r="Z208" s="21">
        <f>100*(Z74-Z73)</f>
        <v/>
      </c>
      <c r="AA208" s="21">
        <f>100*(AA74-AA73)</f>
        <v/>
      </c>
      <c r="AB208" s="21">
        <f>100*(AB74-AB73)</f>
        <v/>
      </c>
      <c r="AC208" s="21">
        <f>100*(AC74-AC73)</f>
        <v/>
      </c>
      <c r="AD208" s="21">
        <f>100*(AD74-AD73)</f>
        <v/>
      </c>
      <c r="AE208" s="21">
        <f>100*(AE74-AE73)</f>
        <v/>
      </c>
      <c r="AF208" s="21">
        <f>100*(AF74-AF73)</f>
        <v/>
      </c>
      <c r="AG208" s="21">
        <f>100*(AG74-AG73)</f>
        <v/>
      </c>
      <c r="AH208" s="21">
        <f>100*(AH74-AH73)</f>
        <v/>
      </c>
      <c r="AI208" s="21">
        <f>100*(AI74-AI73)</f>
        <v/>
      </c>
      <c r="AJ208" s="21">
        <f>100*(AJ74-AJ73)</f>
        <v/>
      </c>
      <c r="AK208" s="21">
        <f>100*(AK74-AK73)</f>
        <v/>
      </c>
      <c r="AL208" s="21">
        <f>AVERAGE(C208:AK208)</f>
        <v/>
      </c>
    </row>
    <row r="209">
      <c r="A209" s="19">
        <f>A75</f>
        <v/>
      </c>
      <c r="B209" s="20">
        <f>B75</f>
        <v/>
      </c>
      <c r="C209" s="21">
        <f>100*(C75-C74)</f>
        <v/>
      </c>
      <c r="D209" s="21">
        <f>100*(D75-D74)</f>
        <v/>
      </c>
      <c r="E209" s="21">
        <f>100*(E75-E74)</f>
        <v/>
      </c>
      <c r="F209" s="21">
        <f>100*(F75-F74)</f>
        <v/>
      </c>
      <c r="G209" s="21">
        <f>100*(G75-G74)</f>
        <v/>
      </c>
      <c r="H209" s="21">
        <f>100*(H75-H74)</f>
        <v/>
      </c>
      <c r="I209" s="21">
        <f>100*(I75-I74)</f>
        <v/>
      </c>
      <c r="J209" s="21">
        <f>100*(J75-J74)</f>
        <v/>
      </c>
      <c r="K209" s="21">
        <f>100*(K75-K74)</f>
        <v/>
      </c>
      <c r="L209" s="21">
        <f>100*(L75-L74)</f>
        <v/>
      </c>
      <c r="M209" s="21">
        <f>100*(M75-M74)</f>
        <v/>
      </c>
      <c r="N209" s="21">
        <f>100*(N75-N74)</f>
        <v/>
      </c>
      <c r="O209" s="21">
        <f>100*(O75-O74)</f>
        <v/>
      </c>
      <c r="P209" s="21">
        <f>100*(P75-P74)</f>
        <v/>
      </c>
      <c r="Q209" s="21">
        <f>100*(Q75-Q74)</f>
        <v/>
      </c>
      <c r="R209" s="21">
        <f>100*(R75-R74)</f>
        <v/>
      </c>
      <c r="S209" s="21">
        <f>100*(S75-S74)</f>
        <v/>
      </c>
      <c r="T209" s="21">
        <f>100*(T75-T74)</f>
        <v/>
      </c>
      <c r="U209" s="21">
        <f>100*(U75-U74)</f>
        <v/>
      </c>
      <c r="V209" s="21">
        <f>100*(V75-V74)</f>
        <v/>
      </c>
      <c r="W209" s="21">
        <f>100*(W75-W74)</f>
        <v/>
      </c>
      <c r="X209" s="21">
        <f>100*(X75-X74)</f>
        <v/>
      </c>
      <c r="Y209" s="21">
        <f>100*(Y75-Y74)</f>
        <v/>
      </c>
      <c r="Z209" s="21">
        <f>100*(Z75-Z74)</f>
        <v/>
      </c>
      <c r="AA209" s="21">
        <f>100*(AA75-AA74)</f>
        <v/>
      </c>
      <c r="AB209" s="21">
        <f>100*(AB75-AB74)</f>
        <v/>
      </c>
      <c r="AC209" s="21">
        <f>100*(AC75-AC74)</f>
        <v/>
      </c>
      <c r="AD209" s="21">
        <f>100*(AD75-AD74)</f>
        <v/>
      </c>
      <c r="AE209" s="21">
        <f>100*(AE75-AE74)</f>
        <v/>
      </c>
      <c r="AF209" s="21">
        <f>100*(AF75-AF74)</f>
        <v/>
      </c>
      <c r="AG209" s="21">
        <f>100*(AG75-AG74)</f>
        <v/>
      </c>
      <c r="AH209" s="21">
        <f>100*(AH75-AH74)</f>
        <v/>
      </c>
      <c r="AI209" s="21">
        <f>100*(AI75-AI74)</f>
        <v/>
      </c>
      <c r="AJ209" s="21">
        <f>100*(AJ75-AJ74)</f>
        <v/>
      </c>
      <c r="AK209" s="21">
        <f>100*(AK75-AK74)</f>
        <v/>
      </c>
      <c r="AL209" s="21">
        <f>AVERAGE(C209:AK209)</f>
        <v/>
      </c>
    </row>
    <row r="210">
      <c r="A210" s="19">
        <f>A76</f>
        <v/>
      </c>
      <c r="B210" s="20">
        <f>B76</f>
        <v/>
      </c>
      <c r="C210" s="21">
        <f>100*(C76-C75)</f>
        <v/>
      </c>
      <c r="D210" s="21">
        <f>100*(D76-D75)</f>
        <v/>
      </c>
      <c r="E210" s="21">
        <f>100*(E76-E75)</f>
        <v/>
      </c>
      <c r="F210" s="21">
        <f>100*(F76-F75)</f>
        <v/>
      </c>
      <c r="G210" s="21">
        <f>100*(G76-G75)</f>
        <v/>
      </c>
      <c r="H210" s="21">
        <f>100*(H76-H75)</f>
        <v/>
      </c>
      <c r="I210" s="21">
        <f>100*(I76-I75)</f>
        <v/>
      </c>
      <c r="J210" s="21">
        <f>100*(J76-J75)</f>
        <v/>
      </c>
      <c r="K210" s="21">
        <f>100*(K76-K75)</f>
        <v/>
      </c>
      <c r="L210" s="21">
        <f>100*(L76-L75)</f>
        <v/>
      </c>
      <c r="M210" s="21">
        <f>100*(M76-M75)</f>
        <v/>
      </c>
      <c r="N210" s="21">
        <f>100*(N76-N75)</f>
        <v/>
      </c>
      <c r="O210" s="21">
        <f>100*(O76-O75)</f>
        <v/>
      </c>
      <c r="P210" s="21">
        <f>100*(P76-P75)</f>
        <v/>
      </c>
      <c r="Q210" s="21">
        <f>100*(Q76-Q75)</f>
        <v/>
      </c>
      <c r="R210" s="21">
        <f>100*(R76-R75)</f>
        <v/>
      </c>
      <c r="S210" s="21">
        <f>100*(S76-S75)</f>
        <v/>
      </c>
      <c r="T210" s="21">
        <f>100*(T76-T75)</f>
        <v/>
      </c>
      <c r="U210" s="21">
        <f>100*(U76-U75)</f>
        <v/>
      </c>
      <c r="V210" s="21">
        <f>100*(V76-V75)</f>
        <v/>
      </c>
      <c r="W210" s="21">
        <f>100*(W76-W75)</f>
        <v/>
      </c>
      <c r="X210" s="21">
        <f>100*(X76-X75)</f>
        <v/>
      </c>
      <c r="Y210" s="21">
        <f>100*(Y76-Y75)</f>
        <v/>
      </c>
      <c r="Z210" s="21">
        <f>100*(Z76-Z75)</f>
        <v/>
      </c>
      <c r="AA210" s="21">
        <f>100*(AA76-AA75)</f>
        <v/>
      </c>
      <c r="AB210" s="21">
        <f>100*(AB76-AB75)</f>
        <v/>
      </c>
      <c r="AC210" s="21">
        <f>100*(AC76-AC75)</f>
        <v/>
      </c>
      <c r="AD210" s="21">
        <f>100*(AD76-AD75)</f>
        <v/>
      </c>
      <c r="AE210" s="21">
        <f>100*(AE76-AE75)</f>
        <v/>
      </c>
      <c r="AF210" s="21">
        <f>100*(AF76-AF75)</f>
        <v/>
      </c>
      <c r="AG210" s="21">
        <f>100*(AG76-AG75)</f>
        <v/>
      </c>
      <c r="AH210" s="21">
        <f>100*(AH76-AH75)</f>
        <v/>
      </c>
      <c r="AI210" s="21">
        <f>100*(AI76-AI75)</f>
        <v/>
      </c>
      <c r="AJ210" s="21">
        <f>100*(AJ76-AJ75)</f>
        <v/>
      </c>
      <c r="AK210" s="21">
        <f>100*(AK76-AK75)</f>
        <v/>
      </c>
      <c r="AL210" s="21">
        <f>AVERAGE(C210:AK210)</f>
        <v/>
      </c>
    </row>
    <row r="211">
      <c r="A211" s="19">
        <f>A77</f>
        <v/>
      </c>
      <c r="B211" s="20">
        <f>B77</f>
        <v/>
      </c>
      <c r="C211" s="21">
        <f>100*(C77-C76)</f>
        <v/>
      </c>
      <c r="D211" s="21">
        <f>100*(D77-D76)</f>
        <v/>
      </c>
      <c r="E211" s="21">
        <f>100*(E77-E76)</f>
        <v/>
      </c>
      <c r="F211" s="21">
        <f>100*(F77-F76)</f>
        <v/>
      </c>
      <c r="G211" s="21">
        <f>100*(G77-G76)</f>
        <v/>
      </c>
      <c r="H211" s="21">
        <f>100*(H77-H76)</f>
        <v/>
      </c>
      <c r="I211" s="21">
        <f>100*(I77-I76)</f>
        <v/>
      </c>
      <c r="J211" s="21">
        <f>100*(J77-J76)</f>
        <v/>
      </c>
      <c r="K211" s="21">
        <f>100*(K77-K76)</f>
        <v/>
      </c>
      <c r="L211" s="21">
        <f>100*(L77-L76)</f>
        <v/>
      </c>
      <c r="M211" s="21">
        <f>100*(M77-M76)</f>
        <v/>
      </c>
      <c r="N211" s="21">
        <f>100*(N77-N76)</f>
        <v/>
      </c>
      <c r="O211" s="21">
        <f>100*(O77-O76)</f>
        <v/>
      </c>
      <c r="P211" s="21">
        <f>100*(P77-P76)</f>
        <v/>
      </c>
      <c r="Q211" s="21">
        <f>100*(Q77-Q76)</f>
        <v/>
      </c>
      <c r="R211" s="21">
        <f>100*(R77-R76)</f>
        <v/>
      </c>
      <c r="S211" s="21">
        <f>100*(S77-S76)</f>
        <v/>
      </c>
      <c r="T211" s="21">
        <f>100*(T77-T76)</f>
        <v/>
      </c>
      <c r="U211" s="21">
        <f>100*(U77-U76)</f>
        <v/>
      </c>
      <c r="V211" s="21">
        <f>100*(V77-V76)</f>
        <v/>
      </c>
      <c r="W211" s="21">
        <f>100*(W77-W76)</f>
        <v/>
      </c>
      <c r="X211" s="21">
        <f>100*(X77-X76)</f>
        <v/>
      </c>
      <c r="Y211" s="21">
        <f>100*(Y77-Y76)</f>
        <v/>
      </c>
      <c r="Z211" s="21">
        <f>100*(Z77-Z76)</f>
        <v/>
      </c>
      <c r="AA211" s="21">
        <f>100*(AA77-AA76)</f>
        <v/>
      </c>
      <c r="AB211" s="21">
        <f>100*(AB77-AB76)</f>
        <v/>
      </c>
      <c r="AC211" s="21">
        <f>100*(AC77-AC76)</f>
        <v/>
      </c>
      <c r="AD211" s="21">
        <f>100*(AD77-AD76)</f>
        <v/>
      </c>
      <c r="AE211" s="21">
        <f>100*(AE77-AE76)</f>
        <v/>
      </c>
      <c r="AF211" s="21">
        <f>100*(AF77-AF76)</f>
        <v/>
      </c>
      <c r="AG211" s="21">
        <f>100*(AG77-AG76)</f>
        <v/>
      </c>
      <c r="AH211" s="21">
        <f>100*(AH77-AH76)</f>
        <v/>
      </c>
      <c r="AI211" s="21">
        <f>100*(AI77-AI76)</f>
        <v/>
      </c>
      <c r="AJ211" s="21">
        <f>100*(AJ77-AJ76)</f>
        <v/>
      </c>
      <c r="AK211" s="21">
        <f>100*(AK77-AK76)</f>
        <v/>
      </c>
      <c r="AL211" s="21">
        <f>AVERAGE(C211:AK211)</f>
        <v/>
      </c>
    </row>
    <row r="212">
      <c r="A212" s="19">
        <f>A78</f>
        <v/>
      </c>
      <c r="B212" s="20">
        <f>B78</f>
        <v/>
      </c>
      <c r="C212" s="21">
        <f>100*(C78-C77)</f>
        <v/>
      </c>
      <c r="D212" s="21">
        <f>100*(D78-D77)</f>
        <v/>
      </c>
      <c r="E212" s="21">
        <f>100*(E78-E77)</f>
        <v/>
      </c>
      <c r="F212" s="21">
        <f>100*(F78-F77)</f>
        <v/>
      </c>
      <c r="G212" s="21">
        <f>100*(G78-G77)</f>
        <v/>
      </c>
      <c r="H212" s="21">
        <f>100*(H78-H77)</f>
        <v/>
      </c>
      <c r="I212" s="21">
        <f>100*(I78-I77)</f>
        <v/>
      </c>
      <c r="J212" s="21">
        <f>100*(J78-J77)</f>
        <v/>
      </c>
      <c r="K212" s="21">
        <f>100*(K78-K77)</f>
        <v/>
      </c>
      <c r="L212" s="21">
        <f>100*(L78-L77)</f>
        <v/>
      </c>
      <c r="M212" s="21">
        <f>100*(M78-M77)</f>
        <v/>
      </c>
      <c r="N212" s="21">
        <f>100*(N78-N77)</f>
        <v/>
      </c>
      <c r="O212" s="21">
        <f>100*(O78-O77)</f>
        <v/>
      </c>
      <c r="P212" s="21">
        <f>100*(P78-P77)</f>
        <v/>
      </c>
      <c r="Q212" s="21">
        <f>100*(Q78-Q77)</f>
        <v/>
      </c>
      <c r="R212" s="21">
        <f>100*(R78-R77)</f>
        <v/>
      </c>
      <c r="S212" s="21">
        <f>100*(S78-S77)</f>
        <v/>
      </c>
      <c r="T212" s="21">
        <f>100*(T78-T77)</f>
        <v/>
      </c>
      <c r="U212" s="21">
        <f>100*(U78-U77)</f>
        <v/>
      </c>
      <c r="V212" s="21">
        <f>100*(V78-V77)</f>
        <v/>
      </c>
      <c r="W212" s="21">
        <f>100*(W78-W77)</f>
        <v/>
      </c>
      <c r="X212" s="21">
        <f>100*(X78-X77)</f>
        <v/>
      </c>
      <c r="Y212" s="21">
        <f>100*(Y78-Y77)</f>
        <v/>
      </c>
      <c r="Z212" s="21">
        <f>100*(Z78-Z77)</f>
        <v/>
      </c>
      <c r="AA212" s="21">
        <f>100*(AA78-AA77)</f>
        <v/>
      </c>
      <c r="AB212" s="21">
        <f>100*(AB78-AB77)</f>
        <v/>
      </c>
      <c r="AC212" s="21">
        <f>100*(AC78-AC77)</f>
        <v/>
      </c>
      <c r="AD212" s="21">
        <f>100*(AD78-AD77)</f>
        <v/>
      </c>
      <c r="AE212" s="21">
        <f>100*(AE78-AE77)</f>
        <v/>
      </c>
      <c r="AF212" s="21">
        <f>100*(AF78-AF77)</f>
        <v/>
      </c>
      <c r="AG212" s="21">
        <f>100*(AG78-AG77)</f>
        <v/>
      </c>
      <c r="AH212" s="21">
        <f>100*(AH78-AH77)</f>
        <v/>
      </c>
      <c r="AI212" s="21">
        <f>100*(AI78-AI77)</f>
        <v/>
      </c>
      <c r="AJ212" s="21">
        <f>100*(AJ78-AJ77)</f>
        <v/>
      </c>
      <c r="AK212" s="21">
        <f>100*(AK78-AK77)</f>
        <v/>
      </c>
      <c r="AL212" s="21">
        <f>AVERAGE(C212:AK212)</f>
        <v/>
      </c>
    </row>
    <row r="213">
      <c r="A213" s="19">
        <f>A79</f>
        <v/>
      </c>
      <c r="B213" s="20">
        <f>B79</f>
        <v/>
      </c>
      <c r="C213" s="21">
        <f>100*(C79-C78)</f>
        <v/>
      </c>
      <c r="D213" s="21">
        <f>100*(D79-D78)</f>
        <v/>
      </c>
      <c r="E213" s="21">
        <f>100*(E79-E78)</f>
        <v/>
      </c>
      <c r="F213" s="21">
        <f>100*(F79-F78)</f>
        <v/>
      </c>
      <c r="G213" s="21">
        <f>100*(G79-G78)</f>
        <v/>
      </c>
      <c r="H213" s="21">
        <f>100*(H79-H78)</f>
        <v/>
      </c>
      <c r="I213" s="21">
        <f>100*(I79-I78)</f>
        <v/>
      </c>
      <c r="J213" s="21">
        <f>100*(J79-J78)</f>
        <v/>
      </c>
      <c r="K213" s="21">
        <f>100*(K79-K78)</f>
        <v/>
      </c>
      <c r="L213" s="21">
        <f>100*(L79-L78)</f>
        <v/>
      </c>
      <c r="M213" s="21">
        <f>100*(M79-M78)</f>
        <v/>
      </c>
      <c r="N213" s="21">
        <f>100*(N79-N78)</f>
        <v/>
      </c>
      <c r="O213" s="21">
        <f>100*(O79-O78)</f>
        <v/>
      </c>
      <c r="P213" s="21">
        <f>100*(P79-P78)</f>
        <v/>
      </c>
      <c r="Q213" s="21">
        <f>100*(Q79-Q78)</f>
        <v/>
      </c>
      <c r="R213" s="21">
        <f>100*(R79-R78)</f>
        <v/>
      </c>
      <c r="S213" s="21">
        <f>100*(S79-S78)</f>
        <v/>
      </c>
      <c r="T213" s="21">
        <f>100*(T79-T78)</f>
        <v/>
      </c>
      <c r="U213" s="21">
        <f>100*(U79-U78)</f>
        <v/>
      </c>
      <c r="V213" s="21">
        <f>100*(V79-V78)</f>
        <v/>
      </c>
      <c r="W213" s="21">
        <f>100*(W79-W78)</f>
        <v/>
      </c>
      <c r="X213" s="21">
        <f>100*(X79-X78)</f>
        <v/>
      </c>
      <c r="Y213" s="21">
        <f>100*(Y79-Y78)</f>
        <v/>
      </c>
      <c r="Z213" s="21">
        <f>100*(Z79-Z78)</f>
        <v/>
      </c>
      <c r="AA213" s="21">
        <f>100*(AA79-AA78)</f>
        <v/>
      </c>
      <c r="AB213" s="21">
        <f>100*(AB79-AB78)</f>
        <v/>
      </c>
      <c r="AC213" s="21">
        <f>100*(AC79-AC78)</f>
        <v/>
      </c>
      <c r="AD213" s="21">
        <f>100*(AD79-AD78)</f>
        <v/>
      </c>
      <c r="AE213" s="21">
        <f>100*(AE79-AE78)</f>
        <v/>
      </c>
      <c r="AF213" s="21">
        <f>100*(AF79-AF78)</f>
        <v/>
      </c>
      <c r="AG213" s="21">
        <f>100*(AG79-AG78)</f>
        <v/>
      </c>
      <c r="AH213" s="21">
        <f>100*(AH79-AH78)</f>
        <v/>
      </c>
      <c r="AI213" s="21">
        <f>100*(AI79-AI78)</f>
        <v/>
      </c>
      <c r="AJ213" s="21">
        <f>100*(AJ79-AJ78)</f>
        <v/>
      </c>
      <c r="AK213" s="21">
        <f>100*(AK79-AK78)</f>
        <v/>
      </c>
      <c r="AL213" s="21">
        <f>AVERAGE(C213:AK213)</f>
        <v/>
      </c>
    </row>
    <row r="214">
      <c r="A214" s="19">
        <f>A80</f>
        <v/>
      </c>
      <c r="B214" s="20">
        <f>B80</f>
        <v/>
      </c>
      <c r="C214" s="21">
        <f>100*(C80-C79)</f>
        <v/>
      </c>
      <c r="D214" s="21">
        <f>100*(D80-D79)</f>
        <v/>
      </c>
      <c r="E214" s="21">
        <f>100*(E80-E79)</f>
        <v/>
      </c>
      <c r="F214" s="21">
        <f>100*(F80-F79)</f>
        <v/>
      </c>
      <c r="G214" s="21">
        <f>100*(G80-G79)</f>
        <v/>
      </c>
      <c r="H214" s="21">
        <f>100*(H80-H79)</f>
        <v/>
      </c>
      <c r="I214" s="21">
        <f>100*(I80-I79)</f>
        <v/>
      </c>
      <c r="J214" s="21">
        <f>100*(J80-J79)</f>
        <v/>
      </c>
      <c r="K214" s="21">
        <f>100*(K80-K79)</f>
        <v/>
      </c>
      <c r="L214" s="21">
        <f>100*(L80-L79)</f>
        <v/>
      </c>
      <c r="M214" s="21">
        <f>100*(M80-M79)</f>
        <v/>
      </c>
      <c r="N214" s="21">
        <f>100*(N80-N79)</f>
        <v/>
      </c>
      <c r="O214" s="21">
        <f>100*(O80-O79)</f>
        <v/>
      </c>
      <c r="P214" s="21">
        <f>100*(P80-P79)</f>
        <v/>
      </c>
      <c r="Q214" s="21">
        <f>100*(Q80-Q79)</f>
        <v/>
      </c>
      <c r="R214" s="21">
        <f>100*(R80-R79)</f>
        <v/>
      </c>
      <c r="S214" s="21">
        <f>100*(S80-S79)</f>
        <v/>
      </c>
      <c r="T214" s="21">
        <f>100*(T80-T79)</f>
        <v/>
      </c>
      <c r="U214" s="21">
        <f>100*(U80-U79)</f>
        <v/>
      </c>
      <c r="V214" s="21">
        <f>100*(V80-V79)</f>
        <v/>
      </c>
      <c r="W214" s="21">
        <f>100*(W80-W79)</f>
        <v/>
      </c>
      <c r="X214" s="21">
        <f>100*(X80-X79)</f>
        <v/>
      </c>
      <c r="Y214" s="21">
        <f>100*(Y80-Y79)</f>
        <v/>
      </c>
      <c r="Z214" s="21">
        <f>100*(Z80-Z79)</f>
        <v/>
      </c>
      <c r="AA214" s="21">
        <f>100*(AA80-AA79)</f>
        <v/>
      </c>
      <c r="AB214" s="21">
        <f>100*(AB80-AB79)</f>
        <v/>
      </c>
      <c r="AC214" s="21">
        <f>100*(AC80-AC79)</f>
        <v/>
      </c>
      <c r="AD214" s="21">
        <f>100*(AD80-AD79)</f>
        <v/>
      </c>
      <c r="AE214" s="21">
        <f>100*(AE80-AE79)</f>
        <v/>
      </c>
      <c r="AF214" s="21">
        <f>100*(AF80-AF79)</f>
        <v/>
      </c>
      <c r="AG214" s="21">
        <f>100*(AG80-AG79)</f>
        <v/>
      </c>
      <c r="AH214" s="21">
        <f>100*(AH80-AH79)</f>
        <v/>
      </c>
      <c r="AI214" s="21">
        <f>100*(AI80-AI79)</f>
        <v/>
      </c>
      <c r="AJ214" s="21">
        <f>100*(AJ80-AJ79)</f>
        <v/>
      </c>
      <c r="AK214" s="21">
        <f>100*(AK80-AK79)</f>
        <v/>
      </c>
      <c r="AL214" s="21">
        <f>AVERAGE(C214:AK214)</f>
        <v/>
      </c>
    </row>
    <row r="215">
      <c r="A215" s="19">
        <f>A81</f>
        <v/>
      </c>
      <c r="B215" s="20">
        <f>B81</f>
        <v/>
      </c>
      <c r="C215" s="21">
        <f>100*(C81-C80)</f>
        <v/>
      </c>
      <c r="D215" s="21">
        <f>100*(D81-D80)</f>
        <v/>
      </c>
      <c r="E215" s="21">
        <f>100*(E81-E80)</f>
        <v/>
      </c>
      <c r="F215" s="21">
        <f>100*(F81-F80)</f>
        <v/>
      </c>
      <c r="G215" s="21">
        <f>100*(G81-G80)</f>
        <v/>
      </c>
      <c r="H215" s="21">
        <f>100*(H81-H80)</f>
        <v/>
      </c>
      <c r="I215" s="21">
        <f>100*(I81-I80)</f>
        <v/>
      </c>
      <c r="J215" s="21">
        <f>100*(J81-J80)</f>
        <v/>
      </c>
      <c r="K215" s="21">
        <f>100*(K81-K80)</f>
        <v/>
      </c>
      <c r="L215" s="21">
        <f>100*(L81-L80)</f>
        <v/>
      </c>
      <c r="M215" s="21">
        <f>100*(M81-M80)</f>
        <v/>
      </c>
      <c r="N215" s="21">
        <f>100*(N81-N80)</f>
        <v/>
      </c>
      <c r="O215" s="21">
        <f>100*(O81-O80)</f>
        <v/>
      </c>
      <c r="P215" s="21">
        <f>100*(P81-P80)</f>
        <v/>
      </c>
      <c r="Q215" s="21">
        <f>100*(Q81-Q80)</f>
        <v/>
      </c>
      <c r="R215" s="21">
        <f>100*(R81-R80)</f>
        <v/>
      </c>
      <c r="S215" s="21">
        <f>100*(S81-S80)</f>
        <v/>
      </c>
      <c r="T215" s="21">
        <f>100*(T81-T80)</f>
        <v/>
      </c>
      <c r="U215" s="21">
        <f>100*(U81-U80)</f>
        <v/>
      </c>
      <c r="V215" s="21">
        <f>100*(V81-V80)</f>
        <v/>
      </c>
      <c r="W215" s="21">
        <f>100*(W81-W80)</f>
        <v/>
      </c>
      <c r="X215" s="21">
        <f>100*(X81-X80)</f>
        <v/>
      </c>
      <c r="Y215" s="21">
        <f>100*(Y81-Y80)</f>
        <v/>
      </c>
      <c r="Z215" s="21">
        <f>100*(Z81-Z80)</f>
        <v/>
      </c>
      <c r="AA215" s="21">
        <f>100*(AA81-AA80)</f>
        <v/>
      </c>
      <c r="AB215" s="21">
        <f>100*(AB81-AB80)</f>
        <v/>
      </c>
      <c r="AC215" s="21">
        <f>100*(AC81-AC80)</f>
        <v/>
      </c>
      <c r="AD215" s="21">
        <f>100*(AD81-AD80)</f>
        <v/>
      </c>
      <c r="AE215" s="21">
        <f>100*(AE81-AE80)</f>
        <v/>
      </c>
      <c r="AF215" s="21">
        <f>100*(AF81-AF80)</f>
        <v/>
      </c>
      <c r="AG215" s="21">
        <f>100*(AG81-AG80)</f>
        <v/>
      </c>
      <c r="AH215" s="21">
        <f>100*(AH81-AH80)</f>
        <v/>
      </c>
      <c r="AI215" s="21">
        <f>100*(AI81-AI80)</f>
        <v/>
      </c>
      <c r="AJ215" s="21">
        <f>100*(AJ81-AJ80)</f>
        <v/>
      </c>
      <c r="AK215" s="21">
        <f>100*(AK81-AK80)</f>
        <v/>
      </c>
      <c r="AL215" s="21">
        <f>AVERAGE(C215:AK215)</f>
        <v/>
      </c>
    </row>
    <row r="216">
      <c r="A216" s="19">
        <f>A82</f>
        <v/>
      </c>
      <c r="B216" s="20">
        <f>B82</f>
        <v/>
      </c>
      <c r="C216" s="21">
        <f>100*(C82-C81)</f>
        <v/>
      </c>
      <c r="D216" s="21">
        <f>100*(D82-D81)</f>
        <v/>
      </c>
      <c r="E216" s="21">
        <f>100*(E82-E81)</f>
        <v/>
      </c>
      <c r="F216" s="21">
        <f>100*(F82-F81)</f>
        <v/>
      </c>
      <c r="G216" s="21">
        <f>100*(G82-G81)</f>
        <v/>
      </c>
      <c r="H216" s="21">
        <f>100*(H82-H81)</f>
        <v/>
      </c>
      <c r="I216" s="21">
        <f>100*(I82-I81)</f>
        <v/>
      </c>
      <c r="J216" s="21">
        <f>100*(J82-J81)</f>
        <v/>
      </c>
      <c r="K216" s="21">
        <f>100*(K82-K81)</f>
        <v/>
      </c>
      <c r="L216" s="21">
        <f>100*(L82-L81)</f>
        <v/>
      </c>
      <c r="M216" s="21">
        <f>100*(M82-M81)</f>
        <v/>
      </c>
      <c r="N216" s="21">
        <f>100*(N82-N81)</f>
        <v/>
      </c>
      <c r="O216" s="21">
        <f>100*(O82-O81)</f>
        <v/>
      </c>
      <c r="P216" s="21">
        <f>100*(P82-P81)</f>
        <v/>
      </c>
      <c r="Q216" s="21">
        <f>100*(Q82-Q81)</f>
        <v/>
      </c>
      <c r="R216" s="21">
        <f>100*(R82-R81)</f>
        <v/>
      </c>
      <c r="S216" s="21">
        <f>100*(S82-S81)</f>
        <v/>
      </c>
      <c r="T216" s="21">
        <f>100*(T82-T81)</f>
        <v/>
      </c>
      <c r="U216" s="21">
        <f>100*(U82-U81)</f>
        <v/>
      </c>
      <c r="V216" s="21">
        <f>100*(V82-V81)</f>
        <v/>
      </c>
      <c r="W216" s="21">
        <f>100*(W82-W81)</f>
        <v/>
      </c>
      <c r="X216" s="21">
        <f>100*(X82-X81)</f>
        <v/>
      </c>
      <c r="Y216" s="21">
        <f>100*(Y82-Y81)</f>
        <v/>
      </c>
      <c r="Z216" s="21">
        <f>100*(Z82-Z81)</f>
        <v/>
      </c>
      <c r="AA216" s="21">
        <f>100*(AA82-AA81)</f>
        <v/>
      </c>
      <c r="AB216" s="21">
        <f>100*(AB82-AB81)</f>
        <v/>
      </c>
      <c r="AC216" s="21">
        <f>100*(AC82-AC81)</f>
        <v/>
      </c>
      <c r="AD216" s="21">
        <f>100*(AD82-AD81)</f>
        <v/>
      </c>
      <c r="AE216" s="21">
        <f>100*(AE82-AE81)</f>
        <v/>
      </c>
      <c r="AF216" s="21">
        <f>100*(AF82-AF81)</f>
        <v/>
      </c>
      <c r="AG216" s="21">
        <f>100*(AG82-AG81)</f>
        <v/>
      </c>
      <c r="AH216" s="21">
        <f>100*(AH82-AH81)</f>
        <v/>
      </c>
      <c r="AI216" s="21">
        <f>100*(AI82-AI81)</f>
        <v/>
      </c>
      <c r="AJ216" s="21">
        <f>100*(AJ82-AJ81)</f>
        <v/>
      </c>
      <c r="AK216" s="21">
        <f>100*(AK82-AK81)</f>
        <v/>
      </c>
      <c r="AL216" s="21">
        <f>AVERAGE(C216:AK216)</f>
        <v/>
      </c>
    </row>
    <row r="217">
      <c r="A217" s="19">
        <f>A83</f>
        <v/>
      </c>
      <c r="B217" s="20">
        <f>B83</f>
        <v/>
      </c>
      <c r="C217" s="21">
        <f>100*(C83-C82)</f>
        <v/>
      </c>
      <c r="D217" s="21">
        <f>100*(D83-D82)</f>
        <v/>
      </c>
      <c r="E217" s="21">
        <f>100*(E83-E82)</f>
        <v/>
      </c>
      <c r="F217" s="21">
        <f>100*(F83-F82)</f>
        <v/>
      </c>
      <c r="G217" s="21">
        <f>100*(G83-G82)</f>
        <v/>
      </c>
      <c r="H217" s="21">
        <f>100*(H83-H82)</f>
        <v/>
      </c>
      <c r="I217" s="21">
        <f>100*(I83-I82)</f>
        <v/>
      </c>
      <c r="J217" s="21">
        <f>100*(J83-J82)</f>
        <v/>
      </c>
      <c r="K217" s="21">
        <f>100*(K83-K82)</f>
        <v/>
      </c>
      <c r="L217" s="21">
        <f>100*(L83-L82)</f>
        <v/>
      </c>
      <c r="M217" s="21">
        <f>100*(M83-M82)</f>
        <v/>
      </c>
      <c r="N217" s="21">
        <f>100*(N83-N82)</f>
        <v/>
      </c>
      <c r="O217" s="21">
        <f>100*(O83-O82)</f>
        <v/>
      </c>
      <c r="P217" s="21">
        <f>100*(P83-P82)</f>
        <v/>
      </c>
      <c r="Q217" s="21">
        <f>100*(Q83-Q82)</f>
        <v/>
      </c>
      <c r="R217" s="21">
        <f>100*(R83-R82)</f>
        <v/>
      </c>
      <c r="S217" s="21">
        <f>100*(S83-S82)</f>
        <v/>
      </c>
      <c r="T217" s="21">
        <f>100*(T83-T82)</f>
        <v/>
      </c>
      <c r="U217" s="21">
        <f>100*(U83-U82)</f>
        <v/>
      </c>
      <c r="V217" s="21">
        <f>100*(V83-V82)</f>
        <v/>
      </c>
      <c r="W217" s="21">
        <f>100*(W83-W82)</f>
        <v/>
      </c>
      <c r="X217" s="21">
        <f>100*(X83-X82)</f>
        <v/>
      </c>
      <c r="Y217" s="21">
        <f>100*(Y83-Y82)</f>
        <v/>
      </c>
      <c r="Z217" s="21">
        <f>100*(Z83-Z82)</f>
        <v/>
      </c>
      <c r="AA217" s="21">
        <f>100*(AA83-AA82)</f>
        <v/>
      </c>
      <c r="AB217" s="21">
        <f>100*(AB83-AB82)</f>
        <v/>
      </c>
      <c r="AC217" s="21">
        <f>100*(AC83-AC82)</f>
        <v/>
      </c>
      <c r="AD217" s="21">
        <f>100*(AD83-AD82)</f>
        <v/>
      </c>
      <c r="AE217" s="21">
        <f>100*(AE83-AE82)</f>
        <v/>
      </c>
      <c r="AF217" s="21">
        <f>100*(AF83-AF82)</f>
        <v/>
      </c>
      <c r="AG217" s="21">
        <f>100*(AG83-AG82)</f>
        <v/>
      </c>
      <c r="AH217" s="21">
        <f>100*(AH83-AH82)</f>
        <v/>
      </c>
      <c r="AI217" s="21">
        <f>100*(AI83-AI82)</f>
        <v/>
      </c>
      <c r="AJ217" s="21">
        <f>100*(AJ83-AJ82)</f>
        <v/>
      </c>
      <c r="AK217" s="21">
        <f>100*(AK83-AK82)</f>
        <v/>
      </c>
      <c r="AL217" s="21">
        <f>AVERAGE(C217:AK217)</f>
        <v/>
      </c>
    </row>
    <row r="218">
      <c r="A218" s="19">
        <f>A84</f>
        <v/>
      </c>
      <c r="B218" s="20">
        <f>B84</f>
        <v/>
      </c>
      <c r="C218" s="21">
        <f>100*(C84-C83)</f>
        <v/>
      </c>
      <c r="D218" s="21">
        <f>100*(D84-D83)</f>
        <v/>
      </c>
      <c r="E218" s="21">
        <f>100*(E84-E83)</f>
        <v/>
      </c>
      <c r="F218" s="21">
        <f>100*(F84-F83)</f>
        <v/>
      </c>
      <c r="G218" s="21">
        <f>100*(G84-G83)</f>
        <v/>
      </c>
      <c r="H218" s="21">
        <f>100*(H84-H83)</f>
        <v/>
      </c>
      <c r="I218" s="21">
        <f>100*(I84-I83)</f>
        <v/>
      </c>
      <c r="J218" s="21">
        <f>100*(J84-J83)</f>
        <v/>
      </c>
      <c r="K218" s="21">
        <f>100*(K84-K83)</f>
        <v/>
      </c>
      <c r="L218" s="21">
        <f>100*(L84-L83)</f>
        <v/>
      </c>
      <c r="M218" s="21">
        <f>100*(M84-M83)</f>
        <v/>
      </c>
      <c r="N218" s="21">
        <f>100*(N84-N83)</f>
        <v/>
      </c>
      <c r="O218" s="21">
        <f>100*(O84-O83)</f>
        <v/>
      </c>
      <c r="P218" s="21">
        <f>100*(P84-P83)</f>
        <v/>
      </c>
      <c r="Q218" s="21">
        <f>100*(Q84-Q83)</f>
        <v/>
      </c>
      <c r="R218" s="21">
        <f>100*(R84-R83)</f>
        <v/>
      </c>
      <c r="S218" s="21">
        <f>100*(S84-S83)</f>
        <v/>
      </c>
      <c r="T218" s="21">
        <f>100*(T84-T83)</f>
        <v/>
      </c>
      <c r="U218" s="21">
        <f>100*(U84-U83)</f>
        <v/>
      </c>
      <c r="V218" s="21">
        <f>100*(V84-V83)</f>
        <v/>
      </c>
      <c r="W218" s="21">
        <f>100*(W84-W83)</f>
        <v/>
      </c>
      <c r="X218" s="21">
        <f>100*(X84-X83)</f>
        <v/>
      </c>
      <c r="Y218" s="21">
        <f>100*(Y84-Y83)</f>
        <v/>
      </c>
      <c r="Z218" s="21">
        <f>100*(Z84-Z83)</f>
        <v/>
      </c>
      <c r="AA218" s="21">
        <f>100*(AA84-AA83)</f>
        <v/>
      </c>
      <c r="AB218" s="21">
        <f>100*(AB84-AB83)</f>
        <v/>
      </c>
      <c r="AC218" s="21">
        <f>100*(AC84-AC83)</f>
        <v/>
      </c>
      <c r="AD218" s="21">
        <f>100*(AD84-AD83)</f>
        <v/>
      </c>
      <c r="AE218" s="21">
        <f>100*(AE84-AE83)</f>
        <v/>
      </c>
      <c r="AF218" s="21">
        <f>100*(AF84-AF83)</f>
        <v/>
      </c>
      <c r="AG218" s="21">
        <f>100*(AG84-AG83)</f>
        <v/>
      </c>
      <c r="AH218" s="21">
        <f>100*(AH84-AH83)</f>
        <v/>
      </c>
      <c r="AI218" s="21">
        <f>100*(AI84-AI83)</f>
        <v/>
      </c>
      <c r="AJ218" s="21">
        <f>100*(AJ84-AJ83)</f>
        <v/>
      </c>
      <c r="AK218" s="21">
        <f>100*(AK84-AK83)</f>
        <v/>
      </c>
      <c r="AL218" s="21">
        <f>AVERAGE(C218:AK218)</f>
        <v/>
      </c>
    </row>
    <row r="219">
      <c r="A219" s="19">
        <f>A85</f>
        <v/>
      </c>
      <c r="B219" s="20">
        <f>B85</f>
        <v/>
      </c>
      <c r="C219" s="21">
        <f>100*(C85-C84)</f>
        <v/>
      </c>
      <c r="D219" s="21">
        <f>100*(D85-D84)</f>
        <v/>
      </c>
      <c r="E219" s="21">
        <f>100*(E85-E84)</f>
        <v/>
      </c>
      <c r="F219" s="21">
        <f>100*(F85-F84)</f>
        <v/>
      </c>
      <c r="G219" s="21">
        <f>100*(G85-G84)</f>
        <v/>
      </c>
      <c r="H219" s="21">
        <f>100*(H85-H84)</f>
        <v/>
      </c>
      <c r="I219" s="21">
        <f>100*(I85-I84)</f>
        <v/>
      </c>
      <c r="J219" s="21">
        <f>100*(J85-J84)</f>
        <v/>
      </c>
      <c r="K219" s="21">
        <f>100*(K85-K84)</f>
        <v/>
      </c>
      <c r="L219" s="21">
        <f>100*(L85-L84)</f>
        <v/>
      </c>
      <c r="M219" s="21">
        <f>100*(M85-M84)</f>
        <v/>
      </c>
      <c r="N219" s="21">
        <f>100*(N85-N84)</f>
        <v/>
      </c>
      <c r="O219" s="21">
        <f>100*(O85-O84)</f>
        <v/>
      </c>
      <c r="P219" s="21">
        <f>100*(P85-P84)</f>
        <v/>
      </c>
      <c r="Q219" s="21">
        <f>100*(Q85-Q84)</f>
        <v/>
      </c>
      <c r="R219" s="21">
        <f>100*(R85-R84)</f>
        <v/>
      </c>
      <c r="S219" s="21">
        <f>100*(S85-S84)</f>
        <v/>
      </c>
      <c r="T219" s="21">
        <f>100*(T85-T84)</f>
        <v/>
      </c>
      <c r="U219" s="21">
        <f>100*(U85-U84)</f>
        <v/>
      </c>
      <c r="V219" s="21">
        <f>100*(V85-V84)</f>
        <v/>
      </c>
      <c r="W219" s="21">
        <f>100*(W85-W84)</f>
        <v/>
      </c>
      <c r="X219" s="21">
        <f>100*(X85-X84)</f>
        <v/>
      </c>
      <c r="Y219" s="21">
        <f>100*(Y85-Y84)</f>
        <v/>
      </c>
      <c r="Z219" s="21">
        <f>100*(Z85-Z84)</f>
        <v/>
      </c>
      <c r="AA219" s="21">
        <f>100*(AA85-AA84)</f>
        <v/>
      </c>
      <c r="AB219" s="21">
        <f>100*(AB85-AB84)</f>
        <v/>
      </c>
      <c r="AC219" s="21">
        <f>100*(AC85-AC84)</f>
        <v/>
      </c>
      <c r="AD219" s="21">
        <f>100*(AD85-AD84)</f>
        <v/>
      </c>
      <c r="AE219" s="21">
        <f>100*(AE85-AE84)</f>
        <v/>
      </c>
      <c r="AF219" s="21">
        <f>100*(AF85-AF84)</f>
        <v/>
      </c>
      <c r="AG219" s="21">
        <f>100*(AG85-AG84)</f>
        <v/>
      </c>
      <c r="AH219" s="21">
        <f>100*(AH85-AH84)</f>
        <v/>
      </c>
      <c r="AI219" s="21">
        <f>100*(AI85-AI84)</f>
        <v/>
      </c>
      <c r="AJ219" s="21">
        <f>100*(AJ85-AJ84)</f>
        <v/>
      </c>
      <c r="AK219" s="21">
        <f>100*(AK85-AK84)</f>
        <v/>
      </c>
      <c r="AL219" s="21">
        <f>AVERAGE(C219:AK219)</f>
        <v/>
      </c>
    </row>
    <row r="220">
      <c r="A220" s="19">
        <f>A86</f>
        <v/>
      </c>
      <c r="B220" s="20">
        <f>B86</f>
        <v/>
      </c>
      <c r="C220" s="21">
        <f>100*(C86-C85)</f>
        <v/>
      </c>
      <c r="D220" s="21">
        <f>100*(D86-D85)</f>
        <v/>
      </c>
      <c r="E220" s="21">
        <f>100*(E86-E85)</f>
        <v/>
      </c>
      <c r="F220" s="21">
        <f>100*(F86-F85)</f>
        <v/>
      </c>
      <c r="G220" s="21">
        <f>100*(G86-G85)</f>
        <v/>
      </c>
      <c r="H220" s="21">
        <f>100*(H86-H85)</f>
        <v/>
      </c>
      <c r="I220" s="21">
        <f>100*(I86-I85)</f>
        <v/>
      </c>
      <c r="J220" s="21">
        <f>100*(J86-J85)</f>
        <v/>
      </c>
      <c r="K220" s="21">
        <f>100*(K86-K85)</f>
        <v/>
      </c>
      <c r="L220" s="21">
        <f>100*(L86-L85)</f>
        <v/>
      </c>
      <c r="M220" s="21">
        <f>100*(M86-M85)</f>
        <v/>
      </c>
      <c r="N220" s="21">
        <f>100*(N86-N85)</f>
        <v/>
      </c>
      <c r="O220" s="21">
        <f>100*(O86-O85)</f>
        <v/>
      </c>
      <c r="P220" s="21">
        <f>100*(P86-P85)</f>
        <v/>
      </c>
      <c r="Q220" s="21">
        <f>100*(Q86-Q85)</f>
        <v/>
      </c>
      <c r="R220" s="21">
        <f>100*(R86-R85)</f>
        <v/>
      </c>
      <c r="S220" s="21">
        <f>100*(S86-S85)</f>
        <v/>
      </c>
      <c r="T220" s="21">
        <f>100*(T86-T85)</f>
        <v/>
      </c>
      <c r="U220" s="21">
        <f>100*(U86-U85)</f>
        <v/>
      </c>
      <c r="V220" s="21">
        <f>100*(V86-V85)</f>
        <v/>
      </c>
      <c r="W220" s="21">
        <f>100*(W86-W85)</f>
        <v/>
      </c>
      <c r="X220" s="21">
        <f>100*(X86-X85)</f>
        <v/>
      </c>
      <c r="Y220" s="21">
        <f>100*(Y86-Y85)</f>
        <v/>
      </c>
      <c r="Z220" s="21">
        <f>100*(Z86-Z85)</f>
        <v/>
      </c>
      <c r="AA220" s="21">
        <f>100*(AA86-AA85)</f>
        <v/>
      </c>
      <c r="AB220" s="21">
        <f>100*(AB86-AB85)</f>
        <v/>
      </c>
      <c r="AC220" s="21">
        <f>100*(AC86-AC85)</f>
        <v/>
      </c>
      <c r="AD220" s="21">
        <f>100*(AD86-AD85)</f>
        <v/>
      </c>
      <c r="AE220" s="21">
        <f>100*(AE86-AE85)</f>
        <v/>
      </c>
      <c r="AF220" s="21">
        <f>100*(AF86-AF85)</f>
        <v/>
      </c>
      <c r="AG220" s="21">
        <f>100*(AG86-AG85)</f>
        <v/>
      </c>
      <c r="AH220" s="21">
        <f>100*(AH86-AH85)</f>
        <v/>
      </c>
      <c r="AI220" s="21">
        <f>100*(AI86-AI85)</f>
        <v/>
      </c>
      <c r="AJ220" s="21">
        <f>100*(AJ86-AJ85)</f>
        <v/>
      </c>
      <c r="AK220" s="21">
        <f>100*(AK86-AK85)</f>
        <v/>
      </c>
      <c r="AL220" s="21">
        <f>AVERAGE(C220:AK220)</f>
        <v/>
      </c>
    </row>
    <row r="221">
      <c r="A221" s="19">
        <f>A87</f>
        <v/>
      </c>
      <c r="B221" s="20">
        <f>B87</f>
        <v/>
      </c>
      <c r="C221" s="21">
        <f>100*(C87-C86)</f>
        <v/>
      </c>
      <c r="D221" s="21">
        <f>100*(D87-D86)</f>
        <v/>
      </c>
      <c r="E221" s="21">
        <f>100*(E87-E86)</f>
        <v/>
      </c>
      <c r="F221" s="21">
        <f>100*(F87-F86)</f>
        <v/>
      </c>
      <c r="G221" s="21">
        <f>100*(G87-G86)</f>
        <v/>
      </c>
      <c r="H221" s="21">
        <f>100*(H87-H86)</f>
        <v/>
      </c>
      <c r="I221" s="21">
        <f>100*(I87-I86)</f>
        <v/>
      </c>
      <c r="J221" s="21">
        <f>100*(J87-J86)</f>
        <v/>
      </c>
      <c r="K221" s="21">
        <f>100*(K87-K86)</f>
        <v/>
      </c>
      <c r="L221" s="21">
        <f>100*(L87-L86)</f>
        <v/>
      </c>
      <c r="M221" s="21">
        <f>100*(M87-M86)</f>
        <v/>
      </c>
      <c r="N221" s="21">
        <f>100*(N87-N86)</f>
        <v/>
      </c>
      <c r="O221" s="21">
        <f>100*(O87-O86)</f>
        <v/>
      </c>
      <c r="P221" s="21">
        <f>100*(P87-P86)</f>
        <v/>
      </c>
      <c r="Q221" s="21">
        <f>100*(Q87-Q86)</f>
        <v/>
      </c>
      <c r="R221" s="21">
        <f>100*(R87-R86)</f>
        <v/>
      </c>
      <c r="S221" s="21">
        <f>100*(S87-S86)</f>
        <v/>
      </c>
      <c r="T221" s="21">
        <f>100*(T87-T86)</f>
        <v/>
      </c>
      <c r="U221" s="21">
        <f>100*(U87-U86)</f>
        <v/>
      </c>
      <c r="V221" s="21">
        <f>100*(V87-V86)</f>
        <v/>
      </c>
      <c r="W221" s="21">
        <f>100*(W87-W86)</f>
        <v/>
      </c>
      <c r="X221" s="21">
        <f>100*(X87-X86)</f>
        <v/>
      </c>
      <c r="Y221" s="21">
        <f>100*(Y87-Y86)</f>
        <v/>
      </c>
      <c r="Z221" s="21">
        <f>100*(Z87-Z86)</f>
        <v/>
      </c>
      <c r="AA221" s="21">
        <f>100*(AA87-AA86)</f>
        <v/>
      </c>
      <c r="AB221" s="21">
        <f>100*(AB87-AB86)</f>
        <v/>
      </c>
      <c r="AC221" s="21">
        <f>100*(AC87-AC86)</f>
        <v/>
      </c>
      <c r="AD221" s="21">
        <f>100*(AD87-AD86)</f>
        <v/>
      </c>
      <c r="AE221" s="21">
        <f>100*(AE87-AE86)</f>
        <v/>
      </c>
      <c r="AF221" s="21">
        <f>100*(AF87-AF86)</f>
        <v/>
      </c>
      <c r="AG221" s="21">
        <f>100*(AG87-AG86)</f>
        <v/>
      </c>
      <c r="AH221" s="21">
        <f>100*(AH87-AH86)</f>
        <v/>
      </c>
      <c r="AI221" s="21">
        <f>100*(AI87-AI86)</f>
        <v/>
      </c>
      <c r="AJ221" s="21">
        <f>100*(AJ87-AJ86)</f>
        <v/>
      </c>
      <c r="AK221" s="21">
        <f>100*(AK87-AK86)</f>
        <v/>
      </c>
      <c r="AL221" s="21">
        <f>AVERAGE(C221:AK221)</f>
        <v/>
      </c>
    </row>
    <row r="222">
      <c r="A222" s="19">
        <f>A88</f>
        <v/>
      </c>
      <c r="B222" s="20">
        <f>B88</f>
        <v/>
      </c>
      <c r="C222" s="21">
        <f>100*(C88-C87)</f>
        <v/>
      </c>
      <c r="D222" s="21">
        <f>100*(D88-D87)</f>
        <v/>
      </c>
      <c r="E222" s="21">
        <f>100*(E88-E87)</f>
        <v/>
      </c>
      <c r="F222" s="21">
        <f>100*(F88-F87)</f>
        <v/>
      </c>
      <c r="G222" s="21">
        <f>100*(G88-G87)</f>
        <v/>
      </c>
      <c r="H222" s="21">
        <f>100*(H88-H87)</f>
        <v/>
      </c>
      <c r="I222" s="21">
        <f>100*(I88-I87)</f>
        <v/>
      </c>
      <c r="J222" s="21">
        <f>100*(J88-J87)</f>
        <v/>
      </c>
      <c r="K222" s="21">
        <f>100*(K88-K87)</f>
        <v/>
      </c>
      <c r="L222" s="21">
        <f>100*(L88-L87)</f>
        <v/>
      </c>
      <c r="M222" s="21">
        <f>100*(M88-M87)</f>
        <v/>
      </c>
      <c r="N222" s="21">
        <f>100*(N88-N87)</f>
        <v/>
      </c>
      <c r="O222" s="21">
        <f>100*(O88-O87)</f>
        <v/>
      </c>
      <c r="P222" s="21">
        <f>100*(P88-P87)</f>
        <v/>
      </c>
      <c r="Q222" s="21">
        <f>100*(Q88-Q87)</f>
        <v/>
      </c>
      <c r="R222" s="21">
        <f>100*(R88-R87)</f>
        <v/>
      </c>
      <c r="S222" s="21">
        <f>100*(S88-S87)</f>
        <v/>
      </c>
      <c r="T222" s="21">
        <f>100*(T88-T87)</f>
        <v/>
      </c>
      <c r="U222" s="21">
        <f>100*(U88-U87)</f>
        <v/>
      </c>
      <c r="V222" s="21">
        <f>100*(V88-V87)</f>
        <v/>
      </c>
      <c r="W222" s="21">
        <f>100*(W88-W87)</f>
        <v/>
      </c>
      <c r="X222" s="21">
        <f>100*(X88-X87)</f>
        <v/>
      </c>
      <c r="Y222" s="21">
        <f>100*(Y88-Y87)</f>
        <v/>
      </c>
      <c r="Z222" s="21">
        <f>100*(Z88-Z87)</f>
        <v/>
      </c>
      <c r="AA222" s="21">
        <f>100*(AA88-AA87)</f>
        <v/>
      </c>
      <c r="AB222" s="21">
        <f>100*(AB88-AB87)</f>
        <v/>
      </c>
      <c r="AC222" s="21">
        <f>100*(AC88-AC87)</f>
        <v/>
      </c>
      <c r="AD222" s="21">
        <f>100*(AD88-AD87)</f>
        <v/>
      </c>
      <c r="AE222" s="21">
        <f>100*(AE88-AE87)</f>
        <v/>
      </c>
      <c r="AF222" s="21">
        <f>100*(AF88-AF87)</f>
        <v/>
      </c>
      <c r="AG222" s="21">
        <f>100*(AG88-AG87)</f>
        <v/>
      </c>
      <c r="AH222" s="21">
        <f>100*(AH88-AH87)</f>
        <v/>
      </c>
      <c r="AI222" s="21">
        <f>100*(AI88-AI87)</f>
        <v/>
      </c>
      <c r="AJ222" s="21">
        <f>100*(AJ88-AJ87)</f>
        <v/>
      </c>
      <c r="AK222" s="21">
        <f>100*(AK88-AK87)</f>
        <v/>
      </c>
      <c r="AL222" s="21">
        <f>AVERAGE(C222:AK222)</f>
        <v/>
      </c>
    </row>
    <row r="223">
      <c r="A223" s="19">
        <f>A89</f>
        <v/>
      </c>
      <c r="B223" s="20">
        <f>B89</f>
        <v/>
      </c>
      <c r="C223" s="21">
        <f>100*(C89-C88)</f>
        <v/>
      </c>
      <c r="D223" s="21">
        <f>100*(D89-D88)</f>
        <v/>
      </c>
      <c r="E223" s="21">
        <f>100*(E89-E88)</f>
        <v/>
      </c>
      <c r="F223" s="21">
        <f>100*(F89-F88)</f>
        <v/>
      </c>
      <c r="G223" s="21">
        <f>100*(G89-G88)</f>
        <v/>
      </c>
      <c r="H223" s="21">
        <f>100*(H89-H88)</f>
        <v/>
      </c>
      <c r="I223" s="21">
        <f>100*(I89-I88)</f>
        <v/>
      </c>
      <c r="J223" s="21">
        <f>100*(J89-J88)</f>
        <v/>
      </c>
      <c r="K223" s="21">
        <f>100*(K89-K88)</f>
        <v/>
      </c>
      <c r="L223" s="21">
        <f>100*(L89-L88)</f>
        <v/>
      </c>
      <c r="M223" s="21">
        <f>100*(M89-M88)</f>
        <v/>
      </c>
      <c r="N223" s="21">
        <f>100*(N89-N88)</f>
        <v/>
      </c>
      <c r="O223" s="21">
        <f>100*(O89-O88)</f>
        <v/>
      </c>
      <c r="P223" s="21">
        <f>100*(P89-P88)</f>
        <v/>
      </c>
      <c r="Q223" s="21">
        <f>100*(Q89-Q88)</f>
        <v/>
      </c>
      <c r="R223" s="21">
        <f>100*(R89-R88)</f>
        <v/>
      </c>
      <c r="S223" s="21">
        <f>100*(S89-S88)</f>
        <v/>
      </c>
      <c r="T223" s="21">
        <f>100*(T89-T88)</f>
        <v/>
      </c>
      <c r="U223" s="21">
        <f>100*(U89-U88)</f>
        <v/>
      </c>
      <c r="V223" s="21">
        <f>100*(V89-V88)</f>
        <v/>
      </c>
      <c r="W223" s="21">
        <f>100*(W89-W88)</f>
        <v/>
      </c>
      <c r="X223" s="21">
        <f>100*(X89-X88)</f>
        <v/>
      </c>
      <c r="Y223" s="21">
        <f>100*(Y89-Y88)</f>
        <v/>
      </c>
      <c r="Z223" s="21">
        <f>100*(Z89-Z88)</f>
        <v/>
      </c>
      <c r="AA223" s="21">
        <f>100*(AA89-AA88)</f>
        <v/>
      </c>
      <c r="AB223" s="21">
        <f>100*(AB89-AB88)</f>
        <v/>
      </c>
      <c r="AC223" s="21">
        <f>100*(AC89-AC88)</f>
        <v/>
      </c>
      <c r="AD223" s="21">
        <f>100*(AD89-AD88)</f>
        <v/>
      </c>
      <c r="AE223" s="21">
        <f>100*(AE89-AE88)</f>
        <v/>
      </c>
      <c r="AF223" s="21">
        <f>100*(AF89-AF88)</f>
        <v/>
      </c>
      <c r="AG223" s="21">
        <f>100*(AG89-AG88)</f>
        <v/>
      </c>
      <c r="AH223" s="21">
        <f>100*(AH89-AH88)</f>
        <v/>
      </c>
      <c r="AI223" s="21">
        <f>100*(AI89-AI88)</f>
        <v/>
      </c>
      <c r="AJ223" s="21">
        <f>100*(AJ89-AJ88)</f>
        <v/>
      </c>
      <c r="AK223" s="21">
        <f>100*(AK89-AK88)</f>
        <v/>
      </c>
      <c r="AL223" s="21">
        <f>AVERAGE(C223:AK223)</f>
        <v/>
      </c>
    </row>
    <row r="224">
      <c r="A224" s="19">
        <f>A90</f>
        <v/>
      </c>
      <c r="B224" s="20">
        <f>B90</f>
        <v/>
      </c>
      <c r="C224" s="21">
        <f>100*(C90-C89)</f>
        <v/>
      </c>
      <c r="D224" s="21">
        <f>100*(D90-D89)</f>
        <v/>
      </c>
      <c r="E224" s="21">
        <f>100*(E90-E89)</f>
        <v/>
      </c>
      <c r="F224" s="21">
        <f>100*(F90-F89)</f>
        <v/>
      </c>
      <c r="G224" s="21">
        <f>100*(G90-G89)</f>
        <v/>
      </c>
      <c r="H224" s="21">
        <f>100*(H90-H89)</f>
        <v/>
      </c>
      <c r="I224" s="21">
        <f>100*(I90-I89)</f>
        <v/>
      </c>
      <c r="J224" s="21">
        <f>100*(J90-J89)</f>
        <v/>
      </c>
      <c r="K224" s="21">
        <f>100*(K90-K89)</f>
        <v/>
      </c>
      <c r="L224" s="21">
        <f>100*(L90-L89)</f>
        <v/>
      </c>
      <c r="M224" s="21">
        <f>100*(M90-M89)</f>
        <v/>
      </c>
      <c r="N224" s="21">
        <f>100*(N90-N89)</f>
        <v/>
      </c>
      <c r="O224" s="21">
        <f>100*(O90-O89)</f>
        <v/>
      </c>
      <c r="P224" s="21">
        <f>100*(P90-P89)</f>
        <v/>
      </c>
      <c r="Q224" s="21">
        <f>100*(Q90-Q89)</f>
        <v/>
      </c>
      <c r="R224" s="21">
        <f>100*(R90-R89)</f>
        <v/>
      </c>
      <c r="S224" s="21">
        <f>100*(S90-S89)</f>
        <v/>
      </c>
      <c r="T224" s="21">
        <f>100*(T90-T89)</f>
        <v/>
      </c>
      <c r="U224" s="21">
        <f>100*(U90-U89)</f>
        <v/>
      </c>
      <c r="V224" s="21">
        <f>100*(V90-V89)</f>
        <v/>
      </c>
      <c r="W224" s="21">
        <f>100*(W90-W89)</f>
        <v/>
      </c>
      <c r="X224" s="21">
        <f>100*(X90-X89)</f>
        <v/>
      </c>
      <c r="Y224" s="21">
        <f>100*(Y90-Y89)</f>
        <v/>
      </c>
      <c r="Z224" s="21">
        <f>100*(Z90-Z89)</f>
        <v/>
      </c>
      <c r="AA224" s="21">
        <f>100*(AA90-AA89)</f>
        <v/>
      </c>
      <c r="AB224" s="21">
        <f>100*(AB90-AB89)</f>
        <v/>
      </c>
      <c r="AC224" s="21">
        <f>100*(AC90-AC89)</f>
        <v/>
      </c>
      <c r="AD224" s="21">
        <f>100*(AD90-AD89)</f>
        <v/>
      </c>
      <c r="AE224" s="21">
        <f>100*(AE90-AE89)</f>
        <v/>
      </c>
      <c r="AF224" s="21">
        <f>100*(AF90-AF89)</f>
        <v/>
      </c>
      <c r="AG224" s="21">
        <f>100*(AG90-AG89)</f>
        <v/>
      </c>
      <c r="AH224" s="21">
        <f>100*(AH90-AH89)</f>
        <v/>
      </c>
      <c r="AI224" s="21">
        <f>100*(AI90-AI89)</f>
        <v/>
      </c>
      <c r="AJ224" s="21">
        <f>100*(AJ90-AJ89)</f>
        <v/>
      </c>
      <c r="AK224" s="21">
        <f>100*(AK90-AK89)</f>
        <v/>
      </c>
      <c r="AL224" s="21">
        <f>AVERAGE(C224:AK224)</f>
        <v/>
      </c>
    </row>
    <row r="225">
      <c r="A225" s="19">
        <f>A91</f>
        <v/>
      </c>
      <c r="B225" s="20">
        <f>B91</f>
        <v/>
      </c>
      <c r="C225" s="21">
        <f>100*(C91-C90)</f>
        <v/>
      </c>
      <c r="D225" s="21">
        <f>100*(D91-D90)</f>
        <v/>
      </c>
      <c r="E225" s="21">
        <f>100*(E91-E90)</f>
        <v/>
      </c>
      <c r="F225" s="21">
        <f>100*(F91-F90)</f>
        <v/>
      </c>
      <c r="G225" s="21">
        <f>100*(G91-G90)</f>
        <v/>
      </c>
      <c r="H225" s="21">
        <f>100*(H91-H90)</f>
        <v/>
      </c>
      <c r="I225" s="21">
        <f>100*(I91-I90)</f>
        <v/>
      </c>
      <c r="J225" s="21">
        <f>100*(J91-J90)</f>
        <v/>
      </c>
      <c r="K225" s="21">
        <f>100*(K91-K90)</f>
        <v/>
      </c>
      <c r="L225" s="21">
        <f>100*(L91-L90)</f>
        <v/>
      </c>
      <c r="M225" s="21">
        <f>100*(M91-M90)</f>
        <v/>
      </c>
      <c r="N225" s="21">
        <f>100*(N91-N90)</f>
        <v/>
      </c>
      <c r="O225" s="21">
        <f>100*(O91-O90)</f>
        <v/>
      </c>
      <c r="P225" s="21">
        <f>100*(P91-P90)</f>
        <v/>
      </c>
      <c r="Q225" s="21">
        <f>100*(Q91-Q90)</f>
        <v/>
      </c>
      <c r="R225" s="21">
        <f>100*(R91-R90)</f>
        <v/>
      </c>
      <c r="S225" s="21">
        <f>100*(S91-S90)</f>
        <v/>
      </c>
      <c r="T225" s="21">
        <f>100*(T91-T90)</f>
        <v/>
      </c>
      <c r="U225" s="21">
        <f>100*(U91-U90)</f>
        <v/>
      </c>
      <c r="V225" s="21">
        <f>100*(V91-V90)</f>
        <v/>
      </c>
      <c r="W225" s="21">
        <f>100*(W91-W90)</f>
        <v/>
      </c>
      <c r="X225" s="21">
        <f>100*(X91-X90)</f>
        <v/>
      </c>
      <c r="Y225" s="21">
        <f>100*(Y91-Y90)</f>
        <v/>
      </c>
      <c r="Z225" s="21">
        <f>100*(Z91-Z90)</f>
        <v/>
      </c>
      <c r="AA225" s="21">
        <f>100*(AA91-AA90)</f>
        <v/>
      </c>
      <c r="AB225" s="21">
        <f>100*(AB91-AB90)</f>
        <v/>
      </c>
      <c r="AC225" s="21">
        <f>100*(AC91-AC90)</f>
        <v/>
      </c>
      <c r="AD225" s="21">
        <f>100*(AD91-AD90)</f>
        <v/>
      </c>
      <c r="AE225" s="21">
        <f>100*(AE91-AE90)</f>
        <v/>
      </c>
      <c r="AF225" s="21">
        <f>100*(AF91-AF90)</f>
        <v/>
      </c>
      <c r="AG225" s="21">
        <f>100*(AG91-AG90)</f>
        <v/>
      </c>
      <c r="AH225" s="21">
        <f>100*(AH91-AH90)</f>
        <v/>
      </c>
      <c r="AI225" s="21">
        <f>100*(AI91-AI90)</f>
        <v/>
      </c>
      <c r="AJ225" s="21">
        <f>100*(AJ91-AJ90)</f>
        <v/>
      </c>
      <c r="AK225" s="21">
        <f>100*(AK91-AK90)</f>
        <v/>
      </c>
      <c r="AL225" s="21">
        <f>AVERAGE(C225:AK225)</f>
        <v/>
      </c>
    </row>
    <row r="226">
      <c r="A226" s="19">
        <f>A92</f>
        <v/>
      </c>
      <c r="B226" s="20">
        <f>B92</f>
        <v/>
      </c>
      <c r="C226" s="21">
        <f>100*(C92-C91)</f>
        <v/>
      </c>
      <c r="D226" s="21">
        <f>100*(D92-D91)</f>
        <v/>
      </c>
      <c r="E226" s="21">
        <f>100*(E92-E91)</f>
        <v/>
      </c>
      <c r="F226" s="21">
        <f>100*(F92-F91)</f>
        <v/>
      </c>
      <c r="G226" s="21">
        <f>100*(G92-G91)</f>
        <v/>
      </c>
      <c r="H226" s="21">
        <f>100*(H92-H91)</f>
        <v/>
      </c>
      <c r="I226" s="21">
        <f>100*(I92-I91)</f>
        <v/>
      </c>
      <c r="J226" s="21">
        <f>100*(J92-J91)</f>
        <v/>
      </c>
      <c r="K226" s="21">
        <f>100*(K92-K91)</f>
        <v/>
      </c>
      <c r="L226" s="21">
        <f>100*(L92-L91)</f>
        <v/>
      </c>
      <c r="M226" s="21">
        <f>100*(M92-M91)</f>
        <v/>
      </c>
      <c r="N226" s="21">
        <f>100*(N92-N91)</f>
        <v/>
      </c>
      <c r="O226" s="21">
        <f>100*(O92-O91)</f>
        <v/>
      </c>
      <c r="P226" s="21">
        <f>100*(P92-P91)</f>
        <v/>
      </c>
      <c r="Q226" s="21">
        <f>100*(Q92-Q91)</f>
        <v/>
      </c>
      <c r="R226" s="21">
        <f>100*(R92-R91)</f>
        <v/>
      </c>
      <c r="S226" s="21">
        <f>100*(S92-S91)</f>
        <v/>
      </c>
      <c r="T226" s="21">
        <f>100*(T92-T91)</f>
        <v/>
      </c>
      <c r="U226" s="21">
        <f>100*(U92-U91)</f>
        <v/>
      </c>
      <c r="V226" s="21">
        <f>100*(V92-V91)</f>
        <v/>
      </c>
      <c r="W226" s="21">
        <f>100*(W92-W91)</f>
        <v/>
      </c>
      <c r="X226" s="21">
        <f>100*(X92-X91)</f>
        <v/>
      </c>
      <c r="Y226" s="21">
        <f>100*(Y92-Y91)</f>
        <v/>
      </c>
      <c r="Z226" s="21">
        <f>100*(Z92-Z91)</f>
        <v/>
      </c>
      <c r="AA226" s="21">
        <f>100*(AA92-AA91)</f>
        <v/>
      </c>
      <c r="AB226" s="21">
        <f>100*(AB92-AB91)</f>
        <v/>
      </c>
      <c r="AC226" s="21">
        <f>100*(AC92-AC91)</f>
        <v/>
      </c>
      <c r="AD226" s="21">
        <f>100*(AD92-AD91)</f>
        <v/>
      </c>
      <c r="AE226" s="21">
        <f>100*(AE92-AE91)</f>
        <v/>
      </c>
      <c r="AF226" s="21">
        <f>100*(AF92-AF91)</f>
        <v/>
      </c>
      <c r="AG226" s="21">
        <f>100*(AG92-AG91)</f>
        <v/>
      </c>
      <c r="AH226" s="21">
        <f>100*(AH92-AH91)</f>
        <v/>
      </c>
      <c r="AI226" s="21">
        <f>100*(AI92-AI91)</f>
        <v/>
      </c>
      <c r="AJ226" s="21">
        <f>100*(AJ92-AJ91)</f>
        <v/>
      </c>
      <c r="AK226" s="21">
        <f>100*(AK92-AK91)</f>
        <v/>
      </c>
      <c r="AL226" s="21">
        <f>AVERAGE(C226:AK226)</f>
        <v/>
      </c>
    </row>
    <row r="227">
      <c r="A227" s="19">
        <f>A93</f>
        <v/>
      </c>
      <c r="B227" s="20">
        <f>B93</f>
        <v/>
      </c>
      <c r="C227" s="21">
        <f>100*(C93-C92)</f>
        <v/>
      </c>
      <c r="D227" s="21">
        <f>100*(D93-D92)</f>
        <v/>
      </c>
      <c r="E227" s="21">
        <f>100*(E93-E92)</f>
        <v/>
      </c>
      <c r="F227" s="21">
        <f>100*(F93-F92)</f>
        <v/>
      </c>
      <c r="G227" s="21">
        <f>100*(G93-G92)</f>
        <v/>
      </c>
      <c r="H227" s="21">
        <f>100*(H93-H92)</f>
        <v/>
      </c>
      <c r="I227" s="21">
        <f>100*(I93-I92)</f>
        <v/>
      </c>
      <c r="J227" s="21">
        <f>100*(J93-J92)</f>
        <v/>
      </c>
      <c r="K227" s="21">
        <f>100*(K93-K92)</f>
        <v/>
      </c>
      <c r="L227" s="21">
        <f>100*(L93-L92)</f>
        <v/>
      </c>
      <c r="M227" s="21">
        <f>100*(M93-M92)</f>
        <v/>
      </c>
      <c r="N227" s="21">
        <f>100*(N93-N92)</f>
        <v/>
      </c>
      <c r="O227" s="21">
        <f>100*(O93-O92)</f>
        <v/>
      </c>
      <c r="P227" s="21">
        <f>100*(P93-P92)</f>
        <v/>
      </c>
      <c r="Q227" s="21">
        <f>100*(Q93-Q92)</f>
        <v/>
      </c>
      <c r="R227" s="21">
        <f>100*(R93-R92)</f>
        <v/>
      </c>
      <c r="S227" s="21">
        <f>100*(S93-S92)</f>
        <v/>
      </c>
      <c r="T227" s="21">
        <f>100*(T93-T92)</f>
        <v/>
      </c>
      <c r="U227" s="21">
        <f>100*(U93-U92)</f>
        <v/>
      </c>
      <c r="V227" s="21">
        <f>100*(V93-V92)</f>
        <v/>
      </c>
      <c r="W227" s="21">
        <f>100*(W93-W92)</f>
        <v/>
      </c>
      <c r="X227" s="21">
        <f>100*(X93-X92)</f>
        <v/>
      </c>
      <c r="Y227" s="21">
        <f>100*(Y93-Y92)</f>
        <v/>
      </c>
      <c r="Z227" s="21">
        <f>100*(Z93-Z92)</f>
        <v/>
      </c>
      <c r="AA227" s="21">
        <f>100*(AA93-AA92)</f>
        <v/>
      </c>
      <c r="AB227" s="21">
        <f>100*(AB93-AB92)</f>
        <v/>
      </c>
      <c r="AC227" s="21">
        <f>100*(AC93-AC92)</f>
        <v/>
      </c>
      <c r="AD227" s="21">
        <f>100*(AD93-AD92)</f>
        <v/>
      </c>
      <c r="AE227" s="21">
        <f>100*(AE93-AE92)</f>
        <v/>
      </c>
      <c r="AF227" s="21">
        <f>100*(AF93-AF92)</f>
        <v/>
      </c>
      <c r="AG227" s="21">
        <f>100*(AG93-AG92)</f>
        <v/>
      </c>
      <c r="AH227" s="21">
        <f>100*(AH93-AH92)</f>
        <v/>
      </c>
      <c r="AI227" s="21">
        <f>100*(AI93-AI92)</f>
        <v/>
      </c>
      <c r="AJ227" s="21">
        <f>100*(AJ93-AJ92)</f>
        <v/>
      </c>
      <c r="AK227" s="21">
        <f>100*(AK93-AK92)</f>
        <v/>
      </c>
      <c r="AL227" s="21">
        <f>AVERAGE(C227:AK227)</f>
        <v/>
      </c>
    </row>
    <row r="228">
      <c r="A228" s="19">
        <f>A94</f>
        <v/>
      </c>
      <c r="B228" s="20">
        <f>B94</f>
        <v/>
      </c>
      <c r="C228" s="21">
        <f>100*(C94-C93)</f>
        <v/>
      </c>
      <c r="D228" s="21">
        <f>100*(D94-D93)</f>
        <v/>
      </c>
      <c r="E228" s="21">
        <f>100*(E94-E93)</f>
        <v/>
      </c>
      <c r="F228" s="21">
        <f>100*(F94-F93)</f>
        <v/>
      </c>
      <c r="G228" s="21">
        <f>100*(G94-G93)</f>
        <v/>
      </c>
      <c r="H228" s="21">
        <f>100*(H94-H93)</f>
        <v/>
      </c>
      <c r="I228" s="21">
        <f>100*(I94-I93)</f>
        <v/>
      </c>
      <c r="J228" s="21">
        <f>100*(J94-J93)</f>
        <v/>
      </c>
      <c r="K228" s="21">
        <f>100*(K94-K93)</f>
        <v/>
      </c>
      <c r="L228" s="21">
        <f>100*(L94-L93)</f>
        <v/>
      </c>
      <c r="M228" s="21">
        <f>100*(M94-M93)</f>
        <v/>
      </c>
      <c r="N228" s="21">
        <f>100*(N94-N93)</f>
        <v/>
      </c>
      <c r="O228" s="21">
        <f>100*(O94-O93)</f>
        <v/>
      </c>
      <c r="P228" s="21">
        <f>100*(P94-P93)</f>
        <v/>
      </c>
      <c r="Q228" s="21">
        <f>100*(Q94-Q93)</f>
        <v/>
      </c>
      <c r="R228" s="21">
        <f>100*(R94-R93)</f>
        <v/>
      </c>
      <c r="S228" s="21">
        <f>100*(S94-S93)</f>
        <v/>
      </c>
      <c r="T228" s="21">
        <f>100*(T94-T93)</f>
        <v/>
      </c>
      <c r="U228" s="21">
        <f>100*(U94-U93)</f>
        <v/>
      </c>
      <c r="V228" s="21">
        <f>100*(V94-V93)</f>
        <v/>
      </c>
      <c r="W228" s="21">
        <f>100*(W94-W93)</f>
        <v/>
      </c>
      <c r="X228" s="21">
        <f>100*(X94-X93)</f>
        <v/>
      </c>
      <c r="Y228" s="21">
        <f>100*(Y94-Y93)</f>
        <v/>
      </c>
      <c r="Z228" s="21">
        <f>100*(Z94-Z93)</f>
        <v/>
      </c>
      <c r="AA228" s="21">
        <f>100*(AA94-AA93)</f>
        <v/>
      </c>
      <c r="AB228" s="21">
        <f>100*(AB94-AB93)</f>
        <v/>
      </c>
      <c r="AC228" s="21">
        <f>100*(AC94-AC93)</f>
        <v/>
      </c>
      <c r="AD228" s="21">
        <f>100*(AD94-AD93)</f>
        <v/>
      </c>
      <c r="AE228" s="21">
        <f>100*(AE94-AE93)</f>
        <v/>
      </c>
      <c r="AF228" s="21">
        <f>100*(AF94-AF93)</f>
        <v/>
      </c>
      <c r="AG228" s="21">
        <f>100*(AG94-AG93)</f>
        <v/>
      </c>
      <c r="AH228" s="21">
        <f>100*(AH94-AH93)</f>
        <v/>
      </c>
      <c r="AI228" s="21">
        <f>100*(AI94-AI93)</f>
        <v/>
      </c>
      <c r="AJ228" s="21">
        <f>100*(AJ94-AJ93)</f>
        <v/>
      </c>
      <c r="AK228" s="21">
        <f>100*(AK94-AK93)</f>
        <v/>
      </c>
      <c r="AL228" s="21">
        <f>AVERAGE(C228:AK228)</f>
        <v/>
      </c>
    </row>
    <row r="229">
      <c r="A229" s="19">
        <f>A95</f>
        <v/>
      </c>
      <c r="B229" s="20">
        <f>B95</f>
        <v/>
      </c>
      <c r="C229" s="21">
        <f>100*(C95-C94)</f>
        <v/>
      </c>
      <c r="D229" s="21">
        <f>100*(D95-D94)</f>
        <v/>
      </c>
      <c r="E229" s="21">
        <f>100*(E95-E94)</f>
        <v/>
      </c>
      <c r="F229" s="21">
        <f>100*(F95-F94)</f>
        <v/>
      </c>
      <c r="G229" s="21">
        <f>100*(G95-G94)</f>
        <v/>
      </c>
      <c r="H229" s="21">
        <f>100*(H95-H94)</f>
        <v/>
      </c>
      <c r="I229" s="21">
        <f>100*(I95-I94)</f>
        <v/>
      </c>
      <c r="J229" s="21">
        <f>100*(J95-J94)</f>
        <v/>
      </c>
      <c r="K229" s="21">
        <f>100*(K95-K94)</f>
        <v/>
      </c>
      <c r="L229" s="21">
        <f>100*(L95-L94)</f>
        <v/>
      </c>
      <c r="M229" s="21">
        <f>100*(M95-M94)</f>
        <v/>
      </c>
      <c r="N229" s="21">
        <f>100*(N95-N94)</f>
        <v/>
      </c>
      <c r="O229" s="21">
        <f>100*(O95-O94)</f>
        <v/>
      </c>
      <c r="P229" s="21">
        <f>100*(P95-P94)</f>
        <v/>
      </c>
      <c r="Q229" s="21">
        <f>100*(Q95-Q94)</f>
        <v/>
      </c>
      <c r="R229" s="21">
        <f>100*(R95-R94)</f>
        <v/>
      </c>
      <c r="S229" s="21">
        <f>100*(S95-S94)</f>
        <v/>
      </c>
      <c r="T229" s="21">
        <f>100*(T95-T94)</f>
        <v/>
      </c>
      <c r="U229" s="21">
        <f>100*(U95-U94)</f>
        <v/>
      </c>
      <c r="V229" s="21">
        <f>100*(V95-V94)</f>
        <v/>
      </c>
      <c r="W229" s="21">
        <f>100*(W95-W94)</f>
        <v/>
      </c>
      <c r="X229" s="21">
        <f>100*(X95-X94)</f>
        <v/>
      </c>
      <c r="Y229" s="21">
        <f>100*(Y95-Y94)</f>
        <v/>
      </c>
      <c r="Z229" s="21">
        <f>100*(Z95-Z94)</f>
        <v/>
      </c>
      <c r="AA229" s="21">
        <f>100*(AA95-AA94)</f>
        <v/>
      </c>
      <c r="AB229" s="21">
        <f>100*(AB95-AB94)</f>
        <v/>
      </c>
      <c r="AC229" s="21">
        <f>100*(AC95-AC94)</f>
        <v/>
      </c>
      <c r="AD229" s="21">
        <f>100*(AD95-AD94)</f>
        <v/>
      </c>
      <c r="AE229" s="21">
        <f>100*(AE95-AE94)</f>
        <v/>
      </c>
      <c r="AF229" s="21">
        <f>100*(AF95-AF94)</f>
        <v/>
      </c>
      <c r="AG229" s="21">
        <f>100*(AG95-AG94)</f>
        <v/>
      </c>
      <c r="AH229" s="21">
        <f>100*(AH95-AH94)</f>
        <v/>
      </c>
      <c r="AI229" s="21">
        <f>100*(AI95-AI94)</f>
        <v/>
      </c>
      <c r="AJ229" s="21">
        <f>100*(AJ95-AJ94)</f>
        <v/>
      </c>
      <c r="AK229" s="21">
        <f>100*(AK95-AK94)</f>
        <v/>
      </c>
      <c r="AL229" s="21">
        <f>AVERAGE(C229:AK229)</f>
        <v/>
      </c>
    </row>
    <row r="230">
      <c r="A230" s="19">
        <f>A96</f>
        <v/>
      </c>
      <c r="B230" s="20">
        <f>B96</f>
        <v/>
      </c>
      <c r="C230" s="21">
        <f>100*(C96-C95)</f>
        <v/>
      </c>
      <c r="D230" s="21">
        <f>100*(D96-D95)</f>
        <v/>
      </c>
      <c r="E230" s="21">
        <f>100*(E96-E95)</f>
        <v/>
      </c>
      <c r="F230" s="21">
        <f>100*(F96-F95)</f>
        <v/>
      </c>
      <c r="G230" s="21">
        <f>100*(G96-G95)</f>
        <v/>
      </c>
      <c r="H230" s="21">
        <f>100*(H96-H95)</f>
        <v/>
      </c>
      <c r="I230" s="21">
        <f>100*(I96-I95)</f>
        <v/>
      </c>
      <c r="J230" s="21">
        <f>100*(J96-J95)</f>
        <v/>
      </c>
      <c r="K230" s="21">
        <f>100*(K96-K95)</f>
        <v/>
      </c>
      <c r="L230" s="21">
        <f>100*(L96-L95)</f>
        <v/>
      </c>
      <c r="M230" s="21">
        <f>100*(M96-M95)</f>
        <v/>
      </c>
      <c r="N230" s="21">
        <f>100*(N96-N95)</f>
        <v/>
      </c>
      <c r="O230" s="21">
        <f>100*(O96-O95)</f>
        <v/>
      </c>
      <c r="P230" s="21">
        <f>100*(P96-P95)</f>
        <v/>
      </c>
      <c r="Q230" s="21">
        <f>100*(Q96-Q95)</f>
        <v/>
      </c>
      <c r="R230" s="21">
        <f>100*(R96-R95)</f>
        <v/>
      </c>
      <c r="S230" s="21">
        <f>100*(S96-S95)</f>
        <v/>
      </c>
      <c r="T230" s="21">
        <f>100*(T96-T95)</f>
        <v/>
      </c>
      <c r="U230" s="21">
        <f>100*(U96-U95)</f>
        <v/>
      </c>
      <c r="V230" s="21">
        <f>100*(V96-V95)</f>
        <v/>
      </c>
      <c r="W230" s="21">
        <f>100*(W96-W95)</f>
        <v/>
      </c>
      <c r="X230" s="21">
        <f>100*(X96-X95)</f>
        <v/>
      </c>
      <c r="Y230" s="21">
        <f>100*(Y96-Y95)</f>
        <v/>
      </c>
      <c r="Z230" s="21">
        <f>100*(Z96-Z95)</f>
        <v/>
      </c>
      <c r="AA230" s="21">
        <f>100*(AA96-AA95)</f>
        <v/>
      </c>
      <c r="AB230" s="21">
        <f>100*(AB96-AB95)</f>
        <v/>
      </c>
      <c r="AC230" s="21">
        <f>100*(AC96-AC95)</f>
        <v/>
      </c>
      <c r="AD230" s="21">
        <f>100*(AD96-AD95)</f>
        <v/>
      </c>
      <c r="AE230" s="21">
        <f>100*(AE96-AE95)</f>
        <v/>
      </c>
      <c r="AF230" s="21">
        <f>100*(AF96-AF95)</f>
        <v/>
      </c>
      <c r="AG230" s="21">
        <f>100*(AG96-AG95)</f>
        <v/>
      </c>
      <c r="AH230" s="21">
        <f>100*(AH96-AH95)</f>
        <v/>
      </c>
      <c r="AI230" s="21">
        <f>100*(AI96-AI95)</f>
        <v/>
      </c>
      <c r="AJ230" s="21">
        <f>100*(AJ96-AJ95)</f>
        <v/>
      </c>
      <c r="AK230" s="21">
        <f>100*(AK96-AK95)</f>
        <v/>
      </c>
      <c r="AL230" s="21">
        <f>AVERAGE(C230:AK230)</f>
        <v/>
      </c>
    </row>
    <row r="231">
      <c r="A231" s="19">
        <f>A97</f>
        <v/>
      </c>
      <c r="B231" s="20">
        <f>B97</f>
        <v/>
      </c>
      <c r="C231" s="21">
        <f>100*(C97-C96)</f>
        <v/>
      </c>
      <c r="D231" s="21">
        <f>100*(D97-D96)</f>
        <v/>
      </c>
      <c r="E231" s="21">
        <f>100*(E97-E96)</f>
        <v/>
      </c>
      <c r="F231" s="21">
        <f>100*(F97-F96)</f>
        <v/>
      </c>
      <c r="G231" s="21">
        <f>100*(G97-G96)</f>
        <v/>
      </c>
      <c r="H231" s="21">
        <f>100*(H97-H96)</f>
        <v/>
      </c>
      <c r="I231" s="21">
        <f>100*(I97-I96)</f>
        <v/>
      </c>
      <c r="J231" s="21">
        <f>100*(J97-J96)</f>
        <v/>
      </c>
      <c r="K231" s="21">
        <f>100*(K97-K96)</f>
        <v/>
      </c>
      <c r="L231" s="21">
        <f>100*(L97-L96)</f>
        <v/>
      </c>
      <c r="M231" s="21">
        <f>100*(M97-M96)</f>
        <v/>
      </c>
      <c r="N231" s="21">
        <f>100*(N97-N96)</f>
        <v/>
      </c>
      <c r="O231" s="21">
        <f>100*(O97-O96)</f>
        <v/>
      </c>
      <c r="P231" s="21">
        <f>100*(P97-P96)</f>
        <v/>
      </c>
      <c r="Q231" s="21">
        <f>100*(Q97-Q96)</f>
        <v/>
      </c>
      <c r="R231" s="21">
        <f>100*(R97-R96)</f>
        <v/>
      </c>
      <c r="S231" s="21">
        <f>100*(S97-S96)</f>
        <v/>
      </c>
      <c r="T231" s="21">
        <f>100*(T97-T96)</f>
        <v/>
      </c>
      <c r="U231" s="21">
        <f>100*(U97-U96)</f>
        <v/>
      </c>
      <c r="V231" s="21">
        <f>100*(V97-V96)</f>
        <v/>
      </c>
      <c r="W231" s="21">
        <f>100*(W97-W96)</f>
        <v/>
      </c>
      <c r="X231" s="21">
        <f>100*(X97-X96)</f>
        <v/>
      </c>
      <c r="Y231" s="21">
        <f>100*(Y97-Y96)</f>
        <v/>
      </c>
      <c r="Z231" s="21">
        <f>100*(Z97-Z96)</f>
        <v/>
      </c>
      <c r="AA231" s="21">
        <f>100*(AA97-AA96)</f>
        <v/>
      </c>
      <c r="AB231" s="21">
        <f>100*(AB97-AB96)</f>
        <v/>
      </c>
      <c r="AC231" s="21">
        <f>100*(AC97-AC96)</f>
        <v/>
      </c>
      <c r="AD231" s="21">
        <f>100*(AD97-AD96)</f>
        <v/>
      </c>
      <c r="AE231" s="21">
        <f>100*(AE97-AE96)</f>
        <v/>
      </c>
      <c r="AF231" s="21">
        <f>100*(AF97-AF96)</f>
        <v/>
      </c>
      <c r="AG231" s="21">
        <f>100*(AG97-AG96)</f>
        <v/>
      </c>
      <c r="AH231" s="21">
        <f>100*(AH97-AH96)</f>
        <v/>
      </c>
      <c r="AI231" s="21">
        <f>100*(AI97-AI96)</f>
        <v/>
      </c>
      <c r="AJ231" s="21">
        <f>100*(AJ97-AJ96)</f>
        <v/>
      </c>
      <c r="AK231" s="21">
        <f>100*(AK97-AK96)</f>
        <v/>
      </c>
      <c r="AL231" s="21">
        <f>AVERAGE(C231:AK231)</f>
        <v/>
      </c>
    </row>
    <row r="232">
      <c r="A232" s="19">
        <f>A98</f>
        <v/>
      </c>
      <c r="B232" s="20">
        <f>B98</f>
        <v/>
      </c>
      <c r="C232" s="21">
        <f>100*(C98-C97)</f>
        <v/>
      </c>
      <c r="D232" s="21">
        <f>100*(D98-D97)</f>
        <v/>
      </c>
      <c r="E232" s="21">
        <f>100*(E98-E97)</f>
        <v/>
      </c>
      <c r="F232" s="21">
        <f>100*(F98-F97)</f>
        <v/>
      </c>
      <c r="G232" s="21">
        <f>100*(G98-G97)</f>
        <v/>
      </c>
      <c r="H232" s="21">
        <f>100*(H98-H97)</f>
        <v/>
      </c>
      <c r="I232" s="21">
        <f>100*(I98-I97)</f>
        <v/>
      </c>
      <c r="J232" s="21">
        <f>100*(J98-J97)</f>
        <v/>
      </c>
      <c r="K232" s="21">
        <f>100*(K98-K97)</f>
        <v/>
      </c>
      <c r="L232" s="21">
        <f>100*(L98-L97)</f>
        <v/>
      </c>
      <c r="M232" s="21">
        <f>100*(M98-M97)</f>
        <v/>
      </c>
      <c r="N232" s="21">
        <f>100*(N98-N97)</f>
        <v/>
      </c>
      <c r="O232" s="21">
        <f>100*(O98-O97)</f>
        <v/>
      </c>
      <c r="P232" s="21">
        <f>100*(P98-P97)</f>
        <v/>
      </c>
      <c r="Q232" s="21">
        <f>100*(Q98-Q97)</f>
        <v/>
      </c>
      <c r="R232" s="21">
        <f>100*(R98-R97)</f>
        <v/>
      </c>
      <c r="S232" s="21">
        <f>100*(S98-S97)</f>
        <v/>
      </c>
      <c r="T232" s="21">
        <f>100*(T98-T97)</f>
        <v/>
      </c>
      <c r="U232" s="21">
        <f>100*(U98-U97)</f>
        <v/>
      </c>
      <c r="V232" s="21">
        <f>100*(V98-V97)</f>
        <v/>
      </c>
      <c r="W232" s="21">
        <f>100*(W98-W97)</f>
        <v/>
      </c>
      <c r="X232" s="21">
        <f>100*(X98-X97)</f>
        <v/>
      </c>
      <c r="Y232" s="21">
        <f>100*(Y98-Y97)</f>
        <v/>
      </c>
      <c r="Z232" s="21">
        <f>100*(Z98-Z97)</f>
        <v/>
      </c>
      <c r="AA232" s="21">
        <f>100*(AA98-AA97)</f>
        <v/>
      </c>
      <c r="AB232" s="21">
        <f>100*(AB98-AB97)</f>
        <v/>
      </c>
      <c r="AC232" s="21">
        <f>100*(AC98-AC97)</f>
        <v/>
      </c>
      <c r="AD232" s="21">
        <f>100*(AD98-AD97)</f>
        <v/>
      </c>
      <c r="AE232" s="21">
        <f>100*(AE98-AE97)</f>
        <v/>
      </c>
      <c r="AF232" s="21">
        <f>100*(AF98-AF97)</f>
        <v/>
      </c>
      <c r="AG232" s="21">
        <f>100*(AG98-AG97)</f>
        <v/>
      </c>
      <c r="AH232" s="21">
        <f>100*(AH98-AH97)</f>
        <v/>
      </c>
      <c r="AI232" s="21">
        <f>100*(AI98-AI97)</f>
        <v/>
      </c>
      <c r="AJ232" s="21">
        <f>100*(AJ98-AJ97)</f>
        <v/>
      </c>
      <c r="AK232" s="21">
        <f>100*(AK98-AK97)</f>
        <v/>
      </c>
      <c r="AL232" s="21">
        <f>AVERAGE(C232:AK232)</f>
        <v/>
      </c>
    </row>
    <row r="233">
      <c r="A233" s="19">
        <f>A99</f>
        <v/>
      </c>
      <c r="B233" s="20">
        <f>B99</f>
        <v/>
      </c>
      <c r="C233" s="21">
        <f>100*(C99-C98)</f>
        <v/>
      </c>
      <c r="D233" s="21">
        <f>100*(D99-D98)</f>
        <v/>
      </c>
      <c r="E233" s="21">
        <f>100*(E99-E98)</f>
        <v/>
      </c>
      <c r="F233" s="21">
        <f>100*(F99-F98)</f>
        <v/>
      </c>
      <c r="G233" s="21">
        <f>100*(G99-G98)</f>
        <v/>
      </c>
      <c r="H233" s="21">
        <f>100*(H99-H98)</f>
        <v/>
      </c>
      <c r="I233" s="21">
        <f>100*(I99-I98)</f>
        <v/>
      </c>
      <c r="J233" s="21">
        <f>100*(J99-J98)</f>
        <v/>
      </c>
      <c r="K233" s="21">
        <f>100*(K99-K98)</f>
        <v/>
      </c>
      <c r="L233" s="21">
        <f>100*(L99-L98)</f>
        <v/>
      </c>
      <c r="M233" s="21">
        <f>100*(M99-M98)</f>
        <v/>
      </c>
      <c r="N233" s="21">
        <f>100*(N99-N98)</f>
        <v/>
      </c>
      <c r="O233" s="21">
        <f>100*(O99-O98)</f>
        <v/>
      </c>
      <c r="P233" s="21">
        <f>100*(P99-P98)</f>
        <v/>
      </c>
      <c r="Q233" s="21">
        <f>100*(Q99-Q98)</f>
        <v/>
      </c>
      <c r="R233" s="21">
        <f>100*(R99-R98)</f>
        <v/>
      </c>
      <c r="S233" s="21">
        <f>100*(S99-S98)</f>
        <v/>
      </c>
      <c r="T233" s="21">
        <f>100*(T99-T98)</f>
        <v/>
      </c>
      <c r="U233" s="21">
        <f>100*(U99-U98)</f>
        <v/>
      </c>
      <c r="V233" s="21">
        <f>100*(V99-V98)</f>
        <v/>
      </c>
      <c r="W233" s="21">
        <f>100*(W99-W98)</f>
        <v/>
      </c>
      <c r="X233" s="21">
        <f>100*(X99-X98)</f>
        <v/>
      </c>
      <c r="Y233" s="21">
        <f>100*(Y99-Y98)</f>
        <v/>
      </c>
      <c r="Z233" s="21">
        <f>100*(Z99-Z98)</f>
        <v/>
      </c>
      <c r="AA233" s="21">
        <f>100*(AA99-AA98)</f>
        <v/>
      </c>
      <c r="AB233" s="21">
        <f>100*(AB99-AB98)</f>
        <v/>
      </c>
      <c r="AC233" s="21">
        <f>100*(AC99-AC98)</f>
        <v/>
      </c>
      <c r="AD233" s="21">
        <f>100*(AD99-AD98)</f>
        <v/>
      </c>
      <c r="AE233" s="21">
        <f>100*(AE99-AE98)</f>
        <v/>
      </c>
      <c r="AF233" s="21">
        <f>100*(AF99-AF98)</f>
        <v/>
      </c>
      <c r="AG233" s="21">
        <f>100*(AG99-AG98)</f>
        <v/>
      </c>
      <c r="AH233" s="21">
        <f>100*(AH99-AH98)</f>
        <v/>
      </c>
      <c r="AI233" s="21">
        <f>100*(AI99-AI98)</f>
        <v/>
      </c>
      <c r="AJ233" s="21">
        <f>100*(AJ99-AJ98)</f>
        <v/>
      </c>
      <c r="AK233" s="21">
        <f>100*(AK99-AK98)</f>
        <v/>
      </c>
      <c r="AL233" s="21">
        <f>AVERAGE(C233:AK233)</f>
        <v/>
      </c>
    </row>
    <row r="234">
      <c r="A234" s="19">
        <f>A100</f>
        <v/>
      </c>
      <c r="B234" s="20">
        <f>B100</f>
        <v/>
      </c>
      <c r="C234" s="21">
        <f>100*(C100-C99)</f>
        <v/>
      </c>
      <c r="D234" s="21">
        <f>100*(D100-D99)</f>
        <v/>
      </c>
      <c r="E234" s="21">
        <f>100*(E100-E99)</f>
        <v/>
      </c>
      <c r="F234" s="21">
        <f>100*(F100-F99)</f>
        <v/>
      </c>
      <c r="G234" s="21">
        <f>100*(G100-G99)</f>
        <v/>
      </c>
      <c r="H234" s="21">
        <f>100*(H100-H99)</f>
        <v/>
      </c>
      <c r="I234" s="21">
        <f>100*(I100-I99)</f>
        <v/>
      </c>
      <c r="J234" s="21">
        <f>100*(J100-J99)</f>
        <v/>
      </c>
      <c r="K234" s="21">
        <f>100*(K100-K99)</f>
        <v/>
      </c>
      <c r="L234" s="21">
        <f>100*(L100-L99)</f>
        <v/>
      </c>
      <c r="M234" s="21">
        <f>100*(M100-M99)</f>
        <v/>
      </c>
      <c r="N234" s="21">
        <f>100*(N100-N99)</f>
        <v/>
      </c>
      <c r="O234" s="21">
        <f>100*(O100-O99)</f>
        <v/>
      </c>
      <c r="P234" s="21">
        <f>100*(P100-P99)</f>
        <v/>
      </c>
      <c r="Q234" s="21">
        <f>100*(Q100-Q99)</f>
        <v/>
      </c>
      <c r="R234" s="21">
        <f>100*(R100-R99)</f>
        <v/>
      </c>
      <c r="S234" s="21">
        <f>100*(S100-S99)</f>
        <v/>
      </c>
      <c r="T234" s="21">
        <f>100*(T100-T99)</f>
        <v/>
      </c>
      <c r="U234" s="21">
        <f>100*(U100-U99)</f>
        <v/>
      </c>
      <c r="V234" s="21">
        <f>100*(V100-V99)</f>
        <v/>
      </c>
      <c r="W234" s="21">
        <f>100*(W100-W99)</f>
        <v/>
      </c>
      <c r="X234" s="21">
        <f>100*(X100-X99)</f>
        <v/>
      </c>
      <c r="Y234" s="21">
        <f>100*(Y100-Y99)</f>
        <v/>
      </c>
      <c r="Z234" s="21">
        <f>100*(Z100-Z99)</f>
        <v/>
      </c>
      <c r="AA234" s="21">
        <f>100*(AA100-AA99)</f>
        <v/>
      </c>
      <c r="AB234" s="21">
        <f>100*(AB100-AB99)</f>
        <v/>
      </c>
      <c r="AC234" s="21">
        <f>100*(AC100-AC99)</f>
        <v/>
      </c>
      <c r="AD234" s="21">
        <f>100*(AD100-AD99)</f>
        <v/>
      </c>
      <c r="AE234" s="21">
        <f>100*(AE100-AE99)</f>
        <v/>
      </c>
      <c r="AF234" s="21">
        <f>100*(AF100-AF99)</f>
        <v/>
      </c>
      <c r="AG234" s="21">
        <f>100*(AG100-AG99)</f>
        <v/>
      </c>
      <c r="AH234" s="21">
        <f>100*(AH100-AH99)</f>
        <v/>
      </c>
      <c r="AI234" s="21">
        <f>100*(AI100-AI99)</f>
        <v/>
      </c>
      <c r="AJ234" s="21">
        <f>100*(AJ100-AJ99)</f>
        <v/>
      </c>
      <c r="AK234" s="21">
        <f>100*(AK100-AK99)</f>
        <v/>
      </c>
      <c r="AL234" s="21">
        <f>AVERAGE(C234:AK234)</f>
        <v/>
      </c>
    </row>
    <row r="235">
      <c r="A235" s="19">
        <f>A101</f>
        <v/>
      </c>
      <c r="B235" s="20">
        <f>B101</f>
        <v/>
      </c>
      <c r="C235" s="21">
        <f>100*(C101-C100)</f>
        <v/>
      </c>
      <c r="D235" s="21">
        <f>100*(D101-D100)</f>
        <v/>
      </c>
      <c r="E235" s="21">
        <f>100*(E101-E100)</f>
        <v/>
      </c>
      <c r="F235" s="21">
        <f>100*(F101-F100)</f>
        <v/>
      </c>
      <c r="G235" s="21">
        <f>100*(G101-G100)</f>
        <v/>
      </c>
      <c r="H235" s="21">
        <f>100*(H101-H100)</f>
        <v/>
      </c>
      <c r="I235" s="21">
        <f>100*(I101-I100)</f>
        <v/>
      </c>
      <c r="J235" s="21">
        <f>100*(J101-J100)</f>
        <v/>
      </c>
      <c r="K235" s="21">
        <f>100*(K101-K100)</f>
        <v/>
      </c>
      <c r="L235" s="21">
        <f>100*(L101-L100)</f>
        <v/>
      </c>
      <c r="M235" s="21">
        <f>100*(M101-M100)</f>
        <v/>
      </c>
      <c r="N235" s="21">
        <f>100*(N101-N100)</f>
        <v/>
      </c>
      <c r="O235" s="21">
        <f>100*(O101-O100)</f>
        <v/>
      </c>
      <c r="P235" s="21">
        <f>100*(P101-P100)</f>
        <v/>
      </c>
      <c r="Q235" s="21">
        <f>100*(Q101-Q100)</f>
        <v/>
      </c>
      <c r="R235" s="21">
        <f>100*(R101-R100)</f>
        <v/>
      </c>
      <c r="S235" s="21">
        <f>100*(S101-S100)</f>
        <v/>
      </c>
      <c r="T235" s="21">
        <f>100*(T101-T100)</f>
        <v/>
      </c>
      <c r="U235" s="21">
        <f>100*(U101-U100)</f>
        <v/>
      </c>
      <c r="V235" s="21">
        <f>100*(V101-V100)</f>
        <v/>
      </c>
      <c r="W235" s="21">
        <f>100*(W101-W100)</f>
        <v/>
      </c>
      <c r="X235" s="21">
        <f>100*(X101-X100)</f>
        <v/>
      </c>
      <c r="Y235" s="21">
        <f>100*(Y101-Y100)</f>
        <v/>
      </c>
      <c r="Z235" s="21">
        <f>100*(Z101-Z100)</f>
        <v/>
      </c>
      <c r="AA235" s="21">
        <f>100*(AA101-AA100)</f>
        <v/>
      </c>
      <c r="AB235" s="21">
        <f>100*(AB101-AB100)</f>
        <v/>
      </c>
      <c r="AC235" s="21">
        <f>100*(AC101-AC100)</f>
        <v/>
      </c>
      <c r="AD235" s="21">
        <f>100*(AD101-AD100)</f>
        <v/>
      </c>
      <c r="AE235" s="21">
        <f>100*(AE101-AE100)</f>
        <v/>
      </c>
      <c r="AF235" s="21">
        <f>100*(AF101-AF100)</f>
        <v/>
      </c>
      <c r="AG235" s="21">
        <f>100*(AG101-AG100)</f>
        <v/>
      </c>
      <c r="AH235" s="21">
        <f>100*(AH101-AH100)</f>
        <v/>
      </c>
      <c r="AI235" s="21">
        <f>100*(AI101-AI100)</f>
        <v/>
      </c>
      <c r="AJ235" s="21">
        <f>100*(AJ101-AJ100)</f>
        <v/>
      </c>
      <c r="AK235" s="21">
        <f>100*(AK101-AK100)</f>
        <v/>
      </c>
      <c r="AL235" s="21">
        <f>AVERAGE(C235:AK235)</f>
        <v/>
      </c>
    </row>
    <row r="236">
      <c r="A236" s="19">
        <f>A102</f>
        <v/>
      </c>
      <c r="B236" s="20">
        <f>B102</f>
        <v/>
      </c>
      <c r="C236" s="21">
        <f>100*(C102-C101)</f>
        <v/>
      </c>
      <c r="D236" s="21">
        <f>100*(D102-D101)</f>
        <v/>
      </c>
      <c r="E236" s="21">
        <f>100*(E102-E101)</f>
        <v/>
      </c>
      <c r="F236" s="21">
        <f>100*(F102-F101)</f>
        <v/>
      </c>
      <c r="G236" s="21">
        <f>100*(G102-G101)</f>
        <v/>
      </c>
      <c r="H236" s="21">
        <f>100*(H102-H101)</f>
        <v/>
      </c>
      <c r="I236" s="21">
        <f>100*(I102-I101)</f>
        <v/>
      </c>
      <c r="J236" s="21">
        <f>100*(J102-J101)</f>
        <v/>
      </c>
      <c r="K236" s="21">
        <f>100*(K102-K101)</f>
        <v/>
      </c>
      <c r="L236" s="21">
        <f>100*(L102-L101)</f>
        <v/>
      </c>
      <c r="M236" s="21">
        <f>100*(M102-M101)</f>
        <v/>
      </c>
      <c r="N236" s="21">
        <f>100*(N102-N101)</f>
        <v/>
      </c>
      <c r="O236" s="21">
        <f>100*(O102-O101)</f>
        <v/>
      </c>
      <c r="P236" s="21">
        <f>100*(P102-P101)</f>
        <v/>
      </c>
      <c r="Q236" s="21">
        <f>100*(Q102-Q101)</f>
        <v/>
      </c>
      <c r="R236" s="21">
        <f>100*(R102-R101)</f>
        <v/>
      </c>
      <c r="S236" s="21">
        <f>100*(S102-S101)</f>
        <v/>
      </c>
      <c r="T236" s="21">
        <f>100*(T102-T101)</f>
        <v/>
      </c>
      <c r="U236" s="21">
        <f>100*(U102-U101)</f>
        <v/>
      </c>
      <c r="V236" s="21">
        <f>100*(V102-V101)</f>
        <v/>
      </c>
      <c r="W236" s="21">
        <f>100*(W102-W101)</f>
        <v/>
      </c>
      <c r="X236" s="21">
        <f>100*(X102-X101)</f>
        <v/>
      </c>
      <c r="Y236" s="21">
        <f>100*(Y102-Y101)</f>
        <v/>
      </c>
      <c r="Z236" s="21">
        <f>100*(Z102-Z101)</f>
        <v/>
      </c>
      <c r="AA236" s="21">
        <f>100*(AA102-AA101)</f>
        <v/>
      </c>
      <c r="AB236" s="21">
        <f>100*(AB102-AB101)</f>
        <v/>
      </c>
      <c r="AC236" s="21">
        <f>100*(AC102-AC101)</f>
        <v/>
      </c>
      <c r="AD236" s="21">
        <f>100*(AD102-AD101)</f>
        <v/>
      </c>
      <c r="AE236" s="21">
        <f>100*(AE102-AE101)</f>
        <v/>
      </c>
      <c r="AF236" s="21">
        <f>100*(AF102-AF101)</f>
        <v/>
      </c>
      <c r="AG236" s="21">
        <f>100*(AG102-AG101)</f>
        <v/>
      </c>
      <c r="AH236" s="21">
        <f>100*(AH102-AH101)</f>
        <v/>
      </c>
      <c r="AI236" s="21">
        <f>100*(AI102-AI101)</f>
        <v/>
      </c>
      <c r="AJ236" s="21">
        <f>100*(AJ102-AJ101)</f>
        <v/>
      </c>
      <c r="AK236" s="21">
        <f>100*(AK102-AK101)</f>
        <v/>
      </c>
      <c r="AL236" s="21">
        <f>AVERAGE(C236:AK236)</f>
        <v/>
      </c>
    </row>
    <row r="237">
      <c r="A237" s="19">
        <f>A103</f>
        <v/>
      </c>
      <c r="B237" s="20">
        <f>B103</f>
        <v/>
      </c>
      <c r="C237" s="21">
        <f>100*(C103-C102)</f>
        <v/>
      </c>
      <c r="D237" s="21">
        <f>100*(D103-D102)</f>
        <v/>
      </c>
      <c r="E237" s="21">
        <f>100*(E103-E102)</f>
        <v/>
      </c>
      <c r="F237" s="21">
        <f>100*(F103-F102)</f>
        <v/>
      </c>
      <c r="G237" s="21">
        <f>100*(G103-G102)</f>
        <v/>
      </c>
      <c r="H237" s="21">
        <f>100*(H103-H102)</f>
        <v/>
      </c>
      <c r="I237" s="21">
        <f>100*(I103-I102)</f>
        <v/>
      </c>
      <c r="J237" s="21">
        <f>100*(J103-J102)</f>
        <v/>
      </c>
      <c r="K237" s="21">
        <f>100*(K103-K102)</f>
        <v/>
      </c>
      <c r="L237" s="21">
        <f>100*(L103-L102)</f>
        <v/>
      </c>
      <c r="M237" s="21">
        <f>100*(M103-M102)</f>
        <v/>
      </c>
      <c r="N237" s="21">
        <f>100*(N103-N102)</f>
        <v/>
      </c>
      <c r="O237" s="21">
        <f>100*(O103-O102)</f>
        <v/>
      </c>
      <c r="P237" s="21">
        <f>100*(P103-P102)</f>
        <v/>
      </c>
      <c r="Q237" s="21">
        <f>100*(Q103-Q102)</f>
        <v/>
      </c>
      <c r="R237" s="21">
        <f>100*(R103-R102)</f>
        <v/>
      </c>
      <c r="S237" s="21">
        <f>100*(S103-S102)</f>
        <v/>
      </c>
      <c r="T237" s="21">
        <f>100*(T103-T102)</f>
        <v/>
      </c>
      <c r="U237" s="21">
        <f>100*(U103-U102)</f>
        <v/>
      </c>
      <c r="V237" s="21">
        <f>100*(V103-V102)</f>
        <v/>
      </c>
      <c r="W237" s="21">
        <f>100*(W103-W102)</f>
        <v/>
      </c>
      <c r="X237" s="21">
        <f>100*(X103-X102)</f>
        <v/>
      </c>
      <c r="Y237" s="21">
        <f>100*(Y103-Y102)</f>
        <v/>
      </c>
      <c r="Z237" s="21">
        <f>100*(Z103-Z102)</f>
        <v/>
      </c>
      <c r="AA237" s="21">
        <f>100*(AA103-AA102)</f>
        <v/>
      </c>
      <c r="AB237" s="21">
        <f>100*(AB103-AB102)</f>
        <v/>
      </c>
      <c r="AC237" s="21">
        <f>100*(AC103-AC102)</f>
        <v/>
      </c>
      <c r="AD237" s="21">
        <f>100*(AD103-AD102)</f>
        <v/>
      </c>
      <c r="AE237" s="21">
        <f>100*(AE103-AE102)</f>
        <v/>
      </c>
      <c r="AF237" s="21">
        <f>100*(AF103-AF102)</f>
        <v/>
      </c>
      <c r="AG237" s="21">
        <f>100*(AG103-AG102)</f>
        <v/>
      </c>
      <c r="AH237" s="21">
        <f>100*(AH103-AH102)</f>
        <v/>
      </c>
      <c r="AI237" s="21">
        <f>100*(AI103-AI102)</f>
        <v/>
      </c>
      <c r="AJ237" s="21">
        <f>100*(AJ103-AJ102)</f>
        <v/>
      </c>
      <c r="AK237" s="21">
        <f>100*(AK103-AK102)</f>
        <v/>
      </c>
      <c r="AL237" s="21">
        <f>AVERAGE(C237:AK237)</f>
        <v/>
      </c>
    </row>
    <row r="238">
      <c r="A238" s="19">
        <f>A104</f>
        <v/>
      </c>
      <c r="B238" s="20">
        <f>B104</f>
        <v/>
      </c>
      <c r="C238" s="21">
        <f>100*(C104-C103)</f>
        <v/>
      </c>
      <c r="D238" s="21">
        <f>100*(D104-D103)</f>
        <v/>
      </c>
      <c r="E238" s="21">
        <f>100*(E104-E103)</f>
        <v/>
      </c>
      <c r="F238" s="21">
        <f>100*(F104-F103)</f>
        <v/>
      </c>
      <c r="G238" s="21">
        <f>100*(G104-G103)</f>
        <v/>
      </c>
      <c r="H238" s="21">
        <f>100*(H104-H103)</f>
        <v/>
      </c>
      <c r="I238" s="21">
        <f>100*(I104-I103)</f>
        <v/>
      </c>
      <c r="J238" s="21">
        <f>100*(J104-J103)</f>
        <v/>
      </c>
      <c r="K238" s="21">
        <f>100*(K104-K103)</f>
        <v/>
      </c>
      <c r="L238" s="21">
        <f>100*(L104-L103)</f>
        <v/>
      </c>
      <c r="M238" s="21">
        <f>100*(M104-M103)</f>
        <v/>
      </c>
      <c r="N238" s="21">
        <f>100*(N104-N103)</f>
        <v/>
      </c>
      <c r="O238" s="21">
        <f>100*(O104-O103)</f>
        <v/>
      </c>
      <c r="P238" s="21">
        <f>100*(P104-P103)</f>
        <v/>
      </c>
      <c r="Q238" s="21">
        <f>100*(Q104-Q103)</f>
        <v/>
      </c>
      <c r="R238" s="21">
        <f>100*(R104-R103)</f>
        <v/>
      </c>
      <c r="S238" s="21">
        <f>100*(S104-S103)</f>
        <v/>
      </c>
      <c r="T238" s="21">
        <f>100*(T104-T103)</f>
        <v/>
      </c>
      <c r="U238" s="21">
        <f>100*(U104-U103)</f>
        <v/>
      </c>
      <c r="V238" s="21">
        <f>100*(V104-V103)</f>
        <v/>
      </c>
      <c r="W238" s="21">
        <f>100*(W104-W103)</f>
        <v/>
      </c>
      <c r="X238" s="21">
        <f>100*(X104-X103)</f>
        <v/>
      </c>
      <c r="Y238" s="21">
        <f>100*(Y104-Y103)</f>
        <v/>
      </c>
      <c r="Z238" s="21">
        <f>100*(Z104-Z103)</f>
        <v/>
      </c>
      <c r="AA238" s="21">
        <f>100*(AA104-AA103)</f>
        <v/>
      </c>
      <c r="AB238" s="21">
        <f>100*(AB104-AB103)</f>
        <v/>
      </c>
      <c r="AC238" s="21">
        <f>100*(AC104-AC103)</f>
        <v/>
      </c>
      <c r="AD238" s="21">
        <f>100*(AD104-AD103)</f>
        <v/>
      </c>
      <c r="AE238" s="21">
        <f>100*(AE104-AE103)</f>
        <v/>
      </c>
      <c r="AF238" s="21">
        <f>100*(AF104-AF103)</f>
        <v/>
      </c>
      <c r="AG238" s="21">
        <f>100*(AG104-AG103)</f>
        <v/>
      </c>
      <c r="AH238" s="21">
        <f>100*(AH104-AH103)</f>
        <v/>
      </c>
      <c r="AI238" s="21">
        <f>100*(AI104-AI103)</f>
        <v/>
      </c>
      <c r="AJ238" s="21">
        <f>100*(AJ104-AJ103)</f>
        <v/>
      </c>
      <c r="AK238" s="21">
        <f>100*(AK104-AK103)</f>
        <v/>
      </c>
      <c r="AL238" s="21">
        <f>AVERAGE(C238:AK238)</f>
        <v/>
      </c>
    </row>
    <row r="239">
      <c r="A239" s="19">
        <f>A105</f>
        <v/>
      </c>
      <c r="B239" s="20">
        <f>B105</f>
        <v/>
      </c>
      <c r="C239" s="21">
        <f>100*(C105-C104)</f>
        <v/>
      </c>
      <c r="D239" s="21">
        <f>100*(D105-D104)</f>
        <v/>
      </c>
      <c r="E239" s="21">
        <f>100*(E105-E104)</f>
        <v/>
      </c>
      <c r="F239" s="21">
        <f>100*(F105-F104)</f>
        <v/>
      </c>
      <c r="G239" s="21">
        <f>100*(G105-G104)</f>
        <v/>
      </c>
      <c r="H239" s="21">
        <f>100*(H105-H104)</f>
        <v/>
      </c>
      <c r="I239" s="21">
        <f>100*(I105-I104)</f>
        <v/>
      </c>
      <c r="J239" s="21">
        <f>100*(J105-J104)</f>
        <v/>
      </c>
      <c r="K239" s="21">
        <f>100*(K105-K104)</f>
        <v/>
      </c>
      <c r="L239" s="21">
        <f>100*(L105-L104)</f>
        <v/>
      </c>
      <c r="M239" s="21">
        <f>100*(M105-M104)</f>
        <v/>
      </c>
      <c r="N239" s="21">
        <f>100*(N105-N104)</f>
        <v/>
      </c>
      <c r="O239" s="21">
        <f>100*(O105-O104)</f>
        <v/>
      </c>
      <c r="P239" s="21">
        <f>100*(P105-P104)</f>
        <v/>
      </c>
      <c r="Q239" s="21">
        <f>100*(Q105-Q104)</f>
        <v/>
      </c>
      <c r="R239" s="21">
        <f>100*(R105-R104)</f>
        <v/>
      </c>
      <c r="S239" s="21">
        <f>100*(S105-S104)</f>
        <v/>
      </c>
      <c r="T239" s="21">
        <f>100*(T105-T104)</f>
        <v/>
      </c>
      <c r="U239" s="21">
        <f>100*(U105-U104)</f>
        <v/>
      </c>
      <c r="V239" s="21">
        <f>100*(V105-V104)</f>
        <v/>
      </c>
      <c r="W239" s="21">
        <f>100*(W105-W104)</f>
        <v/>
      </c>
      <c r="X239" s="21">
        <f>100*(X105-X104)</f>
        <v/>
      </c>
      <c r="Y239" s="21">
        <f>100*(Y105-Y104)</f>
        <v/>
      </c>
      <c r="Z239" s="21">
        <f>100*(Z105-Z104)</f>
        <v/>
      </c>
      <c r="AA239" s="21">
        <f>100*(AA105-AA104)</f>
        <v/>
      </c>
      <c r="AB239" s="21">
        <f>100*(AB105-AB104)</f>
        <v/>
      </c>
      <c r="AC239" s="21">
        <f>100*(AC105-AC104)</f>
        <v/>
      </c>
      <c r="AD239" s="21">
        <f>100*(AD105-AD104)</f>
        <v/>
      </c>
      <c r="AE239" s="21">
        <f>100*(AE105-AE104)</f>
        <v/>
      </c>
      <c r="AF239" s="21">
        <f>100*(AF105-AF104)</f>
        <v/>
      </c>
      <c r="AG239" s="21">
        <f>100*(AG105-AG104)</f>
        <v/>
      </c>
      <c r="AH239" s="21">
        <f>100*(AH105-AH104)</f>
        <v/>
      </c>
      <c r="AI239" s="21">
        <f>100*(AI105-AI104)</f>
        <v/>
      </c>
      <c r="AJ239" s="21">
        <f>100*(AJ105-AJ104)</f>
        <v/>
      </c>
      <c r="AK239" s="21">
        <f>100*(AK105-AK104)</f>
        <v/>
      </c>
      <c r="AL239" s="21">
        <f>AVERAGE(C239:AK239)</f>
        <v/>
      </c>
    </row>
    <row r="240">
      <c r="A240" s="19">
        <f>A106</f>
        <v/>
      </c>
      <c r="B240" s="20">
        <f>B106</f>
        <v/>
      </c>
      <c r="C240" s="21">
        <f>100*(C106-C105)</f>
        <v/>
      </c>
      <c r="D240" s="21">
        <f>100*(D106-D105)</f>
        <v/>
      </c>
      <c r="E240" s="21">
        <f>100*(E106-E105)</f>
        <v/>
      </c>
      <c r="F240" s="21">
        <f>100*(F106-F105)</f>
        <v/>
      </c>
      <c r="G240" s="21">
        <f>100*(G106-G105)</f>
        <v/>
      </c>
      <c r="H240" s="21">
        <f>100*(H106-H105)</f>
        <v/>
      </c>
      <c r="I240" s="21">
        <f>100*(I106-I105)</f>
        <v/>
      </c>
      <c r="J240" s="21">
        <f>100*(J106-J105)</f>
        <v/>
      </c>
      <c r="K240" s="21">
        <f>100*(K106-K105)</f>
        <v/>
      </c>
      <c r="L240" s="21">
        <f>100*(L106-L105)</f>
        <v/>
      </c>
      <c r="M240" s="21">
        <f>100*(M106-M105)</f>
        <v/>
      </c>
      <c r="N240" s="21">
        <f>100*(N106-N105)</f>
        <v/>
      </c>
      <c r="O240" s="21">
        <f>100*(O106-O105)</f>
        <v/>
      </c>
      <c r="P240" s="21">
        <f>100*(P106-P105)</f>
        <v/>
      </c>
      <c r="Q240" s="21">
        <f>100*(Q106-Q105)</f>
        <v/>
      </c>
      <c r="R240" s="21">
        <f>100*(R106-R105)</f>
        <v/>
      </c>
      <c r="S240" s="21">
        <f>100*(S106-S105)</f>
        <v/>
      </c>
      <c r="T240" s="21">
        <f>100*(T106-T105)</f>
        <v/>
      </c>
      <c r="U240" s="21">
        <f>100*(U106-U105)</f>
        <v/>
      </c>
      <c r="V240" s="21">
        <f>100*(V106-V105)</f>
        <v/>
      </c>
      <c r="W240" s="21">
        <f>100*(W106-W105)</f>
        <v/>
      </c>
      <c r="X240" s="21">
        <f>100*(X106-X105)</f>
        <v/>
      </c>
      <c r="Y240" s="21">
        <f>100*(Y106-Y105)</f>
        <v/>
      </c>
      <c r="Z240" s="21">
        <f>100*(Z106-Z105)</f>
        <v/>
      </c>
      <c r="AA240" s="21">
        <f>100*(AA106-AA105)</f>
        <v/>
      </c>
      <c r="AB240" s="21">
        <f>100*(AB106-AB105)</f>
        <v/>
      </c>
      <c r="AC240" s="21">
        <f>100*(AC106-AC105)</f>
        <v/>
      </c>
      <c r="AD240" s="21">
        <f>100*(AD106-AD105)</f>
        <v/>
      </c>
      <c r="AE240" s="21">
        <f>100*(AE106-AE105)</f>
        <v/>
      </c>
      <c r="AF240" s="21">
        <f>100*(AF106-AF105)</f>
        <v/>
      </c>
      <c r="AG240" s="21">
        <f>100*(AG106-AG105)</f>
        <v/>
      </c>
      <c r="AH240" s="21">
        <f>100*(AH106-AH105)</f>
        <v/>
      </c>
      <c r="AI240" s="21">
        <f>100*(AI106-AI105)</f>
        <v/>
      </c>
      <c r="AJ240" s="21">
        <f>100*(AJ106-AJ105)</f>
        <v/>
      </c>
      <c r="AK240" s="21">
        <f>100*(AK106-AK105)</f>
        <v/>
      </c>
      <c r="AL240" s="21">
        <f>AVERAGE(C240:AK240)</f>
        <v/>
      </c>
    </row>
    <row r="241">
      <c r="A241" s="19">
        <f>A107</f>
        <v/>
      </c>
      <c r="B241" s="20">
        <f>B107</f>
        <v/>
      </c>
      <c r="C241" s="21">
        <f>100*(C107-C106)</f>
        <v/>
      </c>
      <c r="D241" s="21">
        <f>100*(D107-D106)</f>
        <v/>
      </c>
      <c r="E241" s="21">
        <f>100*(E107-E106)</f>
        <v/>
      </c>
      <c r="F241" s="21">
        <f>100*(F107-F106)</f>
        <v/>
      </c>
      <c r="G241" s="21">
        <f>100*(G107-G106)</f>
        <v/>
      </c>
      <c r="H241" s="21">
        <f>100*(H107-H106)</f>
        <v/>
      </c>
      <c r="I241" s="21">
        <f>100*(I107-I106)</f>
        <v/>
      </c>
      <c r="J241" s="21">
        <f>100*(J107-J106)</f>
        <v/>
      </c>
      <c r="K241" s="21">
        <f>100*(K107-K106)</f>
        <v/>
      </c>
      <c r="L241" s="21">
        <f>100*(L107-L106)</f>
        <v/>
      </c>
      <c r="M241" s="21">
        <f>100*(M107-M106)</f>
        <v/>
      </c>
      <c r="N241" s="21">
        <f>100*(N107-N106)</f>
        <v/>
      </c>
      <c r="O241" s="21">
        <f>100*(O107-O106)</f>
        <v/>
      </c>
      <c r="P241" s="21">
        <f>100*(P107-P106)</f>
        <v/>
      </c>
      <c r="Q241" s="21">
        <f>100*(Q107-Q106)</f>
        <v/>
      </c>
      <c r="R241" s="21">
        <f>100*(R107-R106)</f>
        <v/>
      </c>
      <c r="S241" s="21">
        <f>100*(S107-S106)</f>
        <v/>
      </c>
      <c r="T241" s="21">
        <f>100*(T107-T106)</f>
        <v/>
      </c>
      <c r="U241" s="21">
        <f>100*(U107-U106)</f>
        <v/>
      </c>
      <c r="V241" s="21">
        <f>100*(V107-V106)</f>
        <v/>
      </c>
      <c r="W241" s="21">
        <f>100*(W107-W106)</f>
        <v/>
      </c>
      <c r="X241" s="21">
        <f>100*(X107-X106)</f>
        <v/>
      </c>
      <c r="Y241" s="21">
        <f>100*(Y107-Y106)</f>
        <v/>
      </c>
      <c r="Z241" s="21">
        <f>100*(Z107-Z106)</f>
        <v/>
      </c>
      <c r="AA241" s="21">
        <f>100*(AA107-AA106)</f>
        <v/>
      </c>
      <c r="AB241" s="21">
        <f>100*(AB107-AB106)</f>
        <v/>
      </c>
      <c r="AC241" s="21">
        <f>100*(AC107-AC106)</f>
        <v/>
      </c>
      <c r="AD241" s="21">
        <f>100*(AD107-AD106)</f>
        <v/>
      </c>
      <c r="AE241" s="21">
        <f>100*(AE107-AE106)</f>
        <v/>
      </c>
      <c r="AF241" s="21">
        <f>100*(AF107-AF106)</f>
        <v/>
      </c>
      <c r="AG241" s="21">
        <f>100*(AG107-AG106)</f>
        <v/>
      </c>
      <c r="AH241" s="21">
        <f>100*(AH107-AH106)</f>
        <v/>
      </c>
      <c r="AI241" s="21">
        <f>100*(AI107-AI106)</f>
        <v/>
      </c>
      <c r="AJ241" s="21">
        <f>100*(AJ107-AJ106)</f>
        <v/>
      </c>
      <c r="AK241" s="21">
        <f>100*(AK107-AK106)</f>
        <v/>
      </c>
      <c r="AL241" s="21">
        <f>AVERAGE(C241:AK241)</f>
        <v/>
      </c>
    </row>
    <row r="242">
      <c r="A242" s="19">
        <f>A108</f>
        <v/>
      </c>
      <c r="B242" s="20">
        <f>B108</f>
        <v/>
      </c>
      <c r="C242" s="21">
        <f>100*(C108-C107)</f>
        <v/>
      </c>
      <c r="D242" s="21">
        <f>100*(D108-D107)</f>
        <v/>
      </c>
      <c r="E242" s="21">
        <f>100*(E108-E107)</f>
        <v/>
      </c>
      <c r="F242" s="21">
        <f>100*(F108-F107)</f>
        <v/>
      </c>
      <c r="G242" s="21">
        <f>100*(G108-G107)</f>
        <v/>
      </c>
      <c r="H242" s="21">
        <f>100*(H108-H107)</f>
        <v/>
      </c>
      <c r="I242" s="21">
        <f>100*(I108-I107)</f>
        <v/>
      </c>
      <c r="J242" s="21">
        <f>100*(J108-J107)</f>
        <v/>
      </c>
      <c r="K242" s="21">
        <f>100*(K108-K107)</f>
        <v/>
      </c>
      <c r="L242" s="21">
        <f>100*(L108-L107)</f>
        <v/>
      </c>
      <c r="M242" s="21">
        <f>100*(M108-M107)</f>
        <v/>
      </c>
      <c r="N242" s="21">
        <f>100*(N108-N107)</f>
        <v/>
      </c>
      <c r="O242" s="21">
        <f>100*(O108-O107)</f>
        <v/>
      </c>
      <c r="P242" s="21">
        <f>100*(P108-P107)</f>
        <v/>
      </c>
      <c r="Q242" s="21">
        <f>100*(Q108-Q107)</f>
        <v/>
      </c>
      <c r="R242" s="21">
        <f>100*(R108-R107)</f>
        <v/>
      </c>
      <c r="S242" s="21">
        <f>100*(S108-S107)</f>
        <v/>
      </c>
      <c r="T242" s="21">
        <f>100*(T108-T107)</f>
        <v/>
      </c>
      <c r="U242" s="21">
        <f>100*(U108-U107)</f>
        <v/>
      </c>
      <c r="V242" s="21">
        <f>100*(V108-V107)</f>
        <v/>
      </c>
      <c r="W242" s="21">
        <f>100*(W108-W107)</f>
        <v/>
      </c>
      <c r="X242" s="21">
        <f>100*(X108-X107)</f>
        <v/>
      </c>
      <c r="Y242" s="21">
        <f>100*(Y108-Y107)</f>
        <v/>
      </c>
      <c r="Z242" s="21">
        <f>100*(Z108-Z107)</f>
        <v/>
      </c>
      <c r="AA242" s="21">
        <f>100*(AA108-AA107)</f>
        <v/>
      </c>
      <c r="AB242" s="21">
        <f>100*(AB108-AB107)</f>
        <v/>
      </c>
      <c r="AC242" s="21">
        <f>100*(AC108-AC107)</f>
        <v/>
      </c>
      <c r="AD242" s="21">
        <f>100*(AD108-AD107)</f>
        <v/>
      </c>
      <c r="AE242" s="21">
        <f>100*(AE108-AE107)</f>
        <v/>
      </c>
      <c r="AF242" s="21">
        <f>100*(AF108-AF107)</f>
        <v/>
      </c>
      <c r="AG242" s="21">
        <f>100*(AG108-AG107)</f>
        <v/>
      </c>
      <c r="AH242" s="21">
        <f>100*(AH108-AH107)</f>
        <v/>
      </c>
      <c r="AI242" s="21">
        <f>100*(AI108-AI107)</f>
        <v/>
      </c>
      <c r="AJ242" s="21">
        <f>100*(AJ108-AJ107)</f>
        <v/>
      </c>
      <c r="AK242" s="21">
        <f>100*(AK108-AK107)</f>
        <v/>
      </c>
      <c r="AL242" s="21">
        <f>AVERAGE(C242:AK242)</f>
        <v/>
      </c>
    </row>
    <row r="243">
      <c r="A243" s="19">
        <f>A109</f>
        <v/>
      </c>
      <c r="B243" s="20">
        <f>B109</f>
        <v/>
      </c>
      <c r="C243" s="21">
        <f>100*(C109-C108)</f>
        <v/>
      </c>
      <c r="D243" s="21">
        <f>100*(D109-D108)</f>
        <v/>
      </c>
      <c r="E243" s="21">
        <f>100*(E109-E108)</f>
        <v/>
      </c>
      <c r="F243" s="21">
        <f>100*(F109-F108)</f>
        <v/>
      </c>
      <c r="G243" s="21">
        <f>100*(G109-G108)</f>
        <v/>
      </c>
      <c r="H243" s="21">
        <f>100*(H109-H108)</f>
        <v/>
      </c>
      <c r="I243" s="21">
        <f>100*(I109-I108)</f>
        <v/>
      </c>
      <c r="J243" s="21">
        <f>100*(J109-J108)</f>
        <v/>
      </c>
      <c r="K243" s="21">
        <f>100*(K109-K108)</f>
        <v/>
      </c>
      <c r="L243" s="21">
        <f>100*(L109-L108)</f>
        <v/>
      </c>
      <c r="M243" s="21">
        <f>100*(M109-M108)</f>
        <v/>
      </c>
      <c r="N243" s="21">
        <f>100*(N109-N108)</f>
        <v/>
      </c>
      <c r="O243" s="21">
        <f>100*(O109-O108)</f>
        <v/>
      </c>
      <c r="P243" s="21">
        <f>100*(P109-P108)</f>
        <v/>
      </c>
      <c r="Q243" s="21">
        <f>100*(Q109-Q108)</f>
        <v/>
      </c>
      <c r="R243" s="21">
        <f>100*(R109-R108)</f>
        <v/>
      </c>
      <c r="S243" s="21">
        <f>100*(S109-S108)</f>
        <v/>
      </c>
      <c r="T243" s="21">
        <f>100*(T109-T108)</f>
        <v/>
      </c>
      <c r="U243" s="21">
        <f>100*(U109-U108)</f>
        <v/>
      </c>
      <c r="V243" s="21">
        <f>100*(V109-V108)</f>
        <v/>
      </c>
      <c r="W243" s="21">
        <f>100*(W109-W108)</f>
        <v/>
      </c>
      <c r="X243" s="21">
        <f>100*(X109-X108)</f>
        <v/>
      </c>
      <c r="Y243" s="21">
        <f>100*(Y109-Y108)</f>
        <v/>
      </c>
      <c r="Z243" s="21">
        <f>100*(Z109-Z108)</f>
        <v/>
      </c>
      <c r="AA243" s="21">
        <f>100*(AA109-AA108)</f>
        <v/>
      </c>
      <c r="AB243" s="21">
        <f>100*(AB109-AB108)</f>
        <v/>
      </c>
      <c r="AC243" s="21">
        <f>100*(AC109-AC108)</f>
        <v/>
      </c>
      <c r="AD243" s="21">
        <f>100*(AD109-AD108)</f>
        <v/>
      </c>
      <c r="AE243" s="21">
        <f>100*(AE109-AE108)</f>
        <v/>
      </c>
      <c r="AF243" s="21">
        <f>100*(AF109-AF108)</f>
        <v/>
      </c>
      <c r="AG243" s="21">
        <f>100*(AG109-AG108)</f>
        <v/>
      </c>
      <c r="AH243" s="21">
        <f>100*(AH109-AH108)</f>
        <v/>
      </c>
      <c r="AI243" s="21">
        <f>100*(AI109-AI108)</f>
        <v/>
      </c>
      <c r="AJ243" s="21">
        <f>100*(AJ109-AJ108)</f>
        <v/>
      </c>
      <c r="AK243" s="21">
        <f>100*(AK109-AK108)</f>
        <v/>
      </c>
      <c r="AL243" s="21">
        <f>AVERAGE(C243:AK243)</f>
        <v/>
      </c>
    </row>
    <row r="244">
      <c r="A244" s="19">
        <f>A110</f>
        <v/>
      </c>
      <c r="B244" s="20">
        <f>B110</f>
        <v/>
      </c>
      <c r="C244" s="21">
        <f>100*(C110-C109)</f>
        <v/>
      </c>
      <c r="D244" s="21">
        <f>100*(D110-D109)</f>
        <v/>
      </c>
      <c r="E244" s="21">
        <f>100*(E110-E109)</f>
        <v/>
      </c>
      <c r="F244" s="21">
        <f>100*(F110-F109)</f>
        <v/>
      </c>
      <c r="G244" s="21">
        <f>100*(G110-G109)</f>
        <v/>
      </c>
      <c r="H244" s="21">
        <f>100*(H110-H109)</f>
        <v/>
      </c>
      <c r="I244" s="21">
        <f>100*(I110-I109)</f>
        <v/>
      </c>
      <c r="J244" s="21">
        <f>100*(J110-J109)</f>
        <v/>
      </c>
      <c r="K244" s="21">
        <f>100*(K110-K109)</f>
        <v/>
      </c>
      <c r="L244" s="21">
        <f>100*(L110-L109)</f>
        <v/>
      </c>
      <c r="M244" s="21">
        <f>100*(M110-M109)</f>
        <v/>
      </c>
      <c r="N244" s="21">
        <f>100*(N110-N109)</f>
        <v/>
      </c>
      <c r="O244" s="21">
        <f>100*(O110-O109)</f>
        <v/>
      </c>
      <c r="P244" s="21">
        <f>100*(P110-P109)</f>
        <v/>
      </c>
      <c r="Q244" s="21">
        <f>100*(Q110-Q109)</f>
        <v/>
      </c>
      <c r="R244" s="21">
        <f>100*(R110-R109)</f>
        <v/>
      </c>
      <c r="S244" s="21">
        <f>100*(S110-S109)</f>
        <v/>
      </c>
      <c r="T244" s="21">
        <f>100*(T110-T109)</f>
        <v/>
      </c>
      <c r="U244" s="21">
        <f>100*(U110-U109)</f>
        <v/>
      </c>
      <c r="V244" s="21">
        <f>100*(V110-V109)</f>
        <v/>
      </c>
      <c r="W244" s="21">
        <f>100*(W110-W109)</f>
        <v/>
      </c>
      <c r="X244" s="21">
        <f>100*(X110-X109)</f>
        <v/>
      </c>
      <c r="Y244" s="21">
        <f>100*(Y110-Y109)</f>
        <v/>
      </c>
      <c r="Z244" s="21">
        <f>100*(Z110-Z109)</f>
        <v/>
      </c>
      <c r="AA244" s="21">
        <f>100*(AA110-AA109)</f>
        <v/>
      </c>
      <c r="AB244" s="21">
        <f>100*(AB110-AB109)</f>
        <v/>
      </c>
      <c r="AC244" s="21">
        <f>100*(AC110-AC109)</f>
        <v/>
      </c>
      <c r="AD244" s="21">
        <f>100*(AD110-AD109)</f>
        <v/>
      </c>
      <c r="AE244" s="21">
        <f>100*(AE110-AE109)</f>
        <v/>
      </c>
      <c r="AF244" s="21">
        <f>100*(AF110-AF109)</f>
        <v/>
      </c>
      <c r="AG244" s="21">
        <f>100*(AG110-AG109)</f>
        <v/>
      </c>
      <c r="AH244" s="21">
        <f>100*(AH110-AH109)</f>
        <v/>
      </c>
      <c r="AI244" s="21">
        <f>100*(AI110-AI109)</f>
        <v/>
      </c>
      <c r="AJ244" s="21">
        <f>100*(AJ110-AJ109)</f>
        <v/>
      </c>
      <c r="AK244" s="21">
        <f>100*(AK110-AK109)</f>
        <v/>
      </c>
      <c r="AL244" s="21">
        <f>AVERAGE(C244:AK244)</f>
        <v/>
      </c>
    </row>
    <row r="245">
      <c r="A245" s="19">
        <f>A111</f>
        <v/>
      </c>
      <c r="B245" s="20">
        <f>B111</f>
        <v/>
      </c>
      <c r="C245" s="21">
        <f>100*(C111-C110)</f>
        <v/>
      </c>
      <c r="D245" s="21">
        <f>100*(D111-D110)</f>
        <v/>
      </c>
      <c r="E245" s="21">
        <f>100*(E111-E110)</f>
        <v/>
      </c>
      <c r="F245" s="21">
        <f>100*(F111-F110)</f>
        <v/>
      </c>
      <c r="G245" s="21">
        <f>100*(G111-G110)</f>
        <v/>
      </c>
      <c r="H245" s="21">
        <f>100*(H111-H110)</f>
        <v/>
      </c>
      <c r="I245" s="21">
        <f>100*(I111-I110)</f>
        <v/>
      </c>
      <c r="J245" s="21">
        <f>100*(J111-J110)</f>
        <v/>
      </c>
      <c r="K245" s="21">
        <f>100*(K111-K110)</f>
        <v/>
      </c>
      <c r="L245" s="21">
        <f>100*(L111-L110)</f>
        <v/>
      </c>
      <c r="M245" s="21">
        <f>100*(M111-M110)</f>
        <v/>
      </c>
      <c r="N245" s="21">
        <f>100*(N111-N110)</f>
        <v/>
      </c>
      <c r="O245" s="21">
        <f>100*(O111-O110)</f>
        <v/>
      </c>
      <c r="P245" s="21">
        <f>100*(P111-P110)</f>
        <v/>
      </c>
      <c r="Q245" s="21">
        <f>100*(Q111-Q110)</f>
        <v/>
      </c>
      <c r="R245" s="21">
        <f>100*(R111-R110)</f>
        <v/>
      </c>
      <c r="S245" s="21">
        <f>100*(S111-S110)</f>
        <v/>
      </c>
      <c r="T245" s="21">
        <f>100*(T111-T110)</f>
        <v/>
      </c>
      <c r="U245" s="21">
        <f>100*(U111-U110)</f>
        <v/>
      </c>
      <c r="V245" s="21">
        <f>100*(V111-V110)</f>
        <v/>
      </c>
      <c r="W245" s="21">
        <f>100*(W111-W110)</f>
        <v/>
      </c>
      <c r="X245" s="21">
        <f>100*(X111-X110)</f>
        <v/>
      </c>
      <c r="Y245" s="21">
        <f>100*(Y111-Y110)</f>
        <v/>
      </c>
      <c r="Z245" s="21">
        <f>100*(Z111-Z110)</f>
        <v/>
      </c>
      <c r="AA245" s="21">
        <f>100*(AA111-AA110)</f>
        <v/>
      </c>
      <c r="AB245" s="21">
        <f>100*(AB111-AB110)</f>
        <v/>
      </c>
      <c r="AC245" s="21">
        <f>100*(AC111-AC110)</f>
        <v/>
      </c>
      <c r="AD245" s="21">
        <f>100*(AD111-AD110)</f>
        <v/>
      </c>
      <c r="AE245" s="21">
        <f>100*(AE111-AE110)</f>
        <v/>
      </c>
      <c r="AF245" s="21">
        <f>100*(AF111-AF110)</f>
        <v/>
      </c>
      <c r="AG245" s="21">
        <f>100*(AG111-AG110)</f>
        <v/>
      </c>
      <c r="AH245" s="21">
        <f>100*(AH111-AH110)</f>
        <v/>
      </c>
      <c r="AI245" s="21">
        <f>100*(AI111-AI110)</f>
        <v/>
      </c>
      <c r="AJ245" s="21">
        <f>100*(AJ111-AJ110)</f>
        <v/>
      </c>
      <c r="AK245" s="21">
        <f>100*(AK111-AK110)</f>
        <v/>
      </c>
      <c r="AL245" s="21">
        <f>AVERAGE(C245:AK245)</f>
        <v/>
      </c>
    </row>
    <row r="246">
      <c r="A246" s="19">
        <f>A112</f>
        <v/>
      </c>
      <c r="B246" s="20">
        <f>B112</f>
        <v/>
      </c>
      <c r="C246" s="21">
        <f>100*(C112-C111)</f>
        <v/>
      </c>
      <c r="D246" s="21">
        <f>100*(D112-D111)</f>
        <v/>
      </c>
      <c r="E246" s="21">
        <f>100*(E112-E111)</f>
        <v/>
      </c>
      <c r="F246" s="21">
        <f>100*(F112-F111)</f>
        <v/>
      </c>
      <c r="G246" s="21">
        <f>100*(G112-G111)</f>
        <v/>
      </c>
      <c r="H246" s="21">
        <f>100*(H112-H111)</f>
        <v/>
      </c>
      <c r="I246" s="21">
        <f>100*(I112-I111)</f>
        <v/>
      </c>
      <c r="J246" s="21">
        <f>100*(J112-J111)</f>
        <v/>
      </c>
      <c r="K246" s="21">
        <f>100*(K112-K111)</f>
        <v/>
      </c>
      <c r="L246" s="21">
        <f>100*(L112-L111)</f>
        <v/>
      </c>
      <c r="M246" s="21">
        <f>100*(M112-M111)</f>
        <v/>
      </c>
      <c r="N246" s="21">
        <f>100*(N112-N111)</f>
        <v/>
      </c>
      <c r="O246" s="21">
        <f>100*(O112-O111)</f>
        <v/>
      </c>
      <c r="P246" s="21">
        <f>100*(P112-P111)</f>
        <v/>
      </c>
      <c r="Q246" s="21">
        <f>100*(Q112-Q111)</f>
        <v/>
      </c>
      <c r="R246" s="21">
        <f>100*(R112-R111)</f>
        <v/>
      </c>
      <c r="S246" s="21">
        <f>100*(S112-S111)</f>
        <v/>
      </c>
      <c r="T246" s="21">
        <f>100*(T112-T111)</f>
        <v/>
      </c>
      <c r="U246" s="21">
        <f>100*(U112-U111)</f>
        <v/>
      </c>
      <c r="V246" s="21">
        <f>100*(V112-V111)</f>
        <v/>
      </c>
      <c r="W246" s="21">
        <f>100*(W112-W111)</f>
        <v/>
      </c>
      <c r="X246" s="21">
        <f>100*(X112-X111)</f>
        <v/>
      </c>
      <c r="Y246" s="21">
        <f>100*(Y112-Y111)</f>
        <v/>
      </c>
      <c r="Z246" s="21">
        <f>100*(Z112-Z111)</f>
        <v/>
      </c>
      <c r="AA246" s="21">
        <f>100*(AA112-AA111)</f>
        <v/>
      </c>
      <c r="AB246" s="21">
        <f>100*(AB112-AB111)</f>
        <v/>
      </c>
      <c r="AC246" s="21">
        <f>100*(AC112-AC111)</f>
        <v/>
      </c>
      <c r="AD246" s="21">
        <f>100*(AD112-AD111)</f>
        <v/>
      </c>
      <c r="AE246" s="21">
        <f>100*(AE112-AE111)</f>
        <v/>
      </c>
      <c r="AF246" s="21">
        <f>100*(AF112-AF111)</f>
        <v/>
      </c>
      <c r="AG246" s="21">
        <f>100*(AG112-AG111)</f>
        <v/>
      </c>
      <c r="AH246" s="21">
        <f>100*(AH112-AH111)</f>
        <v/>
      </c>
      <c r="AI246" s="21">
        <f>100*(AI112-AI111)</f>
        <v/>
      </c>
      <c r="AJ246" s="21">
        <f>100*(AJ112-AJ111)</f>
        <v/>
      </c>
      <c r="AK246" s="21">
        <f>100*(AK112-AK111)</f>
        <v/>
      </c>
      <c r="AL246" s="21">
        <f>AVERAGE(C246:AK246)</f>
        <v/>
      </c>
    </row>
    <row r="247">
      <c r="A247" s="19">
        <f>A113</f>
        <v/>
      </c>
      <c r="B247" s="20">
        <f>B113</f>
        <v/>
      </c>
      <c r="C247" s="21">
        <f>100*(C113-C112)</f>
        <v/>
      </c>
      <c r="D247" s="21">
        <f>100*(D113-D112)</f>
        <v/>
      </c>
      <c r="E247" s="21">
        <f>100*(E113-E112)</f>
        <v/>
      </c>
      <c r="F247" s="21">
        <f>100*(F113-F112)</f>
        <v/>
      </c>
      <c r="G247" s="21">
        <f>100*(G113-G112)</f>
        <v/>
      </c>
      <c r="H247" s="21">
        <f>100*(H113-H112)</f>
        <v/>
      </c>
      <c r="I247" s="21">
        <f>100*(I113-I112)</f>
        <v/>
      </c>
      <c r="J247" s="21">
        <f>100*(J113-J112)</f>
        <v/>
      </c>
      <c r="K247" s="21">
        <f>100*(K113-K112)</f>
        <v/>
      </c>
      <c r="L247" s="21">
        <f>100*(L113-L112)</f>
        <v/>
      </c>
      <c r="M247" s="21">
        <f>100*(M113-M112)</f>
        <v/>
      </c>
      <c r="N247" s="21">
        <f>100*(N113-N112)</f>
        <v/>
      </c>
      <c r="O247" s="21">
        <f>100*(O113-O112)</f>
        <v/>
      </c>
      <c r="P247" s="21">
        <f>100*(P113-P112)</f>
        <v/>
      </c>
      <c r="Q247" s="21">
        <f>100*(Q113-Q112)</f>
        <v/>
      </c>
      <c r="R247" s="21">
        <f>100*(R113-R112)</f>
        <v/>
      </c>
      <c r="S247" s="21">
        <f>100*(S113-S112)</f>
        <v/>
      </c>
      <c r="T247" s="21">
        <f>100*(T113-T112)</f>
        <v/>
      </c>
      <c r="U247" s="21">
        <f>100*(U113-U112)</f>
        <v/>
      </c>
      <c r="V247" s="21">
        <f>100*(V113-V112)</f>
        <v/>
      </c>
      <c r="W247" s="21">
        <f>100*(W113-W112)</f>
        <v/>
      </c>
      <c r="X247" s="21">
        <f>100*(X113-X112)</f>
        <v/>
      </c>
      <c r="Y247" s="21">
        <f>100*(Y113-Y112)</f>
        <v/>
      </c>
      <c r="Z247" s="21">
        <f>100*(Z113-Z112)</f>
        <v/>
      </c>
      <c r="AA247" s="21">
        <f>100*(AA113-AA112)</f>
        <v/>
      </c>
      <c r="AB247" s="21">
        <f>100*(AB113-AB112)</f>
        <v/>
      </c>
      <c r="AC247" s="21">
        <f>100*(AC113-AC112)</f>
        <v/>
      </c>
      <c r="AD247" s="21">
        <f>100*(AD113-AD112)</f>
        <v/>
      </c>
      <c r="AE247" s="21">
        <f>100*(AE113-AE112)</f>
        <v/>
      </c>
      <c r="AF247" s="21">
        <f>100*(AF113-AF112)</f>
        <v/>
      </c>
      <c r="AG247" s="21">
        <f>100*(AG113-AG112)</f>
        <v/>
      </c>
      <c r="AH247" s="21">
        <f>100*(AH113-AH112)</f>
        <v/>
      </c>
      <c r="AI247" s="21">
        <f>100*(AI113-AI112)</f>
        <v/>
      </c>
      <c r="AJ247" s="21">
        <f>100*(AJ113-AJ112)</f>
        <v/>
      </c>
      <c r="AK247" s="21">
        <f>100*(AK113-AK112)</f>
        <v/>
      </c>
      <c r="AL247" s="21">
        <f>AVERAGE(C247:AK247)</f>
        <v/>
      </c>
    </row>
    <row r="248">
      <c r="A248" s="19">
        <f>A114</f>
        <v/>
      </c>
      <c r="B248" s="20">
        <f>B114</f>
        <v/>
      </c>
      <c r="C248" s="21">
        <f>100*(C114-C113)</f>
        <v/>
      </c>
      <c r="D248" s="21">
        <f>100*(D114-D113)</f>
        <v/>
      </c>
      <c r="E248" s="21">
        <f>100*(E114-E113)</f>
        <v/>
      </c>
      <c r="F248" s="21">
        <f>100*(F114-F113)</f>
        <v/>
      </c>
      <c r="G248" s="21">
        <f>100*(G114-G113)</f>
        <v/>
      </c>
      <c r="H248" s="21">
        <f>100*(H114-H113)</f>
        <v/>
      </c>
      <c r="I248" s="21">
        <f>100*(I114-I113)</f>
        <v/>
      </c>
      <c r="J248" s="21">
        <f>100*(J114-J113)</f>
        <v/>
      </c>
      <c r="K248" s="21">
        <f>100*(K114-K113)</f>
        <v/>
      </c>
      <c r="L248" s="21">
        <f>100*(L114-L113)</f>
        <v/>
      </c>
      <c r="M248" s="21">
        <f>100*(M114-M113)</f>
        <v/>
      </c>
      <c r="N248" s="21">
        <f>100*(N114-N113)</f>
        <v/>
      </c>
      <c r="O248" s="21">
        <f>100*(O114-O113)</f>
        <v/>
      </c>
      <c r="P248" s="21">
        <f>100*(P114-P113)</f>
        <v/>
      </c>
      <c r="Q248" s="21">
        <f>100*(Q114-Q113)</f>
        <v/>
      </c>
      <c r="R248" s="21">
        <f>100*(R114-R113)</f>
        <v/>
      </c>
      <c r="S248" s="21">
        <f>100*(S114-S113)</f>
        <v/>
      </c>
      <c r="T248" s="21">
        <f>100*(T114-T113)</f>
        <v/>
      </c>
      <c r="U248" s="21">
        <f>100*(U114-U113)</f>
        <v/>
      </c>
      <c r="V248" s="21">
        <f>100*(V114-V113)</f>
        <v/>
      </c>
      <c r="W248" s="21">
        <f>100*(W114-W113)</f>
        <v/>
      </c>
      <c r="X248" s="21">
        <f>100*(X114-X113)</f>
        <v/>
      </c>
      <c r="Y248" s="21">
        <f>100*(Y114-Y113)</f>
        <v/>
      </c>
      <c r="Z248" s="21">
        <f>100*(Z114-Z113)</f>
        <v/>
      </c>
      <c r="AA248" s="21">
        <f>100*(AA114-AA113)</f>
        <v/>
      </c>
      <c r="AB248" s="21">
        <f>100*(AB114-AB113)</f>
        <v/>
      </c>
      <c r="AC248" s="21">
        <f>100*(AC114-AC113)</f>
        <v/>
      </c>
      <c r="AD248" s="21">
        <f>100*(AD114-AD113)</f>
        <v/>
      </c>
      <c r="AE248" s="21">
        <f>100*(AE114-AE113)</f>
        <v/>
      </c>
      <c r="AF248" s="21">
        <f>100*(AF114-AF113)</f>
        <v/>
      </c>
      <c r="AG248" s="21">
        <f>100*(AG114-AG113)</f>
        <v/>
      </c>
      <c r="AH248" s="21">
        <f>100*(AH114-AH113)</f>
        <v/>
      </c>
      <c r="AI248" s="21">
        <f>100*(AI114-AI113)</f>
        <v/>
      </c>
      <c r="AJ248" s="21">
        <f>100*(AJ114-AJ113)</f>
        <v/>
      </c>
      <c r="AK248" s="21">
        <f>100*(AK114-AK113)</f>
        <v/>
      </c>
      <c r="AL248" s="21">
        <f>AVERAGE(C248:AK248)</f>
        <v/>
      </c>
    </row>
    <row r="249">
      <c r="A249" s="19">
        <f>A115</f>
        <v/>
      </c>
      <c r="B249" s="20">
        <f>B115</f>
        <v/>
      </c>
      <c r="C249" s="21">
        <f>100*(C115-C114)</f>
        <v/>
      </c>
      <c r="D249" s="21">
        <f>100*(D115-D114)</f>
        <v/>
      </c>
      <c r="E249" s="21">
        <f>100*(E115-E114)</f>
        <v/>
      </c>
      <c r="F249" s="21">
        <f>100*(F115-F114)</f>
        <v/>
      </c>
      <c r="G249" s="21">
        <f>100*(G115-G114)</f>
        <v/>
      </c>
      <c r="H249" s="21">
        <f>100*(H115-H114)</f>
        <v/>
      </c>
      <c r="I249" s="21">
        <f>100*(I115-I114)</f>
        <v/>
      </c>
      <c r="J249" s="21">
        <f>100*(J115-J114)</f>
        <v/>
      </c>
      <c r="K249" s="21">
        <f>100*(K115-K114)</f>
        <v/>
      </c>
      <c r="L249" s="21">
        <f>100*(L115-L114)</f>
        <v/>
      </c>
      <c r="M249" s="21">
        <f>100*(M115-M114)</f>
        <v/>
      </c>
      <c r="N249" s="21">
        <f>100*(N115-N114)</f>
        <v/>
      </c>
      <c r="O249" s="21">
        <f>100*(O115-O114)</f>
        <v/>
      </c>
      <c r="P249" s="21">
        <f>100*(P115-P114)</f>
        <v/>
      </c>
      <c r="Q249" s="21">
        <f>100*(Q115-Q114)</f>
        <v/>
      </c>
      <c r="R249" s="21">
        <f>100*(R115-R114)</f>
        <v/>
      </c>
      <c r="S249" s="21">
        <f>100*(S115-S114)</f>
        <v/>
      </c>
      <c r="T249" s="21">
        <f>100*(T115-T114)</f>
        <v/>
      </c>
      <c r="U249" s="21">
        <f>100*(U115-U114)</f>
        <v/>
      </c>
      <c r="V249" s="21">
        <f>100*(V115-V114)</f>
        <v/>
      </c>
      <c r="W249" s="21">
        <f>100*(W115-W114)</f>
        <v/>
      </c>
      <c r="X249" s="21">
        <f>100*(X115-X114)</f>
        <v/>
      </c>
      <c r="Y249" s="21">
        <f>100*(Y115-Y114)</f>
        <v/>
      </c>
      <c r="Z249" s="21">
        <f>100*(Z115-Z114)</f>
        <v/>
      </c>
      <c r="AA249" s="21">
        <f>100*(AA115-AA114)</f>
        <v/>
      </c>
      <c r="AB249" s="21">
        <f>100*(AB115-AB114)</f>
        <v/>
      </c>
      <c r="AC249" s="21">
        <f>100*(AC115-AC114)</f>
        <v/>
      </c>
      <c r="AD249" s="21">
        <f>100*(AD115-AD114)</f>
        <v/>
      </c>
      <c r="AE249" s="21">
        <f>100*(AE115-AE114)</f>
        <v/>
      </c>
      <c r="AF249" s="21">
        <f>100*(AF115-AF114)</f>
        <v/>
      </c>
      <c r="AG249" s="21">
        <f>100*(AG115-AG114)</f>
        <v/>
      </c>
      <c r="AH249" s="21">
        <f>100*(AH115-AH114)</f>
        <v/>
      </c>
      <c r="AI249" s="21">
        <f>100*(AI115-AI114)</f>
        <v/>
      </c>
      <c r="AJ249" s="21">
        <f>100*(AJ115-AJ114)</f>
        <v/>
      </c>
      <c r="AK249" s="21">
        <f>100*(AK115-AK114)</f>
        <v/>
      </c>
      <c r="AL249" s="21">
        <f>AVERAGE(C249:AK249)</f>
        <v/>
      </c>
    </row>
    <row r="250">
      <c r="A250" s="19">
        <f>A116</f>
        <v/>
      </c>
      <c r="B250" s="20">
        <f>B116</f>
        <v/>
      </c>
      <c r="C250" s="21">
        <f>100*(C116-C115)</f>
        <v/>
      </c>
      <c r="D250" s="21">
        <f>100*(D116-D115)</f>
        <v/>
      </c>
      <c r="E250" s="21">
        <f>100*(E116-E115)</f>
        <v/>
      </c>
      <c r="F250" s="21">
        <f>100*(F116-F115)</f>
        <v/>
      </c>
      <c r="G250" s="21">
        <f>100*(G116-G115)</f>
        <v/>
      </c>
      <c r="H250" s="21">
        <f>100*(H116-H115)</f>
        <v/>
      </c>
      <c r="I250" s="21">
        <f>100*(I116-I115)</f>
        <v/>
      </c>
      <c r="J250" s="21">
        <f>100*(J116-J115)</f>
        <v/>
      </c>
      <c r="K250" s="21">
        <f>100*(K116-K115)</f>
        <v/>
      </c>
      <c r="L250" s="21">
        <f>100*(L116-L115)</f>
        <v/>
      </c>
      <c r="M250" s="21">
        <f>100*(M116-M115)</f>
        <v/>
      </c>
      <c r="N250" s="21">
        <f>100*(N116-N115)</f>
        <v/>
      </c>
      <c r="O250" s="21">
        <f>100*(O116-O115)</f>
        <v/>
      </c>
      <c r="P250" s="21">
        <f>100*(P116-P115)</f>
        <v/>
      </c>
      <c r="Q250" s="21">
        <f>100*(Q116-Q115)</f>
        <v/>
      </c>
      <c r="R250" s="21">
        <f>100*(R116-R115)</f>
        <v/>
      </c>
      <c r="S250" s="21">
        <f>100*(S116-S115)</f>
        <v/>
      </c>
      <c r="T250" s="21">
        <f>100*(T116-T115)</f>
        <v/>
      </c>
      <c r="U250" s="21">
        <f>100*(U116-U115)</f>
        <v/>
      </c>
      <c r="V250" s="21">
        <f>100*(V116-V115)</f>
        <v/>
      </c>
      <c r="W250" s="21">
        <f>100*(W116-W115)</f>
        <v/>
      </c>
      <c r="X250" s="21">
        <f>100*(X116-X115)</f>
        <v/>
      </c>
      <c r="Y250" s="21">
        <f>100*(Y116-Y115)</f>
        <v/>
      </c>
      <c r="Z250" s="21">
        <f>100*(Z116-Z115)</f>
        <v/>
      </c>
      <c r="AA250" s="21">
        <f>100*(AA116-AA115)</f>
        <v/>
      </c>
      <c r="AB250" s="21">
        <f>100*(AB116-AB115)</f>
        <v/>
      </c>
      <c r="AC250" s="21">
        <f>100*(AC116-AC115)</f>
        <v/>
      </c>
      <c r="AD250" s="21">
        <f>100*(AD116-AD115)</f>
        <v/>
      </c>
      <c r="AE250" s="21">
        <f>100*(AE116-AE115)</f>
        <v/>
      </c>
      <c r="AF250" s="21">
        <f>100*(AF116-AF115)</f>
        <v/>
      </c>
      <c r="AG250" s="21">
        <f>100*(AG116-AG115)</f>
        <v/>
      </c>
      <c r="AH250" s="21">
        <f>100*(AH116-AH115)</f>
        <v/>
      </c>
      <c r="AI250" s="21">
        <f>100*(AI116-AI115)</f>
        <v/>
      </c>
      <c r="AJ250" s="21">
        <f>100*(AJ116-AJ115)</f>
        <v/>
      </c>
      <c r="AK250" s="21">
        <f>100*(AK116-AK115)</f>
        <v/>
      </c>
      <c r="AL250" s="21">
        <f>AVERAGE(C250:AK250)</f>
        <v/>
      </c>
    </row>
    <row r="251">
      <c r="A251" s="19">
        <f>A117</f>
        <v/>
      </c>
      <c r="B251" s="20">
        <f>B117</f>
        <v/>
      </c>
      <c r="C251" s="21">
        <f>100*(C117-C116)</f>
        <v/>
      </c>
      <c r="D251" s="21">
        <f>100*(D117-D116)</f>
        <v/>
      </c>
      <c r="E251" s="21">
        <f>100*(E117-E116)</f>
        <v/>
      </c>
      <c r="F251" s="21">
        <f>100*(F117-F116)</f>
        <v/>
      </c>
      <c r="G251" s="21">
        <f>100*(G117-G116)</f>
        <v/>
      </c>
      <c r="H251" s="21">
        <f>100*(H117-H116)</f>
        <v/>
      </c>
      <c r="I251" s="21">
        <f>100*(I117-I116)</f>
        <v/>
      </c>
      <c r="J251" s="21">
        <f>100*(J117-J116)</f>
        <v/>
      </c>
      <c r="K251" s="21">
        <f>100*(K117-K116)</f>
        <v/>
      </c>
      <c r="L251" s="21">
        <f>100*(L117-L116)</f>
        <v/>
      </c>
      <c r="M251" s="21">
        <f>100*(M117-M116)</f>
        <v/>
      </c>
      <c r="N251" s="21">
        <f>100*(N117-N116)</f>
        <v/>
      </c>
      <c r="O251" s="21">
        <f>100*(O117-O116)</f>
        <v/>
      </c>
      <c r="P251" s="21">
        <f>100*(P117-P116)</f>
        <v/>
      </c>
      <c r="Q251" s="21">
        <f>100*(Q117-Q116)</f>
        <v/>
      </c>
      <c r="R251" s="21">
        <f>100*(R117-R116)</f>
        <v/>
      </c>
      <c r="S251" s="21">
        <f>100*(S117-S116)</f>
        <v/>
      </c>
      <c r="T251" s="21">
        <f>100*(T117-T116)</f>
        <v/>
      </c>
      <c r="U251" s="21">
        <f>100*(U117-U116)</f>
        <v/>
      </c>
      <c r="V251" s="21">
        <f>100*(V117-V116)</f>
        <v/>
      </c>
      <c r="W251" s="21">
        <f>100*(W117-W116)</f>
        <v/>
      </c>
      <c r="X251" s="21">
        <f>100*(X117-X116)</f>
        <v/>
      </c>
      <c r="Y251" s="21">
        <f>100*(Y117-Y116)</f>
        <v/>
      </c>
      <c r="Z251" s="21">
        <f>100*(Z117-Z116)</f>
        <v/>
      </c>
      <c r="AA251" s="21">
        <f>100*(AA117-AA116)</f>
        <v/>
      </c>
      <c r="AB251" s="21">
        <f>100*(AB117-AB116)</f>
        <v/>
      </c>
      <c r="AC251" s="21">
        <f>100*(AC117-AC116)</f>
        <v/>
      </c>
      <c r="AD251" s="21">
        <f>100*(AD117-AD116)</f>
        <v/>
      </c>
      <c r="AE251" s="21">
        <f>100*(AE117-AE116)</f>
        <v/>
      </c>
      <c r="AF251" s="21">
        <f>100*(AF117-AF116)</f>
        <v/>
      </c>
      <c r="AG251" s="21">
        <f>100*(AG117-AG116)</f>
        <v/>
      </c>
      <c r="AH251" s="21">
        <f>100*(AH117-AH116)</f>
        <v/>
      </c>
      <c r="AI251" s="21">
        <f>100*(AI117-AI116)</f>
        <v/>
      </c>
      <c r="AJ251" s="21">
        <f>100*(AJ117-AJ116)</f>
        <v/>
      </c>
      <c r="AK251" s="21">
        <f>100*(AK117-AK116)</f>
        <v/>
      </c>
      <c r="AL251" s="21">
        <f>AVERAGE(C251:AK251)</f>
        <v/>
      </c>
    </row>
    <row r="252">
      <c r="A252" s="19">
        <f>A118</f>
        <v/>
      </c>
      <c r="B252" s="20">
        <f>B118</f>
        <v/>
      </c>
      <c r="C252" s="21">
        <f>100*(C118-C117)</f>
        <v/>
      </c>
      <c r="D252" s="21">
        <f>100*(D118-D117)</f>
        <v/>
      </c>
      <c r="E252" s="21">
        <f>100*(E118-E117)</f>
        <v/>
      </c>
      <c r="F252" s="21">
        <f>100*(F118-F117)</f>
        <v/>
      </c>
      <c r="G252" s="21">
        <f>100*(G118-G117)</f>
        <v/>
      </c>
      <c r="H252" s="21">
        <f>100*(H118-H117)</f>
        <v/>
      </c>
      <c r="I252" s="21">
        <f>100*(I118-I117)</f>
        <v/>
      </c>
      <c r="J252" s="21">
        <f>100*(J118-J117)</f>
        <v/>
      </c>
      <c r="K252" s="21">
        <f>100*(K118-K117)</f>
        <v/>
      </c>
      <c r="L252" s="21">
        <f>100*(L118-L117)</f>
        <v/>
      </c>
      <c r="M252" s="21">
        <f>100*(M118-M117)</f>
        <v/>
      </c>
      <c r="N252" s="21">
        <f>100*(N118-N117)</f>
        <v/>
      </c>
      <c r="O252" s="21">
        <f>100*(O118-O117)</f>
        <v/>
      </c>
      <c r="P252" s="21">
        <f>100*(P118-P117)</f>
        <v/>
      </c>
      <c r="Q252" s="21">
        <f>100*(Q118-Q117)</f>
        <v/>
      </c>
      <c r="R252" s="21">
        <f>100*(R118-R117)</f>
        <v/>
      </c>
      <c r="S252" s="21">
        <f>100*(S118-S117)</f>
        <v/>
      </c>
      <c r="T252" s="21">
        <f>100*(T118-T117)</f>
        <v/>
      </c>
      <c r="U252" s="21">
        <f>100*(U118-U117)</f>
        <v/>
      </c>
      <c r="V252" s="21">
        <f>100*(V118-V117)</f>
        <v/>
      </c>
      <c r="W252" s="21">
        <f>100*(W118-W117)</f>
        <v/>
      </c>
      <c r="X252" s="21">
        <f>100*(X118-X117)</f>
        <v/>
      </c>
      <c r="Y252" s="21">
        <f>100*(Y118-Y117)</f>
        <v/>
      </c>
      <c r="Z252" s="21">
        <f>100*(Z118-Z117)</f>
        <v/>
      </c>
      <c r="AA252" s="21">
        <f>100*(AA118-AA117)</f>
        <v/>
      </c>
      <c r="AB252" s="21">
        <f>100*(AB118-AB117)</f>
        <v/>
      </c>
      <c r="AC252" s="21">
        <f>100*(AC118-AC117)</f>
        <v/>
      </c>
      <c r="AD252" s="21">
        <f>100*(AD118-AD117)</f>
        <v/>
      </c>
      <c r="AE252" s="21">
        <f>100*(AE118-AE117)</f>
        <v/>
      </c>
      <c r="AF252" s="21">
        <f>100*(AF118-AF117)</f>
        <v/>
      </c>
      <c r="AG252" s="21">
        <f>100*(AG118-AG117)</f>
        <v/>
      </c>
      <c r="AH252" s="21">
        <f>100*(AH118-AH117)</f>
        <v/>
      </c>
      <c r="AI252" s="21">
        <f>100*(AI118-AI117)</f>
        <v/>
      </c>
      <c r="AJ252" s="21">
        <f>100*(AJ118-AJ117)</f>
        <v/>
      </c>
      <c r="AK252" s="21">
        <f>100*(AK118-AK117)</f>
        <v/>
      </c>
      <c r="AL252" s="21">
        <f>AVERAGE(C252:AK252)</f>
        <v/>
      </c>
    </row>
    <row r="253">
      <c r="A253" s="19">
        <f>A119</f>
        <v/>
      </c>
      <c r="B253" s="20">
        <f>B119</f>
        <v/>
      </c>
      <c r="C253" s="21">
        <f>100*(C119-C118)</f>
        <v/>
      </c>
      <c r="D253" s="21">
        <f>100*(D119-D118)</f>
        <v/>
      </c>
      <c r="E253" s="21">
        <f>100*(E119-E118)</f>
        <v/>
      </c>
      <c r="F253" s="21">
        <f>100*(F119-F118)</f>
        <v/>
      </c>
      <c r="G253" s="21">
        <f>100*(G119-G118)</f>
        <v/>
      </c>
      <c r="H253" s="21">
        <f>100*(H119-H118)</f>
        <v/>
      </c>
      <c r="I253" s="21">
        <f>100*(I119-I118)</f>
        <v/>
      </c>
      <c r="J253" s="21">
        <f>100*(J119-J118)</f>
        <v/>
      </c>
      <c r="K253" s="21">
        <f>100*(K119-K118)</f>
        <v/>
      </c>
      <c r="L253" s="21">
        <f>100*(L119-L118)</f>
        <v/>
      </c>
      <c r="M253" s="21">
        <f>100*(M119-M118)</f>
        <v/>
      </c>
      <c r="N253" s="21">
        <f>100*(N119-N118)</f>
        <v/>
      </c>
      <c r="O253" s="21">
        <f>100*(O119-O118)</f>
        <v/>
      </c>
      <c r="P253" s="21">
        <f>100*(P119-P118)</f>
        <v/>
      </c>
      <c r="Q253" s="21">
        <f>100*(Q119-Q118)</f>
        <v/>
      </c>
      <c r="R253" s="21">
        <f>100*(R119-R118)</f>
        <v/>
      </c>
      <c r="S253" s="21">
        <f>100*(S119-S118)</f>
        <v/>
      </c>
      <c r="T253" s="21">
        <f>100*(T119-T118)</f>
        <v/>
      </c>
      <c r="U253" s="21">
        <f>100*(U119-U118)</f>
        <v/>
      </c>
      <c r="V253" s="21">
        <f>100*(V119-V118)</f>
        <v/>
      </c>
      <c r="W253" s="21">
        <f>100*(W119-W118)</f>
        <v/>
      </c>
      <c r="X253" s="21">
        <f>100*(X119-X118)</f>
        <v/>
      </c>
      <c r="Y253" s="21">
        <f>100*(Y119-Y118)</f>
        <v/>
      </c>
      <c r="Z253" s="21">
        <f>100*(Z119-Z118)</f>
        <v/>
      </c>
      <c r="AA253" s="21">
        <f>100*(AA119-AA118)</f>
        <v/>
      </c>
      <c r="AB253" s="21">
        <f>100*(AB119-AB118)</f>
        <v/>
      </c>
      <c r="AC253" s="21">
        <f>100*(AC119-AC118)</f>
        <v/>
      </c>
      <c r="AD253" s="21">
        <f>100*(AD119-AD118)</f>
        <v/>
      </c>
      <c r="AE253" s="21">
        <f>100*(AE119-AE118)</f>
        <v/>
      </c>
      <c r="AF253" s="21">
        <f>100*(AF119-AF118)</f>
        <v/>
      </c>
      <c r="AG253" s="21">
        <f>100*(AG119-AG118)</f>
        <v/>
      </c>
      <c r="AH253" s="21">
        <f>100*(AH119-AH118)</f>
        <v/>
      </c>
      <c r="AI253" s="21">
        <f>100*(AI119-AI118)</f>
        <v/>
      </c>
      <c r="AJ253" s="21">
        <f>100*(AJ119-AJ118)</f>
        <v/>
      </c>
      <c r="AK253" s="21">
        <f>100*(AK119-AK118)</f>
        <v/>
      </c>
      <c r="AL253" s="21">
        <f>AVERAGE(C253:AK253)</f>
        <v/>
      </c>
    </row>
    <row r="254">
      <c r="A254" s="19">
        <f>A120</f>
        <v/>
      </c>
      <c r="B254" s="20">
        <f>B120</f>
        <v/>
      </c>
      <c r="C254" s="21">
        <f>100*(C120-C119)</f>
        <v/>
      </c>
      <c r="D254" s="21">
        <f>100*(D120-D119)</f>
        <v/>
      </c>
      <c r="E254" s="21">
        <f>100*(E120-E119)</f>
        <v/>
      </c>
      <c r="F254" s="21">
        <f>100*(F120-F119)</f>
        <v/>
      </c>
      <c r="G254" s="21">
        <f>100*(G120-G119)</f>
        <v/>
      </c>
      <c r="H254" s="21">
        <f>100*(H120-H119)</f>
        <v/>
      </c>
      <c r="I254" s="21">
        <f>100*(I120-I119)</f>
        <v/>
      </c>
      <c r="J254" s="21">
        <f>100*(J120-J119)</f>
        <v/>
      </c>
      <c r="K254" s="21">
        <f>100*(K120-K119)</f>
        <v/>
      </c>
      <c r="L254" s="21">
        <f>100*(L120-L119)</f>
        <v/>
      </c>
      <c r="M254" s="21">
        <f>100*(M120-M119)</f>
        <v/>
      </c>
      <c r="N254" s="21">
        <f>100*(N120-N119)</f>
        <v/>
      </c>
      <c r="O254" s="21">
        <f>100*(O120-O119)</f>
        <v/>
      </c>
      <c r="P254" s="21">
        <f>100*(P120-P119)</f>
        <v/>
      </c>
      <c r="Q254" s="21">
        <f>100*(Q120-Q119)</f>
        <v/>
      </c>
      <c r="R254" s="21">
        <f>100*(R120-R119)</f>
        <v/>
      </c>
      <c r="S254" s="21">
        <f>100*(S120-S119)</f>
        <v/>
      </c>
      <c r="T254" s="21">
        <f>100*(T120-T119)</f>
        <v/>
      </c>
      <c r="U254" s="21">
        <f>100*(U120-U119)</f>
        <v/>
      </c>
      <c r="V254" s="21">
        <f>100*(V120-V119)</f>
        <v/>
      </c>
      <c r="W254" s="21">
        <f>100*(W120-W119)</f>
        <v/>
      </c>
      <c r="X254" s="21">
        <f>100*(X120-X119)</f>
        <v/>
      </c>
      <c r="Y254" s="21">
        <f>100*(Y120-Y119)</f>
        <v/>
      </c>
      <c r="Z254" s="21">
        <f>100*(Z120-Z119)</f>
        <v/>
      </c>
      <c r="AA254" s="21">
        <f>100*(AA120-AA119)</f>
        <v/>
      </c>
      <c r="AB254" s="21">
        <f>100*(AB120-AB119)</f>
        <v/>
      </c>
      <c r="AC254" s="21">
        <f>100*(AC120-AC119)</f>
        <v/>
      </c>
      <c r="AD254" s="21">
        <f>100*(AD120-AD119)</f>
        <v/>
      </c>
      <c r="AE254" s="21">
        <f>100*(AE120-AE119)</f>
        <v/>
      </c>
      <c r="AF254" s="21">
        <f>100*(AF120-AF119)</f>
        <v/>
      </c>
      <c r="AG254" s="21">
        <f>100*(AG120-AG119)</f>
        <v/>
      </c>
      <c r="AH254" s="21">
        <f>100*(AH120-AH119)</f>
        <v/>
      </c>
      <c r="AI254" s="21">
        <f>100*(AI120-AI119)</f>
        <v/>
      </c>
      <c r="AJ254" s="21">
        <f>100*(AJ120-AJ119)</f>
        <v/>
      </c>
      <c r="AK254" s="21">
        <f>100*(AK120-AK119)</f>
        <v/>
      </c>
      <c r="AL254" s="21">
        <f>AVERAGE(C254:AK254)</f>
        <v/>
      </c>
    </row>
    <row r="255">
      <c r="A255" s="19">
        <f>A121</f>
        <v/>
      </c>
      <c r="B255" s="20">
        <f>B121</f>
        <v/>
      </c>
      <c r="C255" s="21">
        <f>100*(C121-C120)</f>
        <v/>
      </c>
      <c r="D255" s="21">
        <f>100*(D121-D120)</f>
        <v/>
      </c>
      <c r="E255" s="21">
        <f>100*(E121-E120)</f>
        <v/>
      </c>
      <c r="F255" s="21">
        <f>100*(F121-F120)</f>
        <v/>
      </c>
      <c r="G255" s="21">
        <f>100*(G121-G120)</f>
        <v/>
      </c>
      <c r="H255" s="21">
        <f>100*(H121-H120)</f>
        <v/>
      </c>
      <c r="I255" s="21">
        <f>100*(I121-I120)</f>
        <v/>
      </c>
      <c r="J255" s="21">
        <f>100*(J121-J120)</f>
        <v/>
      </c>
      <c r="K255" s="21">
        <f>100*(K121-K120)</f>
        <v/>
      </c>
      <c r="L255" s="21">
        <f>100*(L121-L120)</f>
        <v/>
      </c>
      <c r="M255" s="21">
        <f>100*(M121-M120)</f>
        <v/>
      </c>
      <c r="N255" s="21">
        <f>100*(N121-N120)</f>
        <v/>
      </c>
      <c r="O255" s="21">
        <f>100*(O121-O120)</f>
        <v/>
      </c>
      <c r="P255" s="21">
        <f>100*(P121-P120)</f>
        <v/>
      </c>
      <c r="Q255" s="21">
        <f>100*(Q121-Q120)</f>
        <v/>
      </c>
      <c r="R255" s="21">
        <f>100*(R121-R120)</f>
        <v/>
      </c>
      <c r="S255" s="21">
        <f>100*(S121-S120)</f>
        <v/>
      </c>
      <c r="T255" s="21">
        <f>100*(T121-T120)</f>
        <v/>
      </c>
      <c r="U255" s="21">
        <f>100*(U121-U120)</f>
        <v/>
      </c>
      <c r="V255" s="21">
        <f>100*(V121-V120)</f>
        <v/>
      </c>
      <c r="W255" s="21">
        <f>100*(W121-W120)</f>
        <v/>
      </c>
      <c r="X255" s="21">
        <f>100*(X121-X120)</f>
        <v/>
      </c>
      <c r="Y255" s="21">
        <f>100*(Y121-Y120)</f>
        <v/>
      </c>
      <c r="Z255" s="21">
        <f>100*(Z121-Z120)</f>
        <v/>
      </c>
      <c r="AA255" s="21">
        <f>100*(AA121-AA120)</f>
        <v/>
      </c>
      <c r="AB255" s="21">
        <f>100*(AB121-AB120)</f>
        <v/>
      </c>
      <c r="AC255" s="21">
        <f>100*(AC121-AC120)</f>
        <v/>
      </c>
      <c r="AD255" s="21">
        <f>100*(AD121-AD120)</f>
        <v/>
      </c>
      <c r="AE255" s="21">
        <f>100*(AE121-AE120)</f>
        <v/>
      </c>
      <c r="AF255" s="21">
        <f>100*(AF121-AF120)</f>
        <v/>
      </c>
      <c r="AG255" s="21">
        <f>100*(AG121-AG120)</f>
        <v/>
      </c>
      <c r="AH255" s="21">
        <f>100*(AH121-AH120)</f>
        <v/>
      </c>
      <c r="AI255" s="21">
        <f>100*(AI121-AI120)</f>
        <v/>
      </c>
      <c r="AJ255" s="21">
        <f>100*(AJ121-AJ120)</f>
        <v/>
      </c>
      <c r="AK255" s="21">
        <f>100*(AK121-AK120)</f>
        <v/>
      </c>
      <c r="AL255" s="21">
        <f>AVERAGE(C255:AK255)</f>
        <v/>
      </c>
    </row>
    <row r="256">
      <c r="A256" s="19">
        <f>A122</f>
        <v/>
      </c>
      <c r="B256" s="20">
        <f>B122</f>
        <v/>
      </c>
      <c r="C256" s="21">
        <f>100*(C122-C121)</f>
        <v/>
      </c>
      <c r="D256" s="21">
        <f>100*(D122-D121)</f>
        <v/>
      </c>
      <c r="E256" s="21">
        <f>100*(E122-E121)</f>
        <v/>
      </c>
      <c r="F256" s="21">
        <f>100*(F122-F121)</f>
        <v/>
      </c>
      <c r="G256" s="21">
        <f>100*(G122-G121)</f>
        <v/>
      </c>
      <c r="H256" s="21">
        <f>100*(H122-H121)</f>
        <v/>
      </c>
      <c r="I256" s="21">
        <f>100*(I122-I121)</f>
        <v/>
      </c>
      <c r="J256" s="21">
        <f>100*(J122-J121)</f>
        <v/>
      </c>
      <c r="K256" s="21">
        <f>100*(K122-K121)</f>
        <v/>
      </c>
      <c r="L256" s="21">
        <f>100*(L122-L121)</f>
        <v/>
      </c>
      <c r="M256" s="21">
        <f>100*(M122-M121)</f>
        <v/>
      </c>
      <c r="N256" s="21">
        <f>100*(N122-N121)</f>
        <v/>
      </c>
      <c r="O256" s="21">
        <f>100*(O122-O121)</f>
        <v/>
      </c>
      <c r="P256" s="21">
        <f>100*(P122-P121)</f>
        <v/>
      </c>
      <c r="Q256" s="21">
        <f>100*(Q122-Q121)</f>
        <v/>
      </c>
      <c r="R256" s="21">
        <f>100*(R122-R121)</f>
        <v/>
      </c>
      <c r="S256" s="21">
        <f>100*(S122-S121)</f>
        <v/>
      </c>
      <c r="T256" s="21">
        <f>100*(T122-T121)</f>
        <v/>
      </c>
      <c r="U256" s="21">
        <f>100*(U122-U121)</f>
        <v/>
      </c>
      <c r="V256" s="21">
        <f>100*(V122-V121)</f>
        <v/>
      </c>
      <c r="W256" s="21">
        <f>100*(W122-W121)</f>
        <v/>
      </c>
      <c r="X256" s="21">
        <f>100*(X122-X121)</f>
        <v/>
      </c>
      <c r="Y256" s="21">
        <f>100*(Y122-Y121)</f>
        <v/>
      </c>
      <c r="Z256" s="21">
        <f>100*(Z122-Z121)</f>
        <v/>
      </c>
      <c r="AA256" s="21">
        <f>100*(AA122-AA121)</f>
        <v/>
      </c>
      <c r="AB256" s="21">
        <f>100*(AB122-AB121)</f>
        <v/>
      </c>
      <c r="AC256" s="21">
        <f>100*(AC122-AC121)</f>
        <v/>
      </c>
      <c r="AD256" s="21">
        <f>100*(AD122-AD121)</f>
        <v/>
      </c>
      <c r="AE256" s="21">
        <f>100*(AE122-AE121)</f>
        <v/>
      </c>
      <c r="AF256" s="21">
        <f>100*(AF122-AF121)</f>
        <v/>
      </c>
      <c r="AG256" s="21">
        <f>100*(AG122-AG121)</f>
        <v/>
      </c>
      <c r="AH256" s="21">
        <f>100*(AH122-AH121)</f>
        <v/>
      </c>
      <c r="AI256" s="21">
        <f>100*(AI122-AI121)</f>
        <v/>
      </c>
      <c r="AJ256" s="21">
        <f>100*(AJ122-AJ121)</f>
        <v/>
      </c>
      <c r="AK256" s="21">
        <f>100*(AK122-AK121)</f>
        <v/>
      </c>
      <c r="AL256" s="21">
        <f>AVERAGE(C256:AK256)</f>
        <v/>
      </c>
    </row>
    <row r="257">
      <c r="A257" s="19">
        <f>A123</f>
        <v/>
      </c>
      <c r="B257" s="20">
        <f>B123</f>
        <v/>
      </c>
      <c r="C257" s="21">
        <f>100*(C123-C122)</f>
        <v/>
      </c>
      <c r="D257" s="21">
        <f>100*(D123-D122)</f>
        <v/>
      </c>
      <c r="E257" s="21">
        <f>100*(E123-E122)</f>
        <v/>
      </c>
      <c r="F257" s="21">
        <f>100*(F123-F122)</f>
        <v/>
      </c>
      <c r="G257" s="21">
        <f>100*(G123-G122)</f>
        <v/>
      </c>
      <c r="H257" s="21">
        <f>100*(H123-H122)</f>
        <v/>
      </c>
      <c r="I257" s="21">
        <f>100*(I123-I122)</f>
        <v/>
      </c>
      <c r="J257" s="21">
        <f>100*(J123-J122)</f>
        <v/>
      </c>
      <c r="K257" s="21">
        <f>100*(K123-K122)</f>
        <v/>
      </c>
      <c r="L257" s="21">
        <f>100*(L123-L122)</f>
        <v/>
      </c>
      <c r="M257" s="21">
        <f>100*(M123-M122)</f>
        <v/>
      </c>
      <c r="N257" s="21">
        <f>100*(N123-N122)</f>
        <v/>
      </c>
      <c r="O257" s="21">
        <f>100*(O123-O122)</f>
        <v/>
      </c>
      <c r="P257" s="21">
        <f>100*(P123-P122)</f>
        <v/>
      </c>
      <c r="Q257" s="21">
        <f>100*(Q123-Q122)</f>
        <v/>
      </c>
      <c r="R257" s="21">
        <f>100*(R123-R122)</f>
        <v/>
      </c>
      <c r="S257" s="21">
        <f>100*(S123-S122)</f>
        <v/>
      </c>
      <c r="T257" s="21">
        <f>100*(T123-T122)</f>
        <v/>
      </c>
      <c r="U257" s="21">
        <f>100*(U123-U122)</f>
        <v/>
      </c>
      <c r="V257" s="21">
        <f>100*(V123-V122)</f>
        <v/>
      </c>
      <c r="W257" s="21">
        <f>100*(W123-W122)</f>
        <v/>
      </c>
      <c r="X257" s="21">
        <f>100*(X123-X122)</f>
        <v/>
      </c>
      <c r="Y257" s="21">
        <f>100*(Y123-Y122)</f>
        <v/>
      </c>
      <c r="Z257" s="21">
        <f>100*(Z123-Z122)</f>
        <v/>
      </c>
      <c r="AA257" s="21">
        <f>100*(AA123-AA122)</f>
        <v/>
      </c>
      <c r="AB257" s="21">
        <f>100*(AB123-AB122)</f>
        <v/>
      </c>
      <c r="AC257" s="21">
        <f>100*(AC123-AC122)</f>
        <v/>
      </c>
      <c r="AD257" s="21">
        <f>100*(AD123-AD122)</f>
        <v/>
      </c>
      <c r="AE257" s="21">
        <f>100*(AE123-AE122)</f>
        <v/>
      </c>
      <c r="AF257" s="21">
        <f>100*(AF123-AF122)</f>
        <v/>
      </c>
      <c r="AG257" s="21">
        <f>100*(AG123-AG122)</f>
        <v/>
      </c>
      <c r="AH257" s="21">
        <f>100*(AH123-AH122)</f>
        <v/>
      </c>
      <c r="AI257" s="21">
        <f>100*(AI123-AI122)</f>
        <v/>
      </c>
      <c r="AJ257" s="21">
        <f>100*(AJ123-AJ122)</f>
        <v/>
      </c>
      <c r="AK257" s="21">
        <f>100*(AK123-AK122)</f>
        <v/>
      </c>
      <c r="AL257" s="21">
        <f>AVERAGE(C257:AK257)</f>
        <v/>
      </c>
    </row>
    <row r="258">
      <c r="A258" s="19">
        <f>A124</f>
        <v/>
      </c>
      <c r="B258" s="20">
        <f>B124</f>
        <v/>
      </c>
      <c r="C258" s="21">
        <f>100*(C124-C123)</f>
        <v/>
      </c>
      <c r="D258" s="21">
        <f>100*(D124-D123)</f>
        <v/>
      </c>
      <c r="E258" s="21">
        <f>100*(E124-E123)</f>
        <v/>
      </c>
      <c r="F258" s="21">
        <f>100*(F124-F123)</f>
        <v/>
      </c>
      <c r="G258" s="21">
        <f>100*(G124-G123)</f>
        <v/>
      </c>
      <c r="H258" s="21">
        <f>100*(H124-H123)</f>
        <v/>
      </c>
      <c r="I258" s="21">
        <f>100*(I124-I123)</f>
        <v/>
      </c>
      <c r="J258" s="21">
        <f>100*(J124-J123)</f>
        <v/>
      </c>
      <c r="K258" s="21">
        <f>100*(K124-K123)</f>
        <v/>
      </c>
      <c r="L258" s="21">
        <f>100*(L124-L123)</f>
        <v/>
      </c>
      <c r="M258" s="21">
        <f>100*(M124-M123)</f>
        <v/>
      </c>
      <c r="N258" s="21">
        <f>100*(N124-N123)</f>
        <v/>
      </c>
      <c r="O258" s="21">
        <f>100*(O124-O123)</f>
        <v/>
      </c>
      <c r="P258" s="21">
        <f>100*(P124-P123)</f>
        <v/>
      </c>
      <c r="Q258" s="21">
        <f>100*(Q124-Q123)</f>
        <v/>
      </c>
      <c r="R258" s="21">
        <f>100*(R124-R123)</f>
        <v/>
      </c>
      <c r="S258" s="21">
        <f>100*(S124-S123)</f>
        <v/>
      </c>
      <c r="T258" s="21">
        <f>100*(T124-T123)</f>
        <v/>
      </c>
      <c r="U258" s="21">
        <f>100*(U124-U123)</f>
        <v/>
      </c>
      <c r="V258" s="21">
        <f>100*(V124-V123)</f>
        <v/>
      </c>
      <c r="W258" s="21">
        <f>100*(W124-W123)</f>
        <v/>
      </c>
      <c r="X258" s="21">
        <f>100*(X124-X123)</f>
        <v/>
      </c>
      <c r="Y258" s="21">
        <f>100*(Y124-Y123)</f>
        <v/>
      </c>
      <c r="Z258" s="21">
        <f>100*(Z124-Z123)</f>
        <v/>
      </c>
      <c r="AA258" s="21">
        <f>100*(AA124-AA123)</f>
        <v/>
      </c>
      <c r="AB258" s="21">
        <f>100*(AB124-AB123)</f>
        <v/>
      </c>
      <c r="AC258" s="21">
        <f>100*(AC124-AC123)</f>
        <v/>
      </c>
      <c r="AD258" s="21">
        <f>100*(AD124-AD123)</f>
        <v/>
      </c>
      <c r="AE258" s="21">
        <f>100*(AE124-AE123)</f>
        <v/>
      </c>
      <c r="AF258" s="21">
        <f>100*(AF124-AF123)</f>
        <v/>
      </c>
      <c r="AG258" s="21">
        <f>100*(AG124-AG123)</f>
        <v/>
      </c>
      <c r="AH258" s="21">
        <f>100*(AH124-AH123)</f>
        <v/>
      </c>
      <c r="AI258" s="21">
        <f>100*(AI124-AI123)</f>
        <v/>
      </c>
      <c r="AJ258" s="21">
        <f>100*(AJ124-AJ123)</f>
        <v/>
      </c>
      <c r="AK258" s="21">
        <f>100*(AK124-AK123)</f>
        <v/>
      </c>
      <c r="AL258" s="21">
        <f>AVERAGE(C258:AK258)</f>
        <v/>
      </c>
    </row>
    <row r="259">
      <c r="A259" s="19">
        <f>A125</f>
        <v/>
      </c>
      <c r="B259" s="20">
        <f>B125</f>
        <v/>
      </c>
      <c r="C259" s="21">
        <f>100*(C125-C124)</f>
        <v/>
      </c>
      <c r="D259" s="21">
        <f>100*(D125-D124)</f>
        <v/>
      </c>
      <c r="E259" s="21">
        <f>100*(E125-E124)</f>
        <v/>
      </c>
      <c r="F259" s="21">
        <f>100*(F125-F124)</f>
        <v/>
      </c>
      <c r="G259" s="21">
        <f>100*(G125-G124)</f>
        <v/>
      </c>
      <c r="H259" s="21">
        <f>100*(H125-H124)</f>
        <v/>
      </c>
      <c r="I259" s="21">
        <f>100*(I125-I124)</f>
        <v/>
      </c>
      <c r="J259" s="21">
        <f>100*(J125-J124)</f>
        <v/>
      </c>
      <c r="K259" s="21">
        <f>100*(K125-K124)</f>
        <v/>
      </c>
      <c r="L259" s="21">
        <f>100*(L125-L124)</f>
        <v/>
      </c>
      <c r="M259" s="21">
        <f>100*(M125-M124)</f>
        <v/>
      </c>
      <c r="N259" s="21">
        <f>100*(N125-N124)</f>
        <v/>
      </c>
      <c r="O259" s="21">
        <f>100*(O125-O124)</f>
        <v/>
      </c>
      <c r="P259" s="21">
        <f>100*(P125-P124)</f>
        <v/>
      </c>
      <c r="Q259" s="21">
        <f>100*(Q125-Q124)</f>
        <v/>
      </c>
      <c r="R259" s="21">
        <f>100*(R125-R124)</f>
        <v/>
      </c>
      <c r="S259" s="21">
        <f>100*(S125-S124)</f>
        <v/>
      </c>
      <c r="T259" s="21">
        <f>100*(T125-T124)</f>
        <v/>
      </c>
      <c r="U259" s="21">
        <f>100*(U125-U124)</f>
        <v/>
      </c>
      <c r="V259" s="21">
        <f>100*(V125-V124)</f>
        <v/>
      </c>
      <c r="W259" s="21">
        <f>100*(W125-W124)</f>
        <v/>
      </c>
      <c r="X259" s="21">
        <f>100*(X125-X124)</f>
        <v/>
      </c>
      <c r="Y259" s="21">
        <f>100*(Y125-Y124)</f>
        <v/>
      </c>
      <c r="Z259" s="21">
        <f>100*(Z125-Z124)</f>
        <v/>
      </c>
      <c r="AA259" s="21">
        <f>100*(AA125-AA124)</f>
        <v/>
      </c>
      <c r="AB259" s="21">
        <f>100*(AB125-AB124)</f>
        <v/>
      </c>
      <c r="AC259" s="21">
        <f>100*(AC125-AC124)</f>
        <v/>
      </c>
      <c r="AD259" s="21">
        <f>100*(AD125-AD124)</f>
        <v/>
      </c>
      <c r="AE259" s="21">
        <f>100*(AE125-AE124)</f>
        <v/>
      </c>
      <c r="AF259" s="21">
        <f>100*(AF125-AF124)</f>
        <v/>
      </c>
      <c r="AG259" s="21">
        <f>100*(AG125-AG124)</f>
        <v/>
      </c>
      <c r="AH259" s="21">
        <f>100*(AH125-AH124)</f>
        <v/>
      </c>
      <c r="AI259" s="21">
        <f>100*(AI125-AI124)</f>
        <v/>
      </c>
      <c r="AJ259" s="21">
        <f>100*(AJ125-AJ124)</f>
        <v/>
      </c>
      <c r="AK259" s="21">
        <f>100*(AK125-AK124)</f>
        <v/>
      </c>
      <c r="AL259" s="21">
        <f>AVERAGE(C259:AK259)</f>
        <v/>
      </c>
    </row>
    <row r="260">
      <c r="A260" s="19">
        <f>A126</f>
        <v/>
      </c>
      <c r="B260" s="20">
        <f>B126</f>
        <v/>
      </c>
      <c r="C260" s="21">
        <f>100*(C126-C125)</f>
        <v/>
      </c>
      <c r="D260" s="21">
        <f>100*(D126-D125)</f>
        <v/>
      </c>
      <c r="E260" s="21">
        <f>100*(E126-E125)</f>
        <v/>
      </c>
      <c r="F260" s="21">
        <f>100*(F126-F125)</f>
        <v/>
      </c>
      <c r="G260" s="21">
        <f>100*(G126-G125)</f>
        <v/>
      </c>
      <c r="H260" s="21">
        <f>100*(H126-H125)</f>
        <v/>
      </c>
      <c r="I260" s="21">
        <f>100*(I126-I125)</f>
        <v/>
      </c>
      <c r="J260" s="21">
        <f>100*(J126-J125)</f>
        <v/>
      </c>
      <c r="K260" s="21">
        <f>100*(K126-K125)</f>
        <v/>
      </c>
      <c r="L260" s="21">
        <f>100*(L126-L125)</f>
        <v/>
      </c>
      <c r="M260" s="21">
        <f>100*(M126-M125)</f>
        <v/>
      </c>
      <c r="N260" s="21">
        <f>100*(N126-N125)</f>
        <v/>
      </c>
      <c r="O260" s="21">
        <f>100*(O126-O125)</f>
        <v/>
      </c>
      <c r="P260" s="21">
        <f>100*(P126-P125)</f>
        <v/>
      </c>
      <c r="Q260" s="21">
        <f>100*(Q126-Q125)</f>
        <v/>
      </c>
      <c r="R260" s="21">
        <f>100*(R126-R125)</f>
        <v/>
      </c>
      <c r="S260" s="21">
        <f>100*(S126-S125)</f>
        <v/>
      </c>
      <c r="T260" s="21">
        <f>100*(T126-T125)</f>
        <v/>
      </c>
      <c r="U260" s="21">
        <f>100*(U126-U125)</f>
        <v/>
      </c>
      <c r="V260" s="21">
        <f>100*(V126-V125)</f>
        <v/>
      </c>
      <c r="W260" s="21">
        <f>100*(W126-W125)</f>
        <v/>
      </c>
      <c r="X260" s="21">
        <f>100*(X126-X125)</f>
        <v/>
      </c>
      <c r="Y260" s="21">
        <f>100*(Y126-Y125)</f>
        <v/>
      </c>
      <c r="Z260" s="21">
        <f>100*(Z126-Z125)</f>
        <v/>
      </c>
      <c r="AA260" s="21">
        <f>100*(AA126-AA125)</f>
        <v/>
      </c>
      <c r="AB260" s="21">
        <f>100*(AB126-AB125)</f>
        <v/>
      </c>
      <c r="AC260" s="21">
        <f>100*(AC126-AC125)</f>
        <v/>
      </c>
      <c r="AD260" s="21">
        <f>100*(AD126-AD125)</f>
        <v/>
      </c>
      <c r="AE260" s="21">
        <f>100*(AE126-AE125)</f>
        <v/>
      </c>
      <c r="AF260" s="21">
        <f>100*(AF126-AF125)</f>
        <v/>
      </c>
      <c r="AG260" s="21">
        <f>100*(AG126-AG125)</f>
        <v/>
      </c>
      <c r="AH260" s="21">
        <f>100*(AH126-AH125)</f>
        <v/>
      </c>
      <c r="AI260" s="21">
        <f>100*(AI126-AI125)</f>
        <v/>
      </c>
      <c r="AJ260" s="21">
        <f>100*(AJ126-AJ125)</f>
        <v/>
      </c>
      <c r="AK260" s="21">
        <f>100*(AK126-AK125)</f>
        <v/>
      </c>
      <c r="AL260" s="21">
        <f>AVERAGE(C260:AK260)</f>
        <v/>
      </c>
    </row>
    <row r="261">
      <c r="A261" s="19">
        <f>A127</f>
        <v/>
      </c>
      <c r="B261" s="20">
        <f>B127</f>
        <v/>
      </c>
      <c r="C261" s="21">
        <f>100*(C127-C126)</f>
        <v/>
      </c>
      <c r="D261" s="21">
        <f>100*(D127-D126)</f>
        <v/>
      </c>
      <c r="E261" s="21">
        <f>100*(E127-E126)</f>
        <v/>
      </c>
      <c r="F261" s="21">
        <f>100*(F127-F126)</f>
        <v/>
      </c>
      <c r="G261" s="21">
        <f>100*(G127-G126)</f>
        <v/>
      </c>
      <c r="H261" s="21">
        <f>100*(H127-H126)</f>
        <v/>
      </c>
      <c r="I261" s="21">
        <f>100*(I127-I126)</f>
        <v/>
      </c>
      <c r="J261" s="21">
        <f>100*(J127-J126)</f>
        <v/>
      </c>
      <c r="K261" s="21">
        <f>100*(K127-K126)</f>
        <v/>
      </c>
      <c r="L261" s="21">
        <f>100*(L127-L126)</f>
        <v/>
      </c>
      <c r="M261" s="21">
        <f>100*(M127-M126)</f>
        <v/>
      </c>
      <c r="N261" s="21">
        <f>100*(N127-N126)</f>
        <v/>
      </c>
      <c r="O261" s="21">
        <f>100*(O127-O126)</f>
        <v/>
      </c>
      <c r="P261" s="21">
        <f>100*(P127-P126)</f>
        <v/>
      </c>
      <c r="Q261" s="21">
        <f>100*(Q127-Q126)</f>
        <v/>
      </c>
      <c r="R261" s="21">
        <f>100*(R127-R126)</f>
        <v/>
      </c>
      <c r="S261" s="21">
        <f>100*(S127-S126)</f>
        <v/>
      </c>
      <c r="T261" s="21">
        <f>100*(T127-T126)</f>
        <v/>
      </c>
      <c r="U261" s="21">
        <f>100*(U127-U126)</f>
        <v/>
      </c>
      <c r="V261" s="21">
        <f>100*(V127-V126)</f>
        <v/>
      </c>
      <c r="W261" s="21">
        <f>100*(W127-W126)</f>
        <v/>
      </c>
      <c r="X261" s="21">
        <f>100*(X127-X126)</f>
        <v/>
      </c>
      <c r="Y261" s="21">
        <f>100*(Y127-Y126)</f>
        <v/>
      </c>
      <c r="Z261" s="21">
        <f>100*(Z127-Z126)</f>
        <v/>
      </c>
      <c r="AA261" s="21">
        <f>100*(AA127-AA126)</f>
        <v/>
      </c>
      <c r="AB261" s="21">
        <f>100*(AB127-AB126)</f>
        <v/>
      </c>
      <c r="AC261" s="21">
        <f>100*(AC127-AC126)</f>
        <v/>
      </c>
      <c r="AD261" s="21">
        <f>100*(AD127-AD126)</f>
        <v/>
      </c>
      <c r="AE261" s="21">
        <f>100*(AE127-AE126)</f>
        <v/>
      </c>
      <c r="AF261" s="21">
        <f>100*(AF127-AF126)</f>
        <v/>
      </c>
      <c r="AG261" s="21">
        <f>100*(AG127-AG126)</f>
        <v/>
      </c>
      <c r="AH261" s="21">
        <f>100*(AH127-AH126)</f>
        <v/>
      </c>
      <c r="AI261" s="21">
        <f>100*(AI127-AI126)</f>
        <v/>
      </c>
      <c r="AJ261" s="21">
        <f>100*(AJ127-AJ126)</f>
        <v/>
      </c>
      <c r="AK261" s="21">
        <f>100*(AK127-AK126)</f>
        <v/>
      </c>
      <c r="AL261" s="21">
        <f>AVERAGE(C261:AK261)</f>
        <v/>
      </c>
    </row>
    <row r="262">
      <c r="A262" s="19">
        <f>A128</f>
        <v/>
      </c>
      <c r="B262" s="20">
        <f>B128</f>
        <v/>
      </c>
      <c r="C262" s="21">
        <f>100*(C128-C127)</f>
        <v/>
      </c>
      <c r="D262" s="21">
        <f>100*(D128-D127)</f>
        <v/>
      </c>
      <c r="E262" s="21">
        <f>100*(E128-E127)</f>
        <v/>
      </c>
      <c r="F262" s="21">
        <f>100*(F128-F127)</f>
        <v/>
      </c>
      <c r="G262" s="21">
        <f>100*(G128-G127)</f>
        <v/>
      </c>
      <c r="H262" s="21">
        <f>100*(H128-H127)</f>
        <v/>
      </c>
      <c r="I262" s="21">
        <f>100*(I128-I127)</f>
        <v/>
      </c>
      <c r="J262" s="21">
        <f>100*(J128-J127)</f>
        <v/>
      </c>
      <c r="K262" s="21">
        <f>100*(K128-K127)</f>
        <v/>
      </c>
      <c r="L262" s="21">
        <f>100*(L128-L127)</f>
        <v/>
      </c>
      <c r="M262" s="21">
        <f>100*(M128-M127)</f>
        <v/>
      </c>
      <c r="N262" s="21">
        <f>100*(N128-N127)</f>
        <v/>
      </c>
      <c r="O262" s="21">
        <f>100*(O128-O127)</f>
        <v/>
      </c>
      <c r="P262" s="21">
        <f>100*(P128-P127)</f>
        <v/>
      </c>
      <c r="Q262" s="21">
        <f>100*(Q128-Q127)</f>
        <v/>
      </c>
      <c r="R262" s="21">
        <f>100*(R128-R127)</f>
        <v/>
      </c>
      <c r="S262" s="21">
        <f>100*(S128-S127)</f>
        <v/>
      </c>
      <c r="T262" s="21">
        <f>100*(T128-T127)</f>
        <v/>
      </c>
      <c r="U262" s="21">
        <f>100*(U128-U127)</f>
        <v/>
      </c>
      <c r="V262" s="21">
        <f>100*(V128-V127)</f>
        <v/>
      </c>
      <c r="W262" s="21">
        <f>100*(W128-W127)</f>
        <v/>
      </c>
      <c r="X262" s="21">
        <f>100*(X128-X127)</f>
        <v/>
      </c>
      <c r="Y262" s="21">
        <f>100*(Y128-Y127)</f>
        <v/>
      </c>
      <c r="Z262" s="21">
        <f>100*(Z128-Z127)</f>
        <v/>
      </c>
      <c r="AA262" s="21">
        <f>100*(AA128-AA127)</f>
        <v/>
      </c>
      <c r="AB262" s="21">
        <f>100*(AB128-AB127)</f>
        <v/>
      </c>
      <c r="AC262" s="21">
        <f>100*(AC128-AC127)</f>
        <v/>
      </c>
      <c r="AD262" s="21">
        <f>100*(AD128-AD127)</f>
        <v/>
      </c>
      <c r="AE262" s="21">
        <f>100*(AE128-AE127)</f>
        <v/>
      </c>
      <c r="AF262" s="21">
        <f>100*(AF128-AF127)</f>
        <v/>
      </c>
      <c r="AG262" s="21">
        <f>100*(AG128-AG127)</f>
        <v/>
      </c>
      <c r="AH262" s="21">
        <f>100*(AH128-AH127)</f>
        <v/>
      </c>
      <c r="AI262" s="21">
        <f>100*(AI128-AI127)</f>
        <v/>
      </c>
      <c r="AJ262" s="21">
        <f>100*(AJ128-AJ127)</f>
        <v/>
      </c>
      <c r="AK262" s="21">
        <f>100*(AK128-AK127)</f>
        <v/>
      </c>
      <c r="AL262" s="21">
        <f>AVERAGE(C262:AK262)</f>
        <v/>
      </c>
    </row>
    <row r="263">
      <c r="A263" s="19">
        <f>A129</f>
        <v/>
      </c>
      <c r="B263" s="20">
        <f>B129</f>
        <v/>
      </c>
      <c r="C263" s="21">
        <f>100*(C129-C128)</f>
        <v/>
      </c>
      <c r="D263" s="21">
        <f>100*(D129-D128)</f>
        <v/>
      </c>
      <c r="E263" s="21">
        <f>100*(E129-E128)</f>
        <v/>
      </c>
      <c r="F263" s="21">
        <f>100*(F129-F128)</f>
        <v/>
      </c>
      <c r="G263" s="21">
        <f>100*(G129-G128)</f>
        <v/>
      </c>
      <c r="H263" s="21">
        <f>100*(H129-H128)</f>
        <v/>
      </c>
      <c r="I263" s="21">
        <f>100*(I129-I128)</f>
        <v/>
      </c>
      <c r="J263" s="21">
        <f>100*(J129-J128)</f>
        <v/>
      </c>
      <c r="K263" s="21">
        <f>100*(K129-K128)</f>
        <v/>
      </c>
      <c r="L263" s="21">
        <f>100*(L129-L128)</f>
        <v/>
      </c>
      <c r="M263" s="21">
        <f>100*(M129-M128)</f>
        <v/>
      </c>
      <c r="N263" s="21">
        <f>100*(N129-N128)</f>
        <v/>
      </c>
      <c r="O263" s="21">
        <f>100*(O129-O128)</f>
        <v/>
      </c>
      <c r="P263" s="21">
        <f>100*(P129-P128)</f>
        <v/>
      </c>
      <c r="Q263" s="21">
        <f>100*(Q129-Q128)</f>
        <v/>
      </c>
      <c r="R263" s="21">
        <f>100*(R129-R128)</f>
        <v/>
      </c>
      <c r="S263" s="21">
        <f>100*(S129-S128)</f>
        <v/>
      </c>
      <c r="T263" s="21">
        <f>100*(T129-T128)</f>
        <v/>
      </c>
      <c r="U263" s="21">
        <f>100*(U129-U128)</f>
        <v/>
      </c>
      <c r="V263" s="21">
        <f>100*(V129-V128)</f>
        <v/>
      </c>
      <c r="W263" s="21">
        <f>100*(W129-W128)</f>
        <v/>
      </c>
      <c r="X263" s="21">
        <f>100*(X129-X128)</f>
        <v/>
      </c>
      <c r="Y263" s="21">
        <f>100*(Y129-Y128)</f>
        <v/>
      </c>
      <c r="Z263" s="21">
        <f>100*(Z129-Z128)</f>
        <v/>
      </c>
      <c r="AA263" s="21">
        <f>100*(AA129-AA128)</f>
        <v/>
      </c>
      <c r="AB263" s="21">
        <f>100*(AB129-AB128)</f>
        <v/>
      </c>
      <c r="AC263" s="21">
        <f>100*(AC129-AC128)</f>
        <v/>
      </c>
      <c r="AD263" s="21">
        <f>100*(AD129-AD128)</f>
        <v/>
      </c>
      <c r="AE263" s="21">
        <f>100*(AE129-AE128)</f>
        <v/>
      </c>
      <c r="AF263" s="21">
        <f>100*(AF129-AF128)</f>
        <v/>
      </c>
      <c r="AG263" s="21">
        <f>100*(AG129-AG128)</f>
        <v/>
      </c>
      <c r="AH263" s="21">
        <f>100*(AH129-AH128)</f>
        <v/>
      </c>
      <c r="AI263" s="21">
        <f>100*(AI129-AI128)</f>
        <v/>
      </c>
      <c r="AJ263" s="21">
        <f>100*(AJ129-AJ128)</f>
        <v/>
      </c>
      <c r="AK263" s="21">
        <f>100*(AK129-AK128)</f>
        <v/>
      </c>
      <c r="AL263" s="21">
        <f>AVERAGE(C263:AK263)</f>
        <v/>
      </c>
    </row>
    <row r="264">
      <c r="A264" s="19">
        <f>A130</f>
        <v/>
      </c>
      <c r="B264" s="20">
        <f>B130</f>
        <v/>
      </c>
      <c r="C264" s="21">
        <f>100*(C130-C129)</f>
        <v/>
      </c>
      <c r="D264" s="21">
        <f>100*(D130-D129)</f>
        <v/>
      </c>
      <c r="E264" s="21">
        <f>100*(E130-E129)</f>
        <v/>
      </c>
      <c r="F264" s="21">
        <f>100*(F130-F129)</f>
        <v/>
      </c>
      <c r="G264" s="21">
        <f>100*(G130-G129)</f>
        <v/>
      </c>
      <c r="H264" s="21">
        <f>100*(H130-H129)</f>
        <v/>
      </c>
      <c r="I264" s="21">
        <f>100*(I130-I129)</f>
        <v/>
      </c>
      <c r="J264" s="21">
        <f>100*(J130-J129)</f>
        <v/>
      </c>
      <c r="K264" s="21">
        <f>100*(K130-K129)</f>
        <v/>
      </c>
      <c r="L264" s="21">
        <f>100*(L130-L129)</f>
        <v/>
      </c>
      <c r="M264" s="21">
        <f>100*(M130-M129)</f>
        <v/>
      </c>
      <c r="N264" s="21">
        <f>100*(N130-N129)</f>
        <v/>
      </c>
      <c r="O264" s="21">
        <f>100*(O130-O129)</f>
        <v/>
      </c>
      <c r="P264" s="21">
        <f>100*(P130-P129)</f>
        <v/>
      </c>
      <c r="Q264" s="21">
        <f>100*(Q130-Q129)</f>
        <v/>
      </c>
      <c r="R264" s="21">
        <f>100*(R130-R129)</f>
        <v/>
      </c>
      <c r="S264" s="21">
        <f>100*(S130-S129)</f>
        <v/>
      </c>
      <c r="T264" s="21">
        <f>100*(T130-T129)</f>
        <v/>
      </c>
      <c r="U264" s="21">
        <f>100*(U130-U129)</f>
        <v/>
      </c>
      <c r="V264" s="21">
        <f>100*(V130-V129)</f>
        <v/>
      </c>
      <c r="W264" s="21">
        <f>100*(W130-W129)</f>
        <v/>
      </c>
      <c r="X264" s="21">
        <f>100*(X130-X129)</f>
        <v/>
      </c>
      <c r="Y264" s="21">
        <f>100*(Y130-Y129)</f>
        <v/>
      </c>
      <c r="Z264" s="21">
        <f>100*(Z130-Z129)</f>
        <v/>
      </c>
      <c r="AA264" s="21">
        <f>100*(AA130-AA129)</f>
        <v/>
      </c>
      <c r="AB264" s="21">
        <f>100*(AB130-AB129)</f>
        <v/>
      </c>
      <c r="AC264" s="21">
        <f>100*(AC130-AC129)</f>
        <v/>
      </c>
      <c r="AD264" s="21">
        <f>100*(AD130-AD129)</f>
        <v/>
      </c>
      <c r="AE264" s="21">
        <f>100*(AE130-AE129)</f>
        <v/>
      </c>
      <c r="AF264" s="21">
        <f>100*(AF130-AF129)</f>
        <v/>
      </c>
      <c r="AG264" s="21">
        <f>100*(AG130-AG129)</f>
        <v/>
      </c>
      <c r="AH264" s="21">
        <f>100*(AH130-AH129)</f>
        <v/>
      </c>
      <c r="AI264" s="21">
        <f>100*(AI130-AI129)</f>
        <v/>
      </c>
      <c r="AJ264" s="21">
        <f>100*(AJ130-AJ129)</f>
        <v/>
      </c>
      <c r="AK264" s="21">
        <f>100*(AK130-AK129)</f>
        <v/>
      </c>
      <c r="AL264" s="21">
        <f>AVERAGE(C264:AK264)</f>
        <v/>
      </c>
    </row>
    <row r="265">
      <c r="A265" s="19">
        <f>A131</f>
        <v/>
      </c>
      <c r="B265" s="20">
        <f>B131</f>
        <v/>
      </c>
      <c r="C265" s="21">
        <f>100*(C131-C130)</f>
        <v/>
      </c>
      <c r="D265" s="21">
        <f>100*(D131-D130)</f>
        <v/>
      </c>
      <c r="E265" s="21">
        <f>100*(E131-E130)</f>
        <v/>
      </c>
      <c r="F265" s="21">
        <f>100*(F131-F130)</f>
        <v/>
      </c>
      <c r="G265" s="21">
        <f>100*(G131-G130)</f>
        <v/>
      </c>
      <c r="H265" s="21">
        <f>100*(H131-H130)</f>
        <v/>
      </c>
      <c r="I265" s="21">
        <f>100*(I131-I130)</f>
        <v/>
      </c>
      <c r="J265" s="21">
        <f>100*(J131-J130)</f>
        <v/>
      </c>
      <c r="K265" s="21">
        <f>100*(K131-K130)</f>
        <v/>
      </c>
      <c r="L265" s="21">
        <f>100*(L131-L130)</f>
        <v/>
      </c>
      <c r="M265" s="21">
        <f>100*(M131-M130)</f>
        <v/>
      </c>
      <c r="N265" s="21">
        <f>100*(N131-N130)</f>
        <v/>
      </c>
      <c r="O265" s="21">
        <f>100*(O131-O130)</f>
        <v/>
      </c>
      <c r="P265" s="21">
        <f>100*(P131-P130)</f>
        <v/>
      </c>
      <c r="Q265" s="21">
        <f>100*(Q131-Q130)</f>
        <v/>
      </c>
      <c r="R265" s="21">
        <f>100*(R131-R130)</f>
        <v/>
      </c>
      <c r="S265" s="21">
        <f>100*(S131-S130)</f>
        <v/>
      </c>
      <c r="T265" s="21">
        <f>100*(T131-T130)</f>
        <v/>
      </c>
      <c r="U265" s="21">
        <f>100*(U131-U130)</f>
        <v/>
      </c>
      <c r="V265" s="21">
        <f>100*(V131-V130)</f>
        <v/>
      </c>
      <c r="W265" s="21">
        <f>100*(W131-W130)</f>
        <v/>
      </c>
      <c r="X265" s="21">
        <f>100*(X131-X130)</f>
        <v/>
      </c>
      <c r="Y265" s="21">
        <f>100*(Y131-Y130)</f>
        <v/>
      </c>
      <c r="Z265" s="21">
        <f>100*(Z131-Z130)</f>
        <v/>
      </c>
      <c r="AA265" s="21">
        <f>100*(AA131-AA130)</f>
        <v/>
      </c>
      <c r="AB265" s="21">
        <f>100*(AB131-AB130)</f>
        <v/>
      </c>
      <c r="AC265" s="21">
        <f>100*(AC131-AC130)</f>
        <v/>
      </c>
      <c r="AD265" s="21">
        <f>100*(AD131-AD130)</f>
        <v/>
      </c>
      <c r="AE265" s="21">
        <f>100*(AE131-AE130)</f>
        <v/>
      </c>
      <c r="AF265" s="21">
        <f>100*(AF131-AF130)</f>
        <v/>
      </c>
      <c r="AG265" s="21">
        <f>100*(AG131-AG130)</f>
        <v/>
      </c>
      <c r="AH265" s="21">
        <f>100*(AH131-AH130)</f>
        <v/>
      </c>
      <c r="AI265" s="21">
        <f>100*(AI131-AI130)</f>
        <v/>
      </c>
      <c r="AJ265" s="21">
        <f>100*(AJ131-AJ130)</f>
        <v/>
      </c>
      <c r="AK265" s="21">
        <f>100*(AK131-AK130)</f>
        <v/>
      </c>
      <c r="AL265" s="21">
        <f>AVERAGE(C265:AK265)</f>
        <v/>
      </c>
    </row>
    <row r="266">
      <c r="A266" s="19">
        <f>A132</f>
        <v/>
      </c>
      <c r="B266" s="20">
        <f>B132</f>
        <v/>
      </c>
      <c r="C266" s="21">
        <f>100*(C132-C131)</f>
        <v/>
      </c>
      <c r="D266" s="21">
        <f>100*(D132-D131)</f>
        <v/>
      </c>
      <c r="E266" s="21">
        <f>100*(E132-E131)</f>
        <v/>
      </c>
      <c r="F266" s="21">
        <f>100*(F132-F131)</f>
        <v/>
      </c>
      <c r="G266" s="21">
        <f>100*(G132-G131)</f>
        <v/>
      </c>
      <c r="H266" s="21">
        <f>100*(H132-H131)</f>
        <v/>
      </c>
      <c r="I266" s="21">
        <f>100*(I132-I131)</f>
        <v/>
      </c>
      <c r="J266" s="21">
        <f>100*(J132-J131)</f>
        <v/>
      </c>
      <c r="K266" s="21">
        <f>100*(K132-K131)</f>
        <v/>
      </c>
      <c r="L266" s="21">
        <f>100*(L132-L131)</f>
        <v/>
      </c>
      <c r="M266" s="21">
        <f>100*(M132-M131)</f>
        <v/>
      </c>
      <c r="N266" s="21">
        <f>100*(N132-N131)</f>
        <v/>
      </c>
      <c r="O266" s="21">
        <f>100*(O132-O131)</f>
        <v/>
      </c>
      <c r="P266" s="21">
        <f>100*(P132-P131)</f>
        <v/>
      </c>
      <c r="Q266" s="21">
        <f>100*(Q132-Q131)</f>
        <v/>
      </c>
      <c r="R266" s="21">
        <f>100*(R132-R131)</f>
        <v/>
      </c>
      <c r="S266" s="21">
        <f>100*(S132-S131)</f>
        <v/>
      </c>
      <c r="T266" s="21">
        <f>100*(T132-T131)</f>
        <v/>
      </c>
      <c r="U266" s="21">
        <f>100*(U132-U131)</f>
        <v/>
      </c>
      <c r="V266" s="21">
        <f>100*(V132-V131)</f>
        <v/>
      </c>
      <c r="W266" s="21">
        <f>100*(W132-W131)</f>
        <v/>
      </c>
      <c r="X266" s="21">
        <f>100*(X132-X131)</f>
        <v/>
      </c>
      <c r="Y266" s="21">
        <f>100*(Y132-Y131)</f>
        <v/>
      </c>
      <c r="Z266" s="21">
        <f>100*(Z132-Z131)</f>
        <v/>
      </c>
      <c r="AA266" s="21">
        <f>100*(AA132-AA131)</f>
        <v/>
      </c>
      <c r="AB266" s="21">
        <f>100*(AB132-AB131)</f>
        <v/>
      </c>
      <c r="AC266" s="21">
        <f>100*(AC132-AC131)</f>
        <v/>
      </c>
      <c r="AD266" s="21">
        <f>100*(AD132-AD131)</f>
        <v/>
      </c>
      <c r="AE266" s="21">
        <f>100*(AE132-AE131)</f>
        <v/>
      </c>
      <c r="AF266" s="21">
        <f>100*(AF132-AF131)</f>
        <v/>
      </c>
      <c r="AG266" s="21">
        <f>100*(AG132-AG131)</f>
        <v/>
      </c>
      <c r="AH266" s="21">
        <f>100*(AH132-AH131)</f>
        <v/>
      </c>
      <c r="AI266" s="21">
        <f>100*(AI132-AI131)</f>
        <v/>
      </c>
      <c r="AJ266" s="21">
        <f>100*(AJ132-AJ131)</f>
        <v/>
      </c>
      <c r="AK266" s="21">
        <f>100*(AK132-AK131)</f>
        <v/>
      </c>
      <c r="AL266" s="21">
        <f>AVERAGE(C266:AK266)</f>
        <v/>
      </c>
    </row>
    <row r="267">
      <c r="A267" s="19">
        <f>A133</f>
        <v/>
      </c>
      <c r="B267" s="20">
        <f>B133</f>
        <v/>
      </c>
      <c r="C267" s="21">
        <f>100*(C133-C132)</f>
        <v/>
      </c>
      <c r="D267" s="21">
        <f>100*(D133-D132)</f>
        <v/>
      </c>
      <c r="E267" s="21">
        <f>100*(E133-E132)</f>
        <v/>
      </c>
      <c r="F267" s="21">
        <f>100*(F133-F132)</f>
        <v/>
      </c>
      <c r="G267" s="21">
        <f>100*(G133-G132)</f>
        <v/>
      </c>
      <c r="H267" s="21">
        <f>100*(H133-H132)</f>
        <v/>
      </c>
      <c r="I267" s="21">
        <f>100*(I133-I132)</f>
        <v/>
      </c>
      <c r="J267" s="21">
        <f>100*(J133-J132)</f>
        <v/>
      </c>
      <c r="K267" s="21">
        <f>100*(K133-K132)</f>
        <v/>
      </c>
      <c r="L267" s="21">
        <f>100*(L133-L132)</f>
        <v/>
      </c>
      <c r="M267" s="21">
        <f>100*(M133-M132)</f>
        <v/>
      </c>
      <c r="N267" s="21">
        <f>100*(N133-N132)</f>
        <v/>
      </c>
      <c r="O267" s="21">
        <f>100*(O133-O132)</f>
        <v/>
      </c>
      <c r="P267" s="21">
        <f>100*(P133-P132)</f>
        <v/>
      </c>
      <c r="Q267" s="21">
        <f>100*(Q133-Q132)</f>
        <v/>
      </c>
      <c r="R267" s="21">
        <f>100*(R133-R132)</f>
        <v/>
      </c>
      <c r="S267" s="21">
        <f>100*(S133-S132)</f>
        <v/>
      </c>
      <c r="T267" s="21">
        <f>100*(T133-T132)</f>
        <v/>
      </c>
      <c r="U267" s="21">
        <f>100*(U133-U132)</f>
        <v/>
      </c>
      <c r="V267" s="21">
        <f>100*(V133-V132)</f>
        <v/>
      </c>
      <c r="W267" s="21">
        <f>100*(W133-W132)</f>
        <v/>
      </c>
      <c r="X267" s="21">
        <f>100*(X133-X132)</f>
        <v/>
      </c>
      <c r="Y267" s="21">
        <f>100*(Y133-Y132)</f>
        <v/>
      </c>
      <c r="Z267" s="21">
        <f>100*(Z133-Z132)</f>
        <v/>
      </c>
      <c r="AA267" s="21">
        <f>100*(AA133-AA132)</f>
        <v/>
      </c>
      <c r="AB267" s="21">
        <f>100*(AB133-AB132)</f>
        <v/>
      </c>
      <c r="AC267" s="21">
        <f>100*(AC133-AC132)</f>
        <v/>
      </c>
      <c r="AD267" s="21">
        <f>100*(AD133-AD132)</f>
        <v/>
      </c>
      <c r="AE267" s="21">
        <f>100*(AE133-AE132)</f>
        <v/>
      </c>
      <c r="AF267" s="21">
        <f>100*(AF133-AF132)</f>
        <v/>
      </c>
      <c r="AG267" s="21">
        <f>100*(AG133-AG132)</f>
        <v/>
      </c>
      <c r="AH267" s="21">
        <f>100*(AH133-AH132)</f>
        <v/>
      </c>
      <c r="AI267" s="21">
        <f>100*(AI133-AI132)</f>
        <v/>
      </c>
      <c r="AJ267" s="21">
        <f>100*(AJ133-AJ132)</f>
        <v/>
      </c>
      <c r="AK267" s="21">
        <f>100*(AK133-AK132)</f>
        <v/>
      </c>
      <c r="AL267" s="21">
        <f>AVERAGE(C267:AK267)</f>
        <v/>
      </c>
    </row>
    <row r="268">
      <c r="A268" s="19">
        <f>A134</f>
        <v/>
      </c>
      <c r="B268" s="20">
        <f>B134</f>
        <v/>
      </c>
      <c r="C268" s="21">
        <f>100*(C134-C133)</f>
        <v/>
      </c>
      <c r="D268" s="21">
        <f>100*(D134-D133)</f>
        <v/>
      </c>
      <c r="E268" s="21">
        <f>100*(E134-E133)</f>
        <v/>
      </c>
      <c r="F268" s="21">
        <f>100*(F134-F133)</f>
        <v/>
      </c>
      <c r="G268" s="21">
        <f>100*(G134-G133)</f>
        <v/>
      </c>
      <c r="H268" s="21">
        <f>100*(H134-H133)</f>
        <v/>
      </c>
      <c r="I268" s="21">
        <f>100*(I134-I133)</f>
        <v/>
      </c>
      <c r="J268" s="21">
        <f>100*(J134-J133)</f>
        <v/>
      </c>
      <c r="K268" s="21">
        <f>100*(K134-K133)</f>
        <v/>
      </c>
      <c r="L268" s="21">
        <f>100*(L134-L133)</f>
        <v/>
      </c>
      <c r="M268" s="21">
        <f>100*(M134-M133)</f>
        <v/>
      </c>
      <c r="N268" s="21">
        <f>100*(N134-N133)</f>
        <v/>
      </c>
      <c r="O268" s="21">
        <f>100*(O134-O133)</f>
        <v/>
      </c>
      <c r="P268" s="21">
        <f>100*(P134-P133)</f>
        <v/>
      </c>
      <c r="Q268" s="21">
        <f>100*(Q134-Q133)</f>
        <v/>
      </c>
      <c r="R268" s="21">
        <f>100*(R134-R133)</f>
        <v/>
      </c>
      <c r="S268" s="21">
        <f>100*(S134-S133)</f>
        <v/>
      </c>
      <c r="T268" s="21">
        <f>100*(T134-T133)</f>
        <v/>
      </c>
      <c r="U268" s="21">
        <f>100*(U134-U133)</f>
        <v/>
      </c>
      <c r="V268" s="21">
        <f>100*(V134-V133)</f>
        <v/>
      </c>
      <c r="W268" s="21">
        <f>100*(W134-W133)</f>
        <v/>
      </c>
      <c r="X268" s="21">
        <f>100*(X134-X133)</f>
        <v/>
      </c>
      <c r="Y268" s="21">
        <f>100*(Y134-Y133)</f>
        <v/>
      </c>
      <c r="Z268" s="21">
        <f>100*(Z134-Z133)</f>
        <v/>
      </c>
      <c r="AA268" s="21">
        <f>100*(AA134-AA133)</f>
        <v/>
      </c>
      <c r="AB268" s="21">
        <f>100*(AB134-AB133)</f>
        <v/>
      </c>
      <c r="AC268" s="21">
        <f>100*(AC134-AC133)</f>
        <v/>
      </c>
      <c r="AD268" s="21">
        <f>100*(AD134-AD133)</f>
        <v/>
      </c>
      <c r="AE268" s="21">
        <f>100*(AE134-AE133)</f>
        <v/>
      </c>
      <c r="AF268" s="21">
        <f>100*(AF134-AF133)</f>
        <v/>
      </c>
      <c r="AG268" s="21">
        <f>100*(AG134-AG133)</f>
        <v/>
      </c>
      <c r="AH268" s="21">
        <f>100*(AH134-AH133)</f>
        <v/>
      </c>
      <c r="AI268" s="21">
        <f>100*(AI134-AI133)</f>
        <v/>
      </c>
      <c r="AJ268" s="21">
        <f>100*(AJ134-AJ133)</f>
        <v/>
      </c>
      <c r="AK268" s="21">
        <f>100*(AK134-AK133)</f>
        <v/>
      </c>
      <c r="AL268" s="21">
        <f>AVERAGE(C268:AK268)</f>
        <v/>
      </c>
    </row>
    <row r="269">
      <c r="A269" s="19">
        <f>A135</f>
        <v/>
      </c>
      <c r="B269" s="20">
        <f>B135</f>
        <v/>
      </c>
      <c r="C269" s="21">
        <f>100*(C135-C134)</f>
        <v/>
      </c>
      <c r="D269" s="21">
        <f>100*(D135-D134)</f>
        <v/>
      </c>
      <c r="E269" s="21">
        <f>100*(E135-E134)</f>
        <v/>
      </c>
      <c r="F269" s="21">
        <f>100*(F135-F134)</f>
        <v/>
      </c>
      <c r="G269" s="21">
        <f>100*(G135-G134)</f>
        <v/>
      </c>
      <c r="H269" s="21">
        <f>100*(H135-H134)</f>
        <v/>
      </c>
      <c r="I269" s="21">
        <f>100*(I135-I134)</f>
        <v/>
      </c>
      <c r="J269" s="21">
        <f>100*(J135-J134)</f>
        <v/>
      </c>
      <c r="K269" s="21">
        <f>100*(K135-K134)</f>
        <v/>
      </c>
      <c r="L269" s="21">
        <f>100*(L135-L134)</f>
        <v/>
      </c>
      <c r="M269" s="21">
        <f>100*(M135-M134)</f>
        <v/>
      </c>
      <c r="N269" s="21">
        <f>100*(N135-N134)</f>
        <v/>
      </c>
      <c r="O269" s="21">
        <f>100*(O135-O134)</f>
        <v/>
      </c>
      <c r="P269" s="21">
        <f>100*(P135-P134)</f>
        <v/>
      </c>
      <c r="Q269" s="21">
        <f>100*(Q135-Q134)</f>
        <v/>
      </c>
      <c r="R269" s="21">
        <f>100*(R135-R134)</f>
        <v/>
      </c>
      <c r="S269" s="21">
        <f>100*(S135-S134)</f>
        <v/>
      </c>
      <c r="T269" s="21">
        <f>100*(T135-T134)</f>
        <v/>
      </c>
      <c r="U269" s="21">
        <f>100*(U135-U134)</f>
        <v/>
      </c>
      <c r="V269" s="21">
        <f>100*(V135-V134)</f>
        <v/>
      </c>
      <c r="W269" s="21">
        <f>100*(W135-W134)</f>
        <v/>
      </c>
      <c r="X269" s="21">
        <f>100*(X135-X134)</f>
        <v/>
      </c>
      <c r="Y269" s="21">
        <f>100*(Y135-Y134)</f>
        <v/>
      </c>
      <c r="Z269" s="21">
        <f>100*(Z135-Z134)</f>
        <v/>
      </c>
      <c r="AA269" s="21">
        <f>100*(AA135-AA134)</f>
        <v/>
      </c>
      <c r="AB269" s="21">
        <f>100*(AB135-AB134)</f>
        <v/>
      </c>
      <c r="AC269" s="21">
        <f>100*(AC135-AC134)</f>
        <v/>
      </c>
      <c r="AD269" s="21">
        <f>100*(AD135-AD134)</f>
        <v/>
      </c>
      <c r="AE269" s="21">
        <f>100*(AE135-AE134)</f>
        <v/>
      </c>
      <c r="AF269" s="21">
        <f>100*(AF135-AF134)</f>
        <v/>
      </c>
      <c r="AG269" s="21">
        <f>100*(AG135-AG134)</f>
        <v/>
      </c>
      <c r="AH269" s="21">
        <f>100*(AH135-AH134)</f>
        <v/>
      </c>
      <c r="AI269" s="21">
        <f>100*(AI135-AI134)</f>
        <v/>
      </c>
      <c r="AJ269" s="21">
        <f>100*(AJ135-AJ134)</f>
        <v/>
      </c>
      <c r="AK269" s="21">
        <f>100*(AK135-AK134)</f>
        <v/>
      </c>
      <c r="AL269" s="21">
        <f>AVERAGE(C269:AK269)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5" t="inlineStr">
        <is>
          <t>A1: 1¼% Treasury Gilt 2018, auction 06 Aug 2013 - M2 with control B-β (decision #13)</t>
        </is>
      </c>
    </row>
    <row r="3">
      <c r="A3" s="3" t="inlineStr">
        <is>
          <t>k</t>
        </is>
      </c>
      <c r="B3" s="3" t="inlineStr">
        <is>
          <t>Date</t>
        </is>
      </c>
      <c r="C3" s="3" t="inlineStr">
        <is>
          <t>Model yield y (%)</t>
        </is>
      </c>
      <c r="D3" s="3" t="inlineStr">
        <is>
          <t>Δy (bp)</t>
        </is>
      </c>
      <c r="E3" s="3" t="inlineStr">
        <is>
          <t>Δc (bp), from control sheet</t>
        </is>
      </c>
      <c r="F3" s="3" t="inlineStr">
        <is>
          <t>In β window (1/0)</t>
        </is>
      </c>
      <c r="G3" s="3" t="inlineStr">
        <is>
          <t>AR B-β = Δy - β·Δc</t>
        </is>
      </c>
      <c r="H3" s="3" t="inlineStr">
        <is>
          <t>CAR B-β (base T-6)</t>
        </is>
      </c>
      <c r="I3" s="3" t="inlineStr">
        <is>
          <t>AR B (β = 1)</t>
        </is>
      </c>
      <c r="J3" s="3" t="inlineStr">
        <is>
          <t>CAR B</t>
        </is>
      </c>
      <c r="K3" s="3" t="inlineStr">
        <is>
          <t>Raw cumulative Δy</t>
        </is>
      </c>
    </row>
    <row r="4">
      <c r="A4" s="9" t="n">
        <v>-121</v>
      </c>
      <c r="B4" s="7" t="n">
        <v>41317</v>
      </c>
      <c r="C4" s="14" t="n">
        <v>1.1533277857</v>
      </c>
      <c r="F4" s="9" t="n">
        <v>0</v>
      </c>
    </row>
    <row r="5">
      <c r="A5" s="9" t="n">
        <v>-120</v>
      </c>
      <c r="B5" s="7" t="n">
        <v>41318</v>
      </c>
      <c r="C5" s="14" t="n">
        <v>1.23101339584</v>
      </c>
      <c r="D5" s="21">
        <f>100*(C5-C4)</f>
        <v/>
      </c>
      <c r="E5" s="22">
        <f>'A1 control'!AL139</f>
        <v/>
      </c>
      <c r="F5" s="9" t="n">
        <v>1</v>
      </c>
    </row>
    <row r="6">
      <c r="A6" s="9" t="n">
        <v>-119</v>
      </c>
      <c r="B6" s="7" t="n">
        <v>41319</v>
      </c>
      <c r="C6" s="14" t="n">
        <v>1.20223388206</v>
      </c>
      <c r="D6" s="21">
        <f>100*(C6-C5)</f>
        <v/>
      </c>
      <c r="E6" s="22">
        <f>'A1 control'!AL140</f>
        <v/>
      </c>
      <c r="F6" s="9" t="n">
        <v>1</v>
      </c>
    </row>
    <row r="7">
      <c r="A7" s="9" t="n">
        <v>-118</v>
      </c>
      <c r="B7" s="7" t="n">
        <v>41320</v>
      </c>
      <c r="C7" s="14" t="n">
        <v>1.20606017834</v>
      </c>
      <c r="D7" s="21">
        <f>100*(C7-C6)</f>
        <v/>
      </c>
      <c r="E7" s="22">
        <f>'A1 control'!AL141</f>
        <v/>
      </c>
      <c r="F7" s="9" t="n">
        <v>1</v>
      </c>
    </row>
    <row r="8">
      <c r="A8" s="9" t="n">
        <v>-117</v>
      </c>
      <c r="B8" s="7" t="n">
        <v>41323</v>
      </c>
      <c r="C8" s="14" t="n">
        <v>1.20540041607</v>
      </c>
      <c r="D8" s="21">
        <f>100*(C8-C7)</f>
        <v/>
      </c>
      <c r="E8" s="22">
        <f>'A1 control'!AL142</f>
        <v/>
      </c>
      <c r="F8" s="9" t="n">
        <v>1</v>
      </c>
    </row>
    <row r="9">
      <c r="A9" s="9" t="n">
        <v>-116</v>
      </c>
      <c r="B9" s="7" t="n">
        <v>41324</v>
      </c>
      <c r="C9" s="14" t="n">
        <v>1.19159553408</v>
      </c>
      <c r="D9" s="21">
        <f>100*(C9-C8)</f>
        <v/>
      </c>
      <c r="E9" s="22">
        <f>'A1 control'!AL143</f>
        <v/>
      </c>
      <c r="F9" s="9" t="n">
        <v>1</v>
      </c>
    </row>
    <row r="10">
      <c r="A10" s="9" t="n">
        <v>-115</v>
      </c>
      <c r="B10" s="7" t="n">
        <v>41325</v>
      </c>
      <c r="C10" s="14" t="n">
        <v>1.17468388177</v>
      </c>
      <c r="D10" s="21">
        <f>100*(C10-C9)</f>
        <v/>
      </c>
      <c r="E10" s="22">
        <f>'A1 control'!AL144</f>
        <v/>
      </c>
      <c r="F10" s="9" t="n">
        <v>1</v>
      </c>
    </row>
    <row r="11">
      <c r="A11" s="9" t="n">
        <v>-114</v>
      </c>
      <c r="B11" s="7" t="n">
        <v>41326</v>
      </c>
      <c r="C11" s="14" t="n">
        <v>1.09755574382</v>
      </c>
      <c r="D11" s="21">
        <f>100*(C11-C10)</f>
        <v/>
      </c>
      <c r="E11" s="22">
        <f>'A1 control'!AL145</f>
        <v/>
      </c>
      <c r="F11" s="9" t="n">
        <v>1</v>
      </c>
    </row>
    <row r="12">
      <c r="A12" s="9" t="n">
        <v>-113</v>
      </c>
      <c r="B12" s="7" t="n">
        <v>41327</v>
      </c>
      <c r="C12" s="14" t="n">
        <v>1.10741659814</v>
      </c>
      <c r="D12" s="21">
        <f>100*(C12-C11)</f>
        <v/>
      </c>
      <c r="E12" s="22">
        <f>'A1 control'!AL146</f>
        <v/>
      </c>
      <c r="F12" s="9" t="n">
        <v>1</v>
      </c>
    </row>
    <row r="13">
      <c r="A13" s="9" t="n">
        <v>-112</v>
      </c>
      <c r="B13" s="7" t="n">
        <v>41330</v>
      </c>
      <c r="C13" s="14" t="n">
        <v>1.0754335339</v>
      </c>
      <c r="D13" s="21">
        <f>100*(C13-C12)</f>
        <v/>
      </c>
      <c r="E13" s="22">
        <f>'A1 control'!AL147</f>
        <v/>
      </c>
      <c r="F13" s="9" t="n">
        <v>1</v>
      </c>
    </row>
    <row r="14">
      <c r="A14" s="9" t="n">
        <v>-111</v>
      </c>
      <c r="B14" s="7" t="n">
        <v>41331</v>
      </c>
      <c r="C14" s="14" t="n">
        <v>1.00115336511</v>
      </c>
      <c r="D14" s="21">
        <f>100*(C14-C13)</f>
        <v/>
      </c>
      <c r="E14" s="22">
        <f>'A1 control'!AL148</f>
        <v/>
      </c>
      <c r="F14" s="9" t="n">
        <v>1</v>
      </c>
    </row>
    <row r="15">
      <c r="A15" s="9" t="n">
        <v>-110</v>
      </c>
      <c r="B15" s="7" t="n">
        <v>41332</v>
      </c>
      <c r="C15" s="14" t="n">
        <v>1.00490876975</v>
      </c>
      <c r="D15" s="21">
        <f>100*(C15-C14)</f>
        <v/>
      </c>
      <c r="E15" s="22">
        <f>'A1 control'!AL149</f>
        <v/>
      </c>
      <c r="F15" s="9" t="n">
        <v>1</v>
      </c>
    </row>
    <row r="16">
      <c r="A16" s="9" t="n">
        <v>-109</v>
      </c>
      <c r="B16" s="7" t="n">
        <v>41333</v>
      </c>
      <c r="C16" s="14" t="n">
        <v>1.01600473898</v>
      </c>
      <c r="D16" s="21">
        <f>100*(C16-C15)</f>
        <v/>
      </c>
      <c r="E16" s="22">
        <f>'A1 control'!AL150</f>
        <v/>
      </c>
      <c r="F16" s="9" t="n">
        <v>1</v>
      </c>
    </row>
    <row r="17">
      <c r="A17" s="9" t="n">
        <v>-108</v>
      </c>
      <c r="B17" s="7" t="n">
        <v>41334</v>
      </c>
      <c r="C17" s="14" t="n">
        <v>0.937480584021</v>
      </c>
      <c r="D17" s="21">
        <f>100*(C17-C16)</f>
        <v/>
      </c>
      <c r="E17" s="22">
        <f>'A1 control'!AL151</f>
        <v/>
      </c>
      <c r="F17" s="9" t="n">
        <v>1</v>
      </c>
    </row>
    <row r="18">
      <c r="A18" s="9" t="n">
        <v>-107</v>
      </c>
      <c r="B18" s="7" t="n">
        <v>41337</v>
      </c>
      <c r="C18" s="14" t="n">
        <v>0.965790124318</v>
      </c>
      <c r="D18" s="21">
        <f>100*(C18-C17)</f>
        <v/>
      </c>
      <c r="E18" s="22">
        <f>'A1 control'!AL152</f>
        <v/>
      </c>
      <c r="F18" s="9" t="n">
        <v>1</v>
      </c>
    </row>
    <row r="19">
      <c r="A19" s="9" t="n">
        <v>-106</v>
      </c>
      <c r="B19" s="7" t="n">
        <v>41338</v>
      </c>
      <c r="C19" s="14" t="n">
        <v>1.00027940851</v>
      </c>
      <c r="D19" s="21">
        <f>100*(C19-C18)</f>
        <v/>
      </c>
      <c r="E19" s="22">
        <f>'A1 control'!AL153</f>
        <v/>
      </c>
      <c r="F19" s="9" t="n">
        <v>1</v>
      </c>
    </row>
    <row r="20">
      <c r="A20" s="9" t="n">
        <v>-105</v>
      </c>
      <c r="B20" s="7" t="n">
        <v>41339</v>
      </c>
      <c r="C20" s="14" t="n">
        <v>0.979819930112</v>
      </c>
      <c r="D20" s="21">
        <f>100*(C20-C19)</f>
        <v/>
      </c>
      <c r="E20" s="22">
        <f>'A1 control'!AL154</f>
        <v/>
      </c>
      <c r="F20" s="9" t="n">
        <v>1</v>
      </c>
    </row>
    <row r="21">
      <c r="A21" s="9" t="n">
        <v>-104</v>
      </c>
      <c r="B21" s="7" t="n">
        <v>41340</v>
      </c>
      <c r="C21" s="14" t="n">
        <v>1.02524214016</v>
      </c>
      <c r="D21" s="21">
        <f>100*(C21-C20)</f>
        <v/>
      </c>
      <c r="E21" s="22">
        <f>'A1 control'!AL155</f>
        <v/>
      </c>
      <c r="F21" s="9" t="n">
        <v>1</v>
      </c>
    </row>
    <row r="22">
      <c r="A22" s="9" t="n">
        <v>-103</v>
      </c>
      <c r="B22" s="7" t="n">
        <v>41341</v>
      </c>
      <c r="C22" s="14" t="n">
        <v>1.05577479969</v>
      </c>
      <c r="D22" s="21">
        <f>100*(C22-C21)</f>
        <v/>
      </c>
      <c r="E22" s="22">
        <f>'A1 control'!AL156</f>
        <v/>
      </c>
      <c r="F22" s="9" t="n">
        <v>1</v>
      </c>
    </row>
    <row r="23">
      <c r="A23" s="9" t="n">
        <v>-102</v>
      </c>
      <c r="B23" s="7" t="n">
        <v>41344</v>
      </c>
      <c r="C23" s="14" t="n">
        <v>1.01295234788</v>
      </c>
      <c r="D23" s="21">
        <f>100*(C23-C22)</f>
        <v/>
      </c>
      <c r="E23" s="22">
        <f>'A1 control'!AL157</f>
        <v/>
      </c>
      <c r="F23" s="9" t="n">
        <v>1</v>
      </c>
    </row>
    <row r="24">
      <c r="A24" s="9" t="n">
        <v>-101</v>
      </c>
      <c r="B24" s="7" t="n">
        <v>41345</v>
      </c>
      <c r="C24" s="14" t="n">
        <v>0.968871296456</v>
      </c>
      <c r="D24" s="21">
        <f>100*(C24-C23)</f>
        <v/>
      </c>
      <c r="E24" s="22">
        <f>'A1 control'!AL158</f>
        <v/>
      </c>
      <c r="F24" s="9" t="n">
        <v>1</v>
      </c>
    </row>
    <row r="25">
      <c r="A25" s="9" t="n">
        <v>-100</v>
      </c>
      <c r="B25" s="7" t="n">
        <v>41346</v>
      </c>
      <c r="C25" s="14" t="n">
        <v>0.972749486783</v>
      </c>
      <c r="D25" s="21">
        <f>100*(C25-C24)</f>
        <v/>
      </c>
      <c r="E25" s="22">
        <f>'A1 control'!AL159</f>
        <v/>
      </c>
      <c r="F25" s="9" t="n">
        <v>1</v>
      </c>
    </row>
    <row r="26">
      <c r="A26" s="9" t="n">
        <v>-99</v>
      </c>
      <c r="B26" s="7" t="n">
        <v>41347</v>
      </c>
      <c r="C26" s="14" t="n">
        <v>0.966868229727</v>
      </c>
      <c r="D26" s="21">
        <f>100*(C26-C25)</f>
        <v/>
      </c>
      <c r="E26" s="22">
        <f>'A1 control'!AL160</f>
        <v/>
      </c>
      <c r="F26" s="9" t="n">
        <v>1</v>
      </c>
    </row>
    <row r="27">
      <c r="A27" s="9" t="n">
        <v>-98</v>
      </c>
      <c r="B27" s="7" t="n">
        <v>41348</v>
      </c>
      <c r="C27" s="14" t="n">
        <v>0.948335133136</v>
      </c>
      <c r="D27" s="21">
        <f>100*(C27-C26)</f>
        <v/>
      </c>
      <c r="E27" s="22">
        <f>'A1 control'!AL161</f>
        <v/>
      </c>
      <c r="F27" s="9" t="n">
        <v>1</v>
      </c>
    </row>
    <row r="28">
      <c r="A28" s="9" t="n">
        <v>-97</v>
      </c>
      <c r="B28" s="7" t="n">
        <v>41351</v>
      </c>
      <c r="C28" s="14" t="n">
        <v>0.9087879191679999</v>
      </c>
      <c r="D28" s="21">
        <f>100*(C28-C27)</f>
        <v/>
      </c>
      <c r="E28" s="22">
        <f>'A1 control'!AL162</f>
        <v/>
      </c>
      <c r="F28" s="9" t="n">
        <v>1</v>
      </c>
    </row>
    <row r="29">
      <c r="A29" s="9" t="n">
        <v>-96</v>
      </c>
      <c r="B29" s="7" t="n">
        <v>41352</v>
      </c>
      <c r="C29" s="14" t="n">
        <v>0.858869597466</v>
      </c>
      <c r="D29" s="21">
        <f>100*(C29-C28)</f>
        <v/>
      </c>
      <c r="E29" s="22">
        <f>'A1 control'!AL163</f>
        <v/>
      </c>
      <c r="F29" s="9" t="n">
        <v>1</v>
      </c>
    </row>
    <row r="30">
      <c r="A30" s="9" t="n">
        <v>-95</v>
      </c>
      <c r="B30" s="7" t="n">
        <v>41353</v>
      </c>
      <c r="C30" s="14" t="n">
        <v>0.876632419345</v>
      </c>
      <c r="D30" s="21">
        <f>100*(C30-C29)</f>
        <v/>
      </c>
      <c r="E30" s="22">
        <f>'A1 control'!AL164</f>
        <v/>
      </c>
      <c r="F30" s="9" t="n">
        <v>1</v>
      </c>
    </row>
    <row r="31">
      <c r="A31" s="9" t="n">
        <v>-94</v>
      </c>
      <c r="B31" s="7" t="n">
        <v>41354</v>
      </c>
      <c r="C31" s="14" t="n">
        <v>0.874277876185</v>
      </c>
      <c r="D31" s="21">
        <f>100*(C31-C30)</f>
        <v/>
      </c>
      <c r="E31" s="22">
        <f>'A1 control'!AL165</f>
        <v/>
      </c>
      <c r="F31" s="9" t="n">
        <v>1</v>
      </c>
    </row>
    <row r="32">
      <c r="A32" s="9" t="n">
        <v>-93</v>
      </c>
      <c r="B32" s="7" t="n">
        <v>41355</v>
      </c>
      <c r="C32" s="14" t="n">
        <v>0.874986863156</v>
      </c>
      <c r="D32" s="21">
        <f>100*(C32-C31)</f>
        <v/>
      </c>
      <c r="E32" s="22">
        <f>'A1 control'!AL166</f>
        <v/>
      </c>
      <c r="F32" s="9" t="n">
        <v>1</v>
      </c>
    </row>
    <row r="33">
      <c r="A33" s="9" t="n">
        <v>-92</v>
      </c>
      <c r="B33" s="7" t="n">
        <v>41358</v>
      </c>
      <c r="C33" s="14" t="n">
        <v>0.837016771681</v>
      </c>
      <c r="D33" s="21">
        <f>100*(C33-C32)</f>
        <v/>
      </c>
      <c r="E33" s="22">
        <f>'A1 control'!AL167</f>
        <v/>
      </c>
      <c r="F33" s="9" t="n">
        <v>1</v>
      </c>
    </row>
    <row r="34">
      <c r="A34" s="9" t="n">
        <v>-91</v>
      </c>
      <c r="B34" s="7" t="n">
        <v>41359</v>
      </c>
      <c r="C34" s="14" t="n">
        <v>0.835663311539</v>
      </c>
      <c r="D34" s="21">
        <f>100*(C34-C33)</f>
        <v/>
      </c>
      <c r="E34" s="22">
        <f>'A1 control'!AL168</f>
        <v/>
      </c>
      <c r="F34" s="9" t="n">
        <v>1</v>
      </c>
    </row>
    <row r="35">
      <c r="A35" s="9" t="n">
        <v>-90</v>
      </c>
      <c r="B35" s="7" t="n">
        <v>41360</v>
      </c>
      <c r="C35" s="14" t="n">
        <v>0.783416121182</v>
      </c>
      <c r="D35" s="21">
        <f>100*(C35-C34)</f>
        <v/>
      </c>
      <c r="E35" s="22">
        <f>'A1 control'!AL169</f>
        <v/>
      </c>
      <c r="F35" s="9" t="n">
        <v>1</v>
      </c>
    </row>
    <row r="36">
      <c r="A36" s="9" t="n">
        <v>-89</v>
      </c>
      <c r="B36" s="7" t="n">
        <v>41361</v>
      </c>
      <c r="C36" s="14" t="n">
        <v>0.820408622246</v>
      </c>
      <c r="D36" s="21">
        <f>100*(C36-C35)</f>
        <v/>
      </c>
      <c r="E36" s="22">
        <f>'A1 control'!AL170</f>
        <v/>
      </c>
      <c r="F36" s="9" t="n">
        <v>1</v>
      </c>
    </row>
    <row r="37">
      <c r="A37" s="9" t="n">
        <v>-88</v>
      </c>
      <c r="B37" s="7" t="n">
        <v>41366</v>
      </c>
      <c r="C37" s="14" t="n">
        <v>0.824955411117</v>
      </c>
      <c r="D37" s="21">
        <f>100*(C37-C36)</f>
        <v/>
      </c>
      <c r="E37" s="22">
        <f>'A1 control'!AL171</f>
        <v/>
      </c>
      <c r="F37" s="9" t="n">
        <v>1</v>
      </c>
    </row>
    <row r="38">
      <c r="A38" s="9" t="n">
        <v>-87</v>
      </c>
      <c r="B38" s="7" t="n">
        <v>41367</v>
      </c>
      <c r="C38" s="14" t="n">
        <v>0.803609232346</v>
      </c>
      <c r="D38" s="21">
        <f>100*(C38-C37)</f>
        <v/>
      </c>
      <c r="E38" s="22">
        <f>'A1 control'!AL172</f>
        <v/>
      </c>
      <c r="F38" s="9" t="n">
        <v>1</v>
      </c>
    </row>
    <row r="39">
      <c r="A39" s="9" t="n">
        <v>-86</v>
      </c>
      <c r="B39" s="7" t="n">
        <v>41368</v>
      </c>
      <c r="C39" s="14" t="n">
        <v>0.779385477983</v>
      </c>
      <c r="D39" s="21">
        <f>100*(C39-C38)</f>
        <v/>
      </c>
      <c r="E39" s="22">
        <f>'A1 control'!AL173</f>
        <v/>
      </c>
      <c r="F39" s="9" t="n">
        <v>1</v>
      </c>
    </row>
    <row r="40">
      <c r="A40" s="9" t="n">
        <v>-85</v>
      </c>
      <c r="B40" s="7" t="n">
        <v>41369</v>
      </c>
      <c r="C40" s="14" t="n">
        <v>0.726635476872</v>
      </c>
      <c r="D40" s="21">
        <f>100*(C40-C39)</f>
        <v/>
      </c>
      <c r="E40" s="22">
        <f>'A1 control'!AL174</f>
        <v/>
      </c>
      <c r="F40" s="9" t="n">
        <v>1</v>
      </c>
    </row>
    <row r="41">
      <c r="A41" s="9" t="n">
        <v>-84</v>
      </c>
      <c r="B41" s="7" t="n">
        <v>41372</v>
      </c>
      <c r="C41" s="14" t="n">
        <v>0.7824647955239999</v>
      </c>
      <c r="D41" s="21">
        <f>100*(C41-C40)</f>
        <v/>
      </c>
      <c r="E41" s="22">
        <f>'A1 control'!AL175</f>
        <v/>
      </c>
      <c r="F41" s="9" t="n">
        <v>1</v>
      </c>
    </row>
    <row r="42">
      <c r="A42" s="9" t="n">
        <v>-83</v>
      </c>
      <c r="B42" s="7" t="n">
        <v>41373</v>
      </c>
      <c r="C42" s="14" t="n">
        <v>0.808922472137</v>
      </c>
      <c r="D42" s="21">
        <f>100*(C42-C41)</f>
        <v/>
      </c>
      <c r="E42" s="22">
        <f>'A1 control'!AL176</f>
        <v/>
      </c>
      <c r="F42" s="9" t="n">
        <v>1</v>
      </c>
    </row>
    <row r="43">
      <c r="A43" s="9" t="n">
        <v>-82</v>
      </c>
      <c r="B43" s="7" t="n">
        <v>41374</v>
      </c>
      <c r="C43" s="14" t="n">
        <v>0.848373009114</v>
      </c>
      <c r="D43" s="21">
        <f>100*(C43-C42)</f>
        <v/>
      </c>
      <c r="E43" s="22">
        <f>'A1 control'!AL177</f>
        <v/>
      </c>
      <c r="F43" s="9" t="n">
        <v>1</v>
      </c>
    </row>
    <row r="44">
      <c r="A44" s="9" t="n">
        <v>-81</v>
      </c>
      <c r="B44" s="7" t="n">
        <v>41375</v>
      </c>
      <c r="C44" s="14" t="n">
        <v>0.832736118081</v>
      </c>
      <c r="D44" s="21">
        <f>100*(C44-C43)</f>
        <v/>
      </c>
      <c r="E44" s="22">
        <f>'A1 control'!AL178</f>
        <v/>
      </c>
      <c r="F44" s="9" t="n">
        <v>1</v>
      </c>
    </row>
    <row r="45">
      <c r="A45" s="9" t="n">
        <v>-80</v>
      </c>
      <c r="B45" s="7" t="n">
        <v>41376</v>
      </c>
      <c r="C45" s="14" t="n">
        <v>0.799761332257</v>
      </c>
      <c r="D45" s="21">
        <f>100*(C45-C44)</f>
        <v/>
      </c>
      <c r="E45" s="22">
        <f>'A1 control'!AL179</f>
        <v/>
      </c>
      <c r="F45" s="9" t="n">
        <v>1</v>
      </c>
    </row>
    <row r="46">
      <c r="A46" s="9" t="n">
        <v>-79</v>
      </c>
      <c r="B46" s="7" t="n">
        <v>41379</v>
      </c>
      <c r="C46" s="14" t="n">
        <v>0.784866435449</v>
      </c>
      <c r="D46" s="21">
        <f>100*(C46-C45)</f>
        <v/>
      </c>
      <c r="E46" s="22">
        <f>'A1 control'!AL180</f>
        <v/>
      </c>
      <c r="F46" s="9" t="n">
        <v>1</v>
      </c>
    </row>
    <row r="47">
      <c r="A47" s="9" t="n">
        <v>-78</v>
      </c>
      <c r="B47" s="7" t="n">
        <v>41380</v>
      </c>
      <c r="C47" s="14" t="n">
        <v>0.8092544952189999</v>
      </c>
      <c r="D47" s="21">
        <f>100*(C47-C46)</f>
        <v/>
      </c>
      <c r="E47" s="22">
        <f>'A1 control'!AL181</f>
        <v/>
      </c>
      <c r="F47" s="9" t="n">
        <v>1</v>
      </c>
    </row>
    <row r="48">
      <c r="A48" s="9" t="n">
        <v>-77</v>
      </c>
      <c r="B48" s="7" t="n">
        <v>41381</v>
      </c>
      <c r="C48" s="14" t="n">
        <v>0.77024697912</v>
      </c>
      <c r="D48" s="21">
        <f>100*(C48-C47)</f>
        <v/>
      </c>
      <c r="E48" s="22">
        <f>'A1 control'!AL182</f>
        <v/>
      </c>
      <c r="F48" s="9" t="n">
        <v>1</v>
      </c>
    </row>
    <row r="49">
      <c r="A49" s="9" t="n">
        <v>-76</v>
      </c>
      <c r="B49" s="7" t="n">
        <v>41382</v>
      </c>
      <c r="C49" s="14" t="n">
        <v>0.755042241616</v>
      </c>
      <c r="D49" s="21">
        <f>100*(C49-C48)</f>
        <v/>
      </c>
      <c r="E49" s="22">
        <f>'A1 control'!AL183</f>
        <v/>
      </c>
      <c r="F49" s="9" t="n">
        <v>1</v>
      </c>
    </row>
    <row r="50">
      <c r="A50" s="9" t="n">
        <v>-75</v>
      </c>
      <c r="B50" s="7" t="n">
        <v>41383</v>
      </c>
      <c r="C50" s="14" t="n">
        <v>0.769068768773</v>
      </c>
      <c r="D50" s="21">
        <f>100*(C50-C49)</f>
        <v/>
      </c>
      <c r="E50" s="22">
        <f>'A1 control'!AL184</f>
        <v/>
      </c>
      <c r="F50" s="9" t="n">
        <v>1</v>
      </c>
    </row>
    <row r="51">
      <c r="A51" s="9" t="n">
        <v>-74</v>
      </c>
      <c r="B51" s="7" t="n">
        <v>41386</v>
      </c>
      <c r="C51" s="14" t="n">
        <v>0.762810234653</v>
      </c>
      <c r="D51" s="21">
        <f>100*(C51-C50)</f>
        <v/>
      </c>
      <c r="E51" s="22">
        <f>'A1 control'!AL185</f>
        <v/>
      </c>
      <c r="F51" s="9" t="n">
        <v>1</v>
      </c>
    </row>
    <row r="52">
      <c r="A52" s="9" t="n">
        <v>-73</v>
      </c>
      <c r="B52" s="7" t="n">
        <v>41387</v>
      </c>
      <c r="C52" s="14" t="n">
        <v>0.815779560771</v>
      </c>
      <c r="D52" s="21">
        <f>100*(C52-C51)</f>
        <v/>
      </c>
      <c r="E52" s="22">
        <f>'A1 control'!AL186</f>
        <v/>
      </c>
      <c r="F52" s="9" t="n">
        <v>1</v>
      </c>
    </row>
    <row r="53">
      <c r="A53" s="9" t="n">
        <v>-72</v>
      </c>
      <c r="B53" s="7" t="n">
        <v>41388</v>
      </c>
      <c r="C53" s="14" t="n">
        <v>0.788197462723</v>
      </c>
      <c r="D53" s="21">
        <f>100*(C53-C52)</f>
        <v/>
      </c>
      <c r="E53" s="22">
        <f>'A1 control'!AL187</f>
        <v/>
      </c>
      <c r="F53" s="9" t="n">
        <v>1</v>
      </c>
    </row>
    <row r="54">
      <c r="A54" s="9" t="n">
        <v>-71</v>
      </c>
      <c r="B54" s="7" t="n">
        <v>41389</v>
      </c>
      <c r="C54" s="14" t="n">
        <v>0.822479152744</v>
      </c>
      <c r="D54" s="21">
        <f>100*(C54-C53)</f>
        <v/>
      </c>
      <c r="E54" s="22">
        <f>'A1 control'!AL188</f>
        <v/>
      </c>
      <c r="F54" s="9" t="n">
        <v>1</v>
      </c>
    </row>
    <row r="55">
      <c r="A55" s="9" t="n">
        <v>-70</v>
      </c>
      <c r="B55" s="7" t="n">
        <v>41390</v>
      </c>
      <c r="C55" s="14" t="n">
        <v>0.787322531507</v>
      </c>
      <c r="D55" s="21">
        <f>100*(C55-C54)</f>
        <v/>
      </c>
      <c r="E55" s="22">
        <f>'A1 control'!AL189</f>
        <v/>
      </c>
      <c r="F55" s="9" t="n">
        <v>1</v>
      </c>
    </row>
    <row r="56">
      <c r="A56" s="9" t="n">
        <v>-69</v>
      </c>
      <c r="B56" s="7" t="n">
        <v>41393</v>
      </c>
      <c r="C56" s="14" t="n">
        <v>0.763663809526</v>
      </c>
      <c r="D56" s="21">
        <f>100*(C56-C55)</f>
        <v/>
      </c>
      <c r="E56" s="22">
        <f>'A1 control'!AL190</f>
        <v/>
      </c>
      <c r="F56" s="9" t="n">
        <v>1</v>
      </c>
    </row>
    <row r="57">
      <c r="A57" s="9" t="n">
        <v>-68</v>
      </c>
      <c r="B57" s="7" t="n">
        <v>41394</v>
      </c>
      <c r="C57" s="14" t="n">
        <v>0.775638667363</v>
      </c>
      <c r="D57" s="21">
        <f>100*(C57-C56)</f>
        <v/>
      </c>
      <c r="E57" s="22">
        <f>'A1 control'!AL191</f>
        <v/>
      </c>
      <c r="F57" s="9" t="n">
        <v>1</v>
      </c>
    </row>
    <row r="58">
      <c r="A58" s="9" t="n">
        <v>-67</v>
      </c>
      <c r="B58" s="7" t="n">
        <v>41395</v>
      </c>
      <c r="C58" s="14" t="n">
        <v>0.769741168942</v>
      </c>
      <c r="D58" s="21">
        <f>100*(C58-C57)</f>
        <v/>
      </c>
      <c r="E58" s="22">
        <f>'A1 control'!AL192</f>
        <v/>
      </c>
      <c r="F58" s="9" t="n">
        <v>1</v>
      </c>
    </row>
    <row r="59">
      <c r="A59" s="9" t="n">
        <v>-66</v>
      </c>
      <c r="B59" s="7" t="n">
        <v>41396</v>
      </c>
      <c r="C59" s="14" t="n">
        <v>0.7286882233400001</v>
      </c>
      <c r="D59" s="21">
        <f>100*(C59-C58)</f>
        <v/>
      </c>
      <c r="E59" s="22">
        <f>'A1 control'!AL193</f>
        <v/>
      </c>
      <c r="F59" s="9" t="n">
        <v>1</v>
      </c>
    </row>
    <row r="60">
      <c r="A60" s="9" t="n">
        <v>-65</v>
      </c>
      <c r="B60" s="7" t="n">
        <v>41397</v>
      </c>
      <c r="C60" s="14" t="n">
        <v>0.830142240008</v>
      </c>
      <c r="D60" s="21">
        <f>100*(C60-C59)</f>
        <v/>
      </c>
      <c r="E60" s="22">
        <f>'A1 control'!AL194</f>
        <v/>
      </c>
      <c r="F60" s="9" t="n">
        <v>1</v>
      </c>
    </row>
    <row r="61">
      <c r="A61" s="9" t="n">
        <v>-64</v>
      </c>
      <c r="B61" s="7" t="n">
        <v>41401</v>
      </c>
      <c r="C61" s="14" t="n">
        <v>0.884486261797</v>
      </c>
      <c r="D61" s="21">
        <f>100*(C61-C60)</f>
        <v/>
      </c>
      <c r="E61" s="22">
        <f>'A1 control'!AL195</f>
        <v/>
      </c>
      <c r="F61" s="9" t="n">
        <v>1</v>
      </c>
    </row>
    <row r="62">
      <c r="A62" s="9" t="n">
        <v>-63</v>
      </c>
      <c r="B62" s="7" t="n">
        <v>41402</v>
      </c>
      <c r="C62" s="14" t="n">
        <v>0.861883365013</v>
      </c>
      <c r="D62" s="21">
        <f>100*(C62-C61)</f>
        <v/>
      </c>
      <c r="E62" s="22">
        <f>'A1 control'!AL196</f>
        <v/>
      </c>
      <c r="F62" s="9" t="n">
        <v>1</v>
      </c>
    </row>
    <row r="63">
      <c r="A63" s="9" t="n">
        <v>-62</v>
      </c>
      <c r="B63" s="7" t="n">
        <v>41403</v>
      </c>
      <c r="C63" s="14" t="n">
        <v>0.874386802348</v>
      </c>
      <c r="D63" s="21">
        <f>100*(C63-C62)</f>
        <v/>
      </c>
      <c r="E63" s="22">
        <f>'A1 control'!AL197</f>
        <v/>
      </c>
      <c r="F63" s="9" t="n">
        <v>1</v>
      </c>
    </row>
    <row r="64">
      <c r="A64" s="9" t="n">
        <v>-61</v>
      </c>
      <c r="B64" s="7" t="n">
        <v>41404</v>
      </c>
      <c r="C64" s="14" t="n">
        <v>0.950761569424</v>
      </c>
      <c r="D64" s="21">
        <f>100*(C64-C63)</f>
        <v/>
      </c>
      <c r="E64" s="22">
        <f>'A1 control'!AL198</f>
        <v/>
      </c>
      <c r="F64" s="9" t="n">
        <v>1</v>
      </c>
    </row>
    <row r="65">
      <c r="A65" s="9" t="n">
        <v>-60</v>
      </c>
      <c r="B65" s="7" t="n">
        <v>41407</v>
      </c>
      <c r="C65" s="14" t="n">
        <v>0.943142010165</v>
      </c>
      <c r="D65" s="21">
        <f>100*(C65-C64)</f>
        <v/>
      </c>
      <c r="E65" s="22">
        <f>'A1 control'!AL199</f>
        <v/>
      </c>
      <c r="F65" s="9" t="n">
        <v>1</v>
      </c>
    </row>
    <row r="66">
      <c r="A66" s="9" t="n">
        <v>-59</v>
      </c>
      <c r="B66" s="7" t="n">
        <v>41408</v>
      </c>
      <c r="C66" s="14" t="n">
        <v>0.955874011068</v>
      </c>
      <c r="D66" s="21">
        <f>100*(C66-C65)</f>
        <v/>
      </c>
      <c r="E66" s="22">
        <f>'A1 control'!AL200</f>
        <v/>
      </c>
      <c r="F66" s="9" t="n">
        <v>1</v>
      </c>
    </row>
    <row r="67">
      <c r="A67" s="9" t="n">
        <v>-58</v>
      </c>
      <c r="B67" s="7" t="n">
        <v>41409</v>
      </c>
      <c r="C67" s="14" t="n">
        <v>0.9824331179569999</v>
      </c>
      <c r="D67" s="21">
        <f>100*(C67-C66)</f>
        <v/>
      </c>
      <c r="E67" s="22">
        <f>'A1 control'!AL201</f>
        <v/>
      </c>
      <c r="F67" s="9" t="n">
        <v>1</v>
      </c>
    </row>
    <row r="68">
      <c r="A68" s="9" t="n">
        <v>-57</v>
      </c>
      <c r="B68" s="7" t="n">
        <v>41410</v>
      </c>
      <c r="C68" s="14" t="n">
        <v>0.931193958553</v>
      </c>
      <c r="D68" s="21">
        <f>100*(C68-C67)</f>
        <v/>
      </c>
      <c r="E68" s="22">
        <f>'A1 control'!AL202</f>
        <v/>
      </c>
      <c r="F68" s="9" t="n">
        <v>1</v>
      </c>
    </row>
    <row r="69">
      <c r="A69" s="9" t="n">
        <v>-56</v>
      </c>
      <c r="B69" s="7" t="n">
        <v>41411</v>
      </c>
      <c r="C69" s="14" t="n">
        <v>0.944625067832</v>
      </c>
      <c r="D69" s="21">
        <f>100*(C69-C68)</f>
        <v/>
      </c>
      <c r="E69" s="22">
        <f>'A1 control'!AL203</f>
        <v/>
      </c>
      <c r="F69" s="9" t="n">
        <v>1</v>
      </c>
    </row>
    <row r="70">
      <c r="A70" s="9" t="n">
        <v>-55</v>
      </c>
      <c r="B70" s="7" t="n">
        <v>41414</v>
      </c>
      <c r="C70" s="14" t="n">
        <v>0.965029507138</v>
      </c>
      <c r="D70" s="21">
        <f>100*(C70-C69)</f>
        <v/>
      </c>
      <c r="E70" s="22">
        <f>'A1 control'!AL204</f>
        <v/>
      </c>
      <c r="F70" s="9" t="n">
        <v>1</v>
      </c>
    </row>
    <row r="71">
      <c r="A71" s="9" t="n">
        <v>-54</v>
      </c>
      <c r="B71" s="7" t="n">
        <v>41415</v>
      </c>
      <c r="C71" s="14" t="n">
        <v>0.97580575652</v>
      </c>
      <c r="D71" s="21">
        <f>100*(C71-C70)</f>
        <v/>
      </c>
      <c r="E71" s="22">
        <f>'A1 control'!AL205</f>
        <v/>
      </c>
      <c r="F71" s="9" t="n">
        <v>1</v>
      </c>
    </row>
    <row r="72">
      <c r="A72" s="9" t="n">
        <v>-53</v>
      </c>
      <c r="B72" s="7" t="n">
        <v>41416</v>
      </c>
      <c r="C72" s="14" t="n">
        <v>0.94175325649</v>
      </c>
      <c r="D72" s="21">
        <f>100*(C72-C71)</f>
        <v/>
      </c>
      <c r="E72" s="22">
        <f>'A1 control'!AL206</f>
        <v/>
      </c>
      <c r="F72" s="9" t="n">
        <v>1</v>
      </c>
    </row>
    <row r="73">
      <c r="A73" s="9" t="n">
        <v>-52</v>
      </c>
      <c r="B73" s="7" t="n">
        <v>41417</v>
      </c>
      <c r="C73" s="14" t="n">
        <v>0.960989650501</v>
      </c>
      <c r="D73" s="21">
        <f>100*(C73-C72)</f>
        <v/>
      </c>
      <c r="E73" s="22">
        <f>'A1 control'!AL207</f>
        <v/>
      </c>
      <c r="F73" s="9" t="n">
        <v>1</v>
      </c>
    </row>
    <row r="74">
      <c r="A74" s="9" t="n">
        <v>-51</v>
      </c>
      <c r="B74" s="7" t="n">
        <v>41418</v>
      </c>
      <c r="C74" s="14" t="n">
        <v>0.954669636736</v>
      </c>
      <c r="D74" s="21">
        <f>100*(C74-C73)</f>
        <v/>
      </c>
      <c r="E74" s="22">
        <f>'A1 control'!AL208</f>
        <v/>
      </c>
      <c r="F74" s="9" t="n">
        <v>1</v>
      </c>
    </row>
    <row r="75">
      <c r="A75" s="9" t="n">
        <v>-50</v>
      </c>
      <c r="B75" s="7" t="n">
        <v>41422</v>
      </c>
      <c r="C75" s="14" t="n">
        <v>1.00440198639</v>
      </c>
      <c r="D75" s="21">
        <f>100*(C75-C74)</f>
        <v/>
      </c>
      <c r="E75" s="22">
        <f>'A1 control'!AL209</f>
        <v/>
      </c>
      <c r="F75" s="9" t="n">
        <v>1</v>
      </c>
    </row>
    <row r="76">
      <c r="A76" s="9" t="n">
        <v>-49</v>
      </c>
      <c r="B76" s="7" t="n">
        <v>41423</v>
      </c>
      <c r="C76" s="14" t="n">
        <v>1.04295347955</v>
      </c>
      <c r="D76" s="21">
        <f>100*(C76-C75)</f>
        <v/>
      </c>
      <c r="E76" s="22">
        <f>'A1 control'!AL210</f>
        <v/>
      </c>
      <c r="F76" s="9" t="n">
        <v>1</v>
      </c>
    </row>
    <row r="77">
      <c r="A77" s="9" t="n">
        <v>-48</v>
      </c>
      <c r="B77" s="7" t="n">
        <v>41424</v>
      </c>
      <c r="C77" s="14" t="n">
        <v>1.01399528004</v>
      </c>
      <c r="D77" s="21">
        <f>100*(C77-C76)</f>
        <v/>
      </c>
      <c r="E77" s="22">
        <f>'A1 control'!AL211</f>
        <v/>
      </c>
      <c r="F77" s="9" t="n">
        <v>1</v>
      </c>
    </row>
    <row r="78">
      <c r="A78" s="9" t="n">
        <v>-47</v>
      </c>
      <c r="B78" s="7" t="n">
        <v>41425</v>
      </c>
      <c r="C78" s="14" t="n">
        <v>1.04795587038</v>
      </c>
      <c r="D78" s="21">
        <f>100*(C78-C77)</f>
        <v/>
      </c>
      <c r="E78" s="22">
        <f>'A1 control'!AL212</f>
        <v/>
      </c>
      <c r="F78" s="9" t="n">
        <v>1</v>
      </c>
    </row>
    <row r="79">
      <c r="A79" s="9" t="n">
        <v>-46</v>
      </c>
      <c r="B79" s="7" t="n">
        <v>41428</v>
      </c>
      <c r="C79" s="14" t="n">
        <v>1.04148974905</v>
      </c>
      <c r="D79" s="21">
        <f>100*(C79-C78)</f>
        <v/>
      </c>
      <c r="E79" s="22">
        <f>'A1 control'!AL213</f>
        <v/>
      </c>
      <c r="F79" s="9" t="n">
        <v>1</v>
      </c>
    </row>
    <row r="80">
      <c r="A80" s="9" t="n">
        <v>-45</v>
      </c>
      <c r="B80" s="7" t="n">
        <v>41429</v>
      </c>
      <c r="C80" s="14" t="n">
        <v>1.08019090325</v>
      </c>
      <c r="D80" s="21">
        <f>100*(C80-C79)</f>
        <v/>
      </c>
      <c r="E80" s="22">
        <f>'A1 control'!AL214</f>
        <v/>
      </c>
      <c r="F80" s="9" t="n">
        <v>1</v>
      </c>
    </row>
    <row r="81">
      <c r="A81" s="9" t="n">
        <v>-44</v>
      </c>
      <c r="B81" s="7" t="n">
        <v>41430</v>
      </c>
      <c r="C81" s="14" t="n">
        <v>1.05585203844</v>
      </c>
      <c r="D81" s="21">
        <f>100*(C81-C80)</f>
        <v/>
      </c>
      <c r="E81" s="22">
        <f>'A1 control'!AL215</f>
        <v/>
      </c>
      <c r="F81" s="9" t="n">
        <v>1</v>
      </c>
    </row>
    <row r="82">
      <c r="A82" s="9" t="n">
        <v>-43</v>
      </c>
      <c r="B82" s="7" t="n">
        <v>41431</v>
      </c>
      <c r="C82" s="14" t="n">
        <v>1.07583569227</v>
      </c>
      <c r="D82" s="21">
        <f>100*(C82-C81)</f>
        <v/>
      </c>
      <c r="E82" s="22">
        <f>'A1 control'!AL216</f>
        <v/>
      </c>
      <c r="F82" s="9" t="n">
        <v>1</v>
      </c>
    </row>
    <row r="83">
      <c r="A83" s="9" t="n">
        <v>-42</v>
      </c>
      <c r="B83" s="7" t="n">
        <v>41432</v>
      </c>
      <c r="C83" s="14" t="n">
        <v>1.11922252996</v>
      </c>
      <c r="D83" s="21">
        <f>100*(C83-C82)</f>
        <v/>
      </c>
      <c r="E83" s="22">
        <f>'A1 control'!AL217</f>
        <v/>
      </c>
      <c r="F83" s="9" t="n">
        <v>1</v>
      </c>
    </row>
    <row r="84">
      <c r="A84" s="9" t="n">
        <v>-41</v>
      </c>
      <c r="B84" s="7" t="n">
        <v>41435</v>
      </c>
      <c r="C84" s="14" t="n">
        <v>1.17410582256</v>
      </c>
      <c r="D84" s="21">
        <f>100*(C84-C83)</f>
        <v/>
      </c>
      <c r="E84" s="22">
        <f>'A1 control'!AL218</f>
        <v/>
      </c>
      <c r="F84" s="9" t="n">
        <v>1</v>
      </c>
    </row>
    <row r="85">
      <c r="A85" s="9" t="n">
        <v>-40</v>
      </c>
      <c r="B85" s="7" t="n">
        <v>41436</v>
      </c>
      <c r="C85" s="14" t="n">
        <v>1.26504483942</v>
      </c>
      <c r="D85" s="21">
        <f>100*(C85-C84)</f>
        <v/>
      </c>
      <c r="E85" s="22">
        <f>'A1 control'!AL219</f>
        <v/>
      </c>
      <c r="F85" s="9" t="n">
        <v>1</v>
      </c>
    </row>
    <row r="86">
      <c r="A86" s="9" t="n">
        <v>-39</v>
      </c>
      <c r="B86" s="7" t="n">
        <v>41437</v>
      </c>
      <c r="C86" s="14" t="n">
        <v>1.22393005612</v>
      </c>
      <c r="D86" s="21">
        <f>100*(C86-C85)</f>
        <v/>
      </c>
      <c r="E86" s="22">
        <f>'A1 control'!AL220</f>
        <v/>
      </c>
      <c r="F86" s="9" t="n">
        <v>1</v>
      </c>
    </row>
    <row r="87">
      <c r="A87" s="9" t="n">
        <v>-38</v>
      </c>
      <c r="B87" s="7" t="n">
        <v>41438</v>
      </c>
      <c r="C87" s="14" t="n">
        <v>1.19370220097</v>
      </c>
      <c r="D87" s="21">
        <f>100*(C87-C86)</f>
        <v/>
      </c>
      <c r="E87" s="22">
        <f>'A1 control'!AL221</f>
        <v/>
      </c>
      <c r="F87" s="9" t="n">
        <v>1</v>
      </c>
    </row>
    <row r="88">
      <c r="A88" s="9" t="n">
        <v>-37</v>
      </c>
      <c r="B88" s="7" t="n">
        <v>41439</v>
      </c>
      <c r="C88" s="14" t="n">
        <v>1.14077165771</v>
      </c>
      <c r="D88" s="21">
        <f>100*(C88-C87)</f>
        <v/>
      </c>
      <c r="E88" s="22">
        <f>'A1 control'!AL222</f>
        <v/>
      </c>
      <c r="F88" s="9" t="n">
        <v>1</v>
      </c>
    </row>
    <row r="89">
      <c r="A89" s="9" t="n">
        <v>-36</v>
      </c>
      <c r="B89" s="7" t="n">
        <v>41442</v>
      </c>
      <c r="C89" s="14" t="n">
        <v>1.15349537871</v>
      </c>
      <c r="D89" s="21">
        <f>100*(C89-C88)</f>
        <v/>
      </c>
      <c r="E89" s="22">
        <f>'A1 control'!AL223</f>
        <v/>
      </c>
      <c r="F89" s="9" t="n">
        <v>1</v>
      </c>
    </row>
    <row r="90">
      <c r="A90" s="9" t="n">
        <v>-35</v>
      </c>
      <c r="B90" s="7" t="n">
        <v>41443</v>
      </c>
      <c r="C90" s="14" t="n">
        <v>1.20347460634</v>
      </c>
      <c r="D90" s="21">
        <f>100*(C90-C89)</f>
        <v/>
      </c>
      <c r="E90" s="22">
        <f>'A1 control'!AL224</f>
        <v/>
      </c>
      <c r="F90" s="9" t="n">
        <v>1</v>
      </c>
    </row>
    <row r="91">
      <c r="A91" s="9" t="n">
        <v>-34</v>
      </c>
      <c r="B91" s="7" t="n">
        <v>41444</v>
      </c>
      <c r="C91" s="14" t="n">
        <v>1.19833815641</v>
      </c>
      <c r="D91" s="21">
        <f>100*(C91-C90)</f>
        <v/>
      </c>
      <c r="E91" s="22">
        <f>'A1 control'!AL225</f>
        <v/>
      </c>
      <c r="F91" s="9" t="n">
        <v>1</v>
      </c>
    </row>
    <row r="92">
      <c r="A92" s="9" t="n">
        <v>-33</v>
      </c>
      <c r="B92" s="7" t="n">
        <v>41445</v>
      </c>
      <c r="C92" s="14" t="n">
        <v>1.39264343111</v>
      </c>
      <c r="D92" s="21">
        <f>100*(C92-C91)</f>
        <v/>
      </c>
      <c r="E92" s="22">
        <f>'A1 control'!AL226</f>
        <v/>
      </c>
      <c r="F92" s="9" t="n">
        <v>1</v>
      </c>
    </row>
    <row r="93">
      <c r="A93" s="9" t="n">
        <v>-32</v>
      </c>
      <c r="B93" s="7" t="n">
        <v>41446</v>
      </c>
      <c r="C93" s="14" t="n">
        <v>1.44502817199</v>
      </c>
      <c r="D93" s="21">
        <f>100*(C93-C92)</f>
        <v/>
      </c>
      <c r="E93" s="22">
        <f>'A1 control'!AL227</f>
        <v/>
      </c>
      <c r="F93" s="9" t="n">
        <v>1</v>
      </c>
    </row>
    <row r="94">
      <c r="A94" s="9" t="n">
        <v>-31</v>
      </c>
      <c r="B94" s="7" t="n">
        <v>41449</v>
      </c>
      <c r="C94" s="14" t="n">
        <v>1.61455291714</v>
      </c>
      <c r="D94" s="21">
        <f>100*(C94-C93)</f>
        <v/>
      </c>
      <c r="E94" s="22">
        <f>'A1 control'!AL228</f>
        <v/>
      </c>
      <c r="F94" s="9" t="n">
        <v>1</v>
      </c>
    </row>
    <row r="95">
      <c r="A95" s="9" t="n">
        <v>-30</v>
      </c>
      <c r="B95" s="7" t="n">
        <v>41450</v>
      </c>
      <c r="C95" s="14" t="n">
        <v>1.54159787555</v>
      </c>
      <c r="D95" s="21">
        <f>100*(C95-C94)</f>
        <v/>
      </c>
      <c r="E95" s="22">
        <f>'A1 control'!AL229</f>
        <v/>
      </c>
      <c r="F95" s="9" t="n">
        <v>1</v>
      </c>
    </row>
    <row r="96">
      <c r="A96" s="9" t="n">
        <v>-29</v>
      </c>
      <c r="B96" s="7" t="n">
        <v>41451</v>
      </c>
      <c r="C96" s="14" t="n">
        <v>1.43186587676</v>
      </c>
      <c r="D96" s="21">
        <f>100*(C96-C95)</f>
        <v/>
      </c>
      <c r="E96" s="22">
        <f>'A1 control'!AL230</f>
        <v/>
      </c>
      <c r="F96" s="9" t="n">
        <v>1</v>
      </c>
    </row>
    <row r="97">
      <c r="A97" s="9" t="n">
        <v>-28</v>
      </c>
      <c r="B97" s="7" t="n">
        <v>41452</v>
      </c>
      <c r="C97" s="14" t="n">
        <v>1.41672553525</v>
      </c>
      <c r="D97" s="21">
        <f>100*(C97-C96)</f>
        <v/>
      </c>
      <c r="E97" s="22">
        <f>'A1 control'!AL231</f>
        <v/>
      </c>
      <c r="F97" s="9" t="n">
        <v>1</v>
      </c>
    </row>
    <row r="98">
      <c r="A98" s="9" t="n">
        <v>-27</v>
      </c>
      <c r="B98" s="7" t="n">
        <v>41453</v>
      </c>
      <c r="C98" s="14" t="n">
        <v>1.40372567262</v>
      </c>
      <c r="D98" s="21">
        <f>100*(C98-C97)</f>
        <v/>
      </c>
      <c r="E98" s="22">
        <f>'A1 control'!AL232</f>
        <v/>
      </c>
      <c r="F98" s="9" t="n">
        <v>1</v>
      </c>
    </row>
    <row r="99">
      <c r="A99" s="9" t="n">
        <v>-26</v>
      </c>
      <c r="B99" s="7" t="n">
        <v>41456</v>
      </c>
      <c r="C99" s="14" t="n">
        <v>1.39082753414</v>
      </c>
      <c r="D99" s="21">
        <f>100*(C99-C98)</f>
        <v/>
      </c>
      <c r="E99" s="22">
        <f>'A1 control'!AL233</f>
        <v/>
      </c>
      <c r="F99" s="9" t="n">
        <v>1</v>
      </c>
    </row>
    <row r="100">
      <c r="A100" s="9" t="n">
        <v>-25</v>
      </c>
      <c r="B100" s="7" t="n">
        <v>41457</v>
      </c>
      <c r="C100" s="14" t="n">
        <v>1.36095689355</v>
      </c>
      <c r="D100" s="21">
        <f>100*(C100-C99)</f>
        <v/>
      </c>
      <c r="E100" s="22">
        <f>'A1 control'!AL234</f>
        <v/>
      </c>
      <c r="F100" s="9" t="n">
        <v>1</v>
      </c>
    </row>
    <row r="101">
      <c r="A101" s="9" t="n">
        <v>-24</v>
      </c>
      <c r="B101" s="7" t="n">
        <v>41458</v>
      </c>
      <c r="C101" s="14" t="n">
        <v>1.39000347572</v>
      </c>
      <c r="D101" s="21">
        <f>100*(C101-C100)</f>
        <v/>
      </c>
      <c r="E101" s="22">
        <f>'A1 control'!AL235</f>
        <v/>
      </c>
      <c r="F101" s="9" t="n">
        <v>1</v>
      </c>
    </row>
    <row r="102">
      <c r="A102" s="9" t="n">
        <v>-23</v>
      </c>
      <c r="B102" s="7" t="n">
        <v>41459</v>
      </c>
      <c r="C102" s="14" t="n">
        <v>1.35020322642</v>
      </c>
      <c r="D102" s="21">
        <f>100*(C102-C101)</f>
        <v/>
      </c>
      <c r="E102" s="22">
        <f>'A1 control'!AL236</f>
        <v/>
      </c>
      <c r="F102" s="9" t="n">
        <v>1</v>
      </c>
    </row>
    <row r="103">
      <c r="A103" s="9" t="n">
        <v>-22</v>
      </c>
      <c r="B103" s="7" t="n">
        <v>41460</v>
      </c>
      <c r="C103" s="14" t="n">
        <v>1.42053901432</v>
      </c>
      <c r="D103" s="21">
        <f>100*(C103-C102)</f>
        <v/>
      </c>
      <c r="E103" s="22">
        <f>'A1 control'!AL237</f>
        <v/>
      </c>
      <c r="F103" s="9" t="n">
        <v>1</v>
      </c>
    </row>
    <row r="104">
      <c r="A104" s="9" t="n">
        <v>-21</v>
      </c>
      <c r="B104" s="7" t="n">
        <v>41463</v>
      </c>
      <c r="C104" s="14" t="n">
        <v>1.40042616232</v>
      </c>
      <c r="D104" s="21">
        <f>100*(C104-C103)</f>
        <v/>
      </c>
      <c r="E104" s="22">
        <f>'A1 control'!AL238</f>
        <v/>
      </c>
      <c r="F104" s="9" t="n">
        <v>1</v>
      </c>
    </row>
    <row r="105">
      <c r="A105" s="9" t="n">
        <v>-20</v>
      </c>
      <c r="B105" s="7" t="n">
        <v>41464</v>
      </c>
      <c r="C105" s="14" t="n">
        <v>1.3350852663</v>
      </c>
      <c r="D105" s="21">
        <f>100*(C105-C104)</f>
        <v/>
      </c>
      <c r="E105" s="22">
        <f>'A1 control'!AL239</f>
        <v/>
      </c>
      <c r="F105" s="9" t="n">
        <v>0</v>
      </c>
    </row>
    <row r="106">
      <c r="A106" s="9" t="n">
        <v>-19</v>
      </c>
      <c r="B106" s="7" t="n">
        <v>41465</v>
      </c>
      <c r="C106" s="14" t="n">
        <v>1.33214269326</v>
      </c>
      <c r="D106" s="21">
        <f>100*(C106-C105)</f>
        <v/>
      </c>
      <c r="E106" s="22">
        <f>'A1 control'!AL240</f>
        <v/>
      </c>
      <c r="F106" s="9" t="n">
        <v>0</v>
      </c>
    </row>
    <row r="107">
      <c r="A107" s="9" t="n">
        <v>-18</v>
      </c>
      <c r="B107" s="7" t="n">
        <v>41466</v>
      </c>
      <c r="C107" s="14" t="n">
        <v>1.30482748508</v>
      </c>
      <c r="D107" s="21">
        <f>100*(C107-C106)</f>
        <v/>
      </c>
      <c r="E107" s="22">
        <f>'A1 control'!AL241</f>
        <v/>
      </c>
      <c r="F107" s="9" t="n">
        <v>0</v>
      </c>
    </row>
    <row r="108">
      <c r="A108" s="9" t="n">
        <v>-17</v>
      </c>
      <c r="B108" s="7" t="n">
        <v>41467</v>
      </c>
      <c r="C108" s="14" t="n">
        <v>1.26114930317</v>
      </c>
      <c r="D108" s="21">
        <f>100*(C108-C107)</f>
        <v/>
      </c>
      <c r="E108" s="22">
        <f>'A1 control'!AL242</f>
        <v/>
      </c>
      <c r="F108" s="9" t="n">
        <v>0</v>
      </c>
    </row>
    <row r="109">
      <c r="A109" s="9" t="n">
        <v>-16</v>
      </c>
      <c r="B109" s="7" t="n">
        <v>41470</v>
      </c>
      <c r="C109" s="14" t="n">
        <v>1.27882982342</v>
      </c>
      <c r="D109" s="21">
        <f>100*(C109-C108)</f>
        <v/>
      </c>
      <c r="E109" s="22">
        <f>'A1 control'!AL243</f>
        <v/>
      </c>
      <c r="F109" s="9" t="n">
        <v>0</v>
      </c>
    </row>
    <row r="110">
      <c r="A110" s="9" t="n">
        <v>-15</v>
      </c>
      <c r="B110" s="7" t="n">
        <v>41471</v>
      </c>
      <c r="C110" s="14" t="n">
        <v>1.20679777108</v>
      </c>
      <c r="D110" s="21">
        <f>100*(C110-C109)</f>
        <v/>
      </c>
      <c r="E110" s="22">
        <f>'A1 control'!AL244</f>
        <v/>
      </c>
      <c r="F110" s="9" t="n">
        <v>0</v>
      </c>
    </row>
    <row r="111">
      <c r="A111" s="9" t="n">
        <v>-14</v>
      </c>
      <c r="B111" s="7" t="n">
        <v>41472</v>
      </c>
      <c r="C111" s="14" t="n">
        <v>1.2007913916</v>
      </c>
      <c r="D111" s="21">
        <f>100*(C111-C110)</f>
        <v/>
      </c>
      <c r="E111" s="22">
        <f>'A1 control'!AL245</f>
        <v/>
      </c>
      <c r="F111" s="9" t="n">
        <v>0</v>
      </c>
    </row>
    <row r="112">
      <c r="A112" s="9" t="n">
        <v>-13</v>
      </c>
      <c r="B112" s="7" t="n">
        <v>41473</v>
      </c>
      <c r="C112" s="14" t="n">
        <v>1.16179506416</v>
      </c>
      <c r="D112" s="21">
        <f>100*(C112-C111)</f>
        <v/>
      </c>
      <c r="E112" s="22">
        <f>'A1 control'!AL246</f>
        <v/>
      </c>
      <c r="F112" s="9" t="n">
        <v>0</v>
      </c>
    </row>
    <row r="113">
      <c r="A113" s="9" t="n">
        <v>-12</v>
      </c>
      <c r="B113" s="7" t="n">
        <v>41474</v>
      </c>
      <c r="C113" s="14" t="n">
        <v>1.20710635762</v>
      </c>
      <c r="D113" s="21">
        <f>100*(C113-C112)</f>
        <v/>
      </c>
      <c r="E113" s="22">
        <f>'A1 control'!AL247</f>
        <v/>
      </c>
      <c r="F113" s="9" t="n">
        <v>0</v>
      </c>
    </row>
    <row r="114">
      <c r="A114" s="9" t="n">
        <v>-11</v>
      </c>
      <c r="B114" s="7" t="n">
        <v>41477</v>
      </c>
      <c r="C114" s="14" t="n">
        <v>1.19551617082</v>
      </c>
      <c r="D114" s="21">
        <f>100*(C114-C113)</f>
        <v/>
      </c>
      <c r="E114" s="22">
        <f>'A1 control'!AL248</f>
        <v/>
      </c>
      <c r="F114" s="9" t="n">
        <v>0</v>
      </c>
    </row>
    <row r="115">
      <c r="A115" s="9" t="n">
        <v>-10</v>
      </c>
      <c r="B115" s="7" t="n">
        <v>41478</v>
      </c>
      <c r="C115" s="14" t="n">
        <v>1.23625395503</v>
      </c>
      <c r="D115" s="21">
        <f>100*(C115-C114)</f>
        <v/>
      </c>
      <c r="E115" s="22">
        <f>'A1 control'!AL249</f>
        <v/>
      </c>
      <c r="F115" s="9" t="n">
        <v>0</v>
      </c>
      <c r="G115" s="21">
        <f>D115-$B$137*E115</f>
        <v/>
      </c>
      <c r="H115" s="21">
        <f>H116-G116</f>
        <v/>
      </c>
      <c r="I115" s="21">
        <f>D115-E115</f>
        <v/>
      </c>
      <c r="J115" s="21">
        <f>J116-I116</f>
        <v/>
      </c>
      <c r="K115" s="21">
        <f>K116-D116</f>
        <v/>
      </c>
    </row>
    <row r="116">
      <c r="A116" s="9" t="n">
        <v>-9</v>
      </c>
      <c r="B116" s="7" t="n">
        <v>41479</v>
      </c>
      <c r="C116" s="14" t="n">
        <v>1.30009568925</v>
      </c>
      <c r="D116" s="21">
        <f>100*(C116-C115)</f>
        <v/>
      </c>
      <c r="E116" s="22">
        <f>'A1 control'!AL250</f>
        <v/>
      </c>
      <c r="F116" s="9" t="n">
        <v>0</v>
      </c>
      <c r="G116" s="21">
        <f>D116-$B$137*E116</f>
        <v/>
      </c>
      <c r="H116" s="21">
        <f>H117-G117</f>
        <v/>
      </c>
      <c r="I116" s="21">
        <f>D116-E116</f>
        <v/>
      </c>
      <c r="J116" s="21">
        <f>J117-I117</f>
        <v/>
      </c>
      <c r="K116" s="21">
        <f>K117-D117</f>
        <v/>
      </c>
    </row>
    <row r="117">
      <c r="A117" s="9" t="n">
        <v>-8</v>
      </c>
      <c r="B117" s="7" t="n">
        <v>41480</v>
      </c>
      <c r="C117" s="14" t="n">
        <v>1.28827738211</v>
      </c>
      <c r="D117" s="21">
        <f>100*(C117-C116)</f>
        <v/>
      </c>
      <c r="E117" s="22">
        <f>'A1 control'!AL251</f>
        <v/>
      </c>
      <c r="F117" s="9" t="n">
        <v>0</v>
      </c>
      <c r="G117" s="21">
        <f>D117-$B$137*E117</f>
        <v/>
      </c>
      <c r="H117" s="21">
        <f>H118-G118</f>
        <v/>
      </c>
      <c r="I117" s="21">
        <f>D117-E117</f>
        <v/>
      </c>
      <c r="J117" s="21">
        <f>J118-I118</f>
        <v/>
      </c>
      <c r="K117" s="21">
        <f>K118-D118</f>
        <v/>
      </c>
    </row>
    <row r="118">
      <c r="A118" s="9" t="n">
        <v>-7</v>
      </c>
      <c r="B118" s="7" t="n">
        <v>41481</v>
      </c>
      <c r="C118" s="14" t="n">
        <v>1.22285829836</v>
      </c>
      <c r="D118" s="21">
        <f>100*(C118-C117)</f>
        <v/>
      </c>
      <c r="E118" s="22">
        <f>'A1 control'!AL252</f>
        <v/>
      </c>
      <c r="F118" s="9" t="n">
        <v>0</v>
      </c>
      <c r="G118" s="21">
        <f>D118-$B$137*E118</f>
        <v/>
      </c>
      <c r="H118" s="21">
        <f>H119-G119</f>
        <v/>
      </c>
      <c r="I118" s="21">
        <f>D118-E118</f>
        <v/>
      </c>
      <c r="J118" s="21">
        <f>J119-I119</f>
        <v/>
      </c>
      <c r="K118" s="21">
        <f>K119-D119</f>
        <v/>
      </c>
    </row>
    <row r="119">
      <c r="A119" s="9" t="n">
        <v>-6</v>
      </c>
      <c r="B119" s="7" t="n">
        <v>41484</v>
      </c>
      <c r="C119" s="14" t="n">
        <v>1.22507895951</v>
      </c>
      <c r="D119" s="21">
        <f>100*(C119-C118)</f>
        <v/>
      </c>
      <c r="E119" s="22">
        <f>'A1 control'!AL253</f>
        <v/>
      </c>
      <c r="F119" s="9" t="n">
        <v>0</v>
      </c>
      <c r="G119" s="21">
        <f>D119-$B$137*E119</f>
        <v/>
      </c>
      <c r="H119" s="21" t="n">
        <v>0</v>
      </c>
      <c r="I119" s="21">
        <f>D119-E119</f>
        <v/>
      </c>
      <c r="J119" s="21" t="n">
        <v>0</v>
      </c>
      <c r="K119" s="21" t="n">
        <v>0</v>
      </c>
    </row>
    <row r="120">
      <c r="A120" s="9" t="n">
        <v>-5</v>
      </c>
      <c r="B120" s="7" t="n">
        <v>41485</v>
      </c>
      <c r="C120" s="14" t="n">
        <v>1.21507651735</v>
      </c>
      <c r="D120" s="21">
        <f>100*(C120-C119)</f>
        <v/>
      </c>
      <c r="E120" s="22">
        <f>'A1 control'!AL254</f>
        <v/>
      </c>
      <c r="F120" s="9" t="n">
        <v>0</v>
      </c>
      <c r="G120" s="21">
        <f>D120-$B$137*E120</f>
        <v/>
      </c>
      <c r="H120" s="21">
        <f>H119+G120</f>
        <v/>
      </c>
      <c r="I120" s="21">
        <f>D120-E120</f>
        <v/>
      </c>
      <c r="J120" s="21">
        <f>J119+I120</f>
        <v/>
      </c>
      <c r="K120" s="21">
        <f>K119+D120</f>
        <v/>
      </c>
    </row>
    <row r="121">
      <c r="A121" s="9" t="n">
        <v>-4</v>
      </c>
      <c r="B121" s="7" t="n">
        <v>41486</v>
      </c>
      <c r="C121" s="14" t="n">
        <v>1.23107060137</v>
      </c>
      <c r="D121" s="21">
        <f>100*(C121-C120)</f>
        <v/>
      </c>
      <c r="E121" s="22">
        <f>'A1 control'!AL255</f>
        <v/>
      </c>
      <c r="F121" s="9" t="n">
        <v>0</v>
      </c>
      <c r="G121" s="21">
        <f>D121-$B$137*E121</f>
        <v/>
      </c>
      <c r="H121" s="21">
        <f>H120+G121</f>
        <v/>
      </c>
      <c r="I121" s="21">
        <f>D121-E121</f>
        <v/>
      </c>
      <c r="J121" s="21">
        <f>J120+I121</f>
        <v/>
      </c>
      <c r="K121" s="21">
        <f>K120+D121</f>
        <v/>
      </c>
    </row>
    <row r="122">
      <c r="A122" s="9" t="n">
        <v>-3</v>
      </c>
      <c r="B122" s="7" t="n">
        <v>41487</v>
      </c>
      <c r="C122" s="14" t="n">
        <v>1.2611928247</v>
      </c>
      <c r="D122" s="21">
        <f>100*(C122-C121)</f>
        <v/>
      </c>
      <c r="E122" s="22">
        <f>'A1 control'!AL256</f>
        <v/>
      </c>
      <c r="F122" s="9" t="n">
        <v>0</v>
      </c>
      <c r="G122" s="21">
        <f>D122-$B$137*E122</f>
        <v/>
      </c>
      <c r="H122" s="21">
        <f>H121+G122</f>
        <v/>
      </c>
      <c r="I122" s="21">
        <f>D122-E122</f>
        <v/>
      </c>
      <c r="J122" s="21">
        <f>J121+I122</f>
        <v/>
      </c>
      <c r="K122" s="21">
        <f>K121+D122</f>
        <v/>
      </c>
    </row>
    <row r="123">
      <c r="A123" s="9" t="n">
        <v>-2</v>
      </c>
      <c r="B123" s="7" t="n">
        <v>41488</v>
      </c>
      <c r="C123" s="14" t="n">
        <v>1.29959572497</v>
      </c>
      <c r="D123" s="21">
        <f>100*(C123-C122)</f>
        <v/>
      </c>
      <c r="E123" s="22">
        <f>'A1 control'!AL257</f>
        <v/>
      </c>
      <c r="F123" s="9" t="n">
        <v>0</v>
      </c>
      <c r="G123" s="21">
        <f>D123-$B$137*E123</f>
        <v/>
      </c>
      <c r="H123" s="21">
        <f>H122+G123</f>
        <v/>
      </c>
      <c r="I123" s="21">
        <f>D123-E123</f>
        <v/>
      </c>
      <c r="J123" s="21">
        <f>J122+I123</f>
        <v/>
      </c>
      <c r="K123" s="21">
        <f>K122+D123</f>
        <v/>
      </c>
    </row>
    <row r="124">
      <c r="A124" s="9" t="n">
        <v>-1</v>
      </c>
      <c r="B124" s="7" t="n">
        <v>41491</v>
      </c>
      <c r="C124" s="14" t="n">
        <v>1.35912216499</v>
      </c>
      <c r="D124" s="21">
        <f>100*(C124-C123)</f>
        <v/>
      </c>
      <c r="E124" s="22">
        <f>'A1 control'!AL258</f>
        <v/>
      </c>
      <c r="F124" s="9" t="n">
        <v>0</v>
      </c>
      <c r="G124" s="21">
        <f>D124-$B$137*E124</f>
        <v/>
      </c>
      <c r="H124" s="21">
        <f>H123+G124</f>
        <v/>
      </c>
      <c r="I124" s="21">
        <f>D124-E124</f>
        <v/>
      </c>
      <c r="J124" s="21">
        <f>J123+I124</f>
        <v/>
      </c>
      <c r="K124" s="21">
        <f>K123+D124</f>
        <v/>
      </c>
    </row>
    <row r="125">
      <c r="A125" s="9" t="n">
        <v>0</v>
      </c>
      <c r="B125" s="7" t="n">
        <v>41492</v>
      </c>
      <c r="C125" s="14" t="n">
        <v>1.36870448403</v>
      </c>
      <c r="D125" s="21">
        <f>100*(C125-C124)</f>
        <v/>
      </c>
      <c r="E125" s="22">
        <f>'A1 control'!AL259</f>
        <v/>
      </c>
      <c r="F125" s="9" t="n">
        <v>0</v>
      </c>
      <c r="G125" s="21">
        <f>D125-$B$137*E125</f>
        <v/>
      </c>
      <c r="H125" s="21">
        <f>H124+G125</f>
        <v/>
      </c>
      <c r="I125" s="21">
        <f>D125-E125</f>
        <v/>
      </c>
      <c r="J125" s="21">
        <f>J124+I125</f>
        <v/>
      </c>
      <c r="K125" s="21">
        <f>K124+D125</f>
        <v/>
      </c>
    </row>
    <row r="126">
      <c r="A126" s="9" t="n">
        <v>1</v>
      </c>
      <c r="B126" s="7" t="n">
        <v>41493</v>
      </c>
      <c r="C126" s="14" t="n">
        <v>1.38440734559</v>
      </c>
      <c r="D126" s="21">
        <f>100*(C126-C125)</f>
        <v/>
      </c>
      <c r="E126" s="22">
        <f>'A1 control'!AL260</f>
        <v/>
      </c>
      <c r="F126" s="9" t="n">
        <v>0</v>
      </c>
      <c r="G126" s="21">
        <f>D126-$B$137*E126</f>
        <v/>
      </c>
      <c r="H126" s="21">
        <f>H125+G126</f>
        <v/>
      </c>
      <c r="I126" s="21">
        <f>D126-E126</f>
        <v/>
      </c>
      <c r="J126" s="21">
        <f>J125+I126</f>
        <v/>
      </c>
      <c r="K126" s="21">
        <f>K125+D126</f>
        <v/>
      </c>
    </row>
    <row r="127">
      <c r="A127" s="9" t="n">
        <v>2</v>
      </c>
      <c r="B127" s="7" t="n">
        <v>41494</v>
      </c>
      <c r="C127" s="14" t="n">
        <v>1.37359459157</v>
      </c>
      <c r="D127" s="21">
        <f>100*(C127-C126)</f>
        <v/>
      </c>
      <c r="E127" s="22">
        <f>'A1 control'!AL261</f>
        <v/>
      </c>
      <c r="F127" s="9" t="n">
        <v>0</v>
      </c>
      <c r="G127" s="21">
        <f>D127-$B$137*E127</f>
        <v/>
      </c>
      <c r="H127" s="21">
        <f>H126+G127</f>
        <v/>
      </c>
      <c r="I127" s="21">
        <f>D127-E127</f>
        <v/>
      </c>
      <c r="J127" s="21">
        <f>J126+I127</f>
        <v/>
      </c>
      <c r="K127" s="21">
        <f>K126+D127</f>
        <v/>
      </c>
    </row>
    <row r="128">
      <c r="A128" s="9" t="n">
        <v>3</v>
      </c>
      <c r="B128" s="7" t="n">
        <v>41495</v>
      </c>
      <c r="C128" s="14" t="n">
        <v>1.34892232242</v>
      </c>
      <c r="D128" s="21">
        <f>100*(C128-C127)</f>
        <v/>
      </c>
      <c r="E128" s="22">
        <f>'A1 control'!AL262</f>
        <v/>
      </c>
      <c r="F128" s="9" t="n">
        <v>0</v>
      </c>
      <c r="G128" s="21">
        <f>D128-$B$137*E128</f>
        <v/>
      </c>
      <c r="H128" s="21">
        <f>H127+G128</f>
        <v/>
      </c>
      <c r="I128" s="21">
        <f>D128-E128</f>
        <v/>
      </c>
      <c r="J128" s="21">
        <f>J127+I128</f>
        <v/>
      </c>
      <c r="K128" s="21">
        <f>K127+D128</f>
        <v/>
      </c>
    </row>
    <row r="129">
      <c r="A129" s="9" t="n">
        <v>4</v>
      </c>
      <c r="B129" s="7" t="n">
        <v>41498</v>
      </c>
      <c r="C129" s="14" t="n">
        <v>1.36448333252</v>
      </c>
      <c r="D129" s="21">
        <f>100*(C129-C128)</f>
        <v/>
      </c>
      <c r="E129" s="22">
        <f>'A1 control'!AL263</f>
        <v/>
      </c>
      <c r="F129" s="9" t="n">
        <v>0</v>
      </c>
      <c r="G129" s="21">
        <f>D129-$B$137*E129</f>
        <v/>
      </c>
      <c r="H129" s="21">
        <f>H128+G129</f>
        <v/>
      </c>
      <c r="I129" s="21">
        <f>D129-E129</f>
        <v/>
      </c>
      <c r="J129" s="21">
        <f>J128+I129</f>
        <v/>
      </c>
      <c r="K129" s="21">
        <f>K128+D129</f>
        <v/>
      </c>
    </row>
    <row r="130">
      <c r="A130" s="9" t="n">
        <v>5</v>
      </c>
      <c r="B130" s="7" t="n">
        <v>41499</v>
      </c>
      <c r="C130" s="14" t="n">
        <v>1.47837881427</v>
      </c>
      <c r="D130" s="21">
        <f>100*(C130-C129)</f>
        <v/>
      </c>
      <c r="E130" s="22">
        <f>'A1 control'!AL264</f>
        <v/>
      </c>
      <c r="F130" s="9" t="n">
        <v>0</v>
      </c>
      <c r="G130" s="21">
        <f>D130-$B$137*E130</f>
        <v/>
      </c>
      <c r="H130" s="21">
        <f>H129+G130</f>
        <v/>
      </c>
      <c r="I130" s="21">
        <f>D130-E130</f>
        <v/>
      </c>
      <c r="J130" s="21">
        <f>J129+I130</f>
        <v/>
      </c>
      <c r="K130" s="21">
        <f>K129+D130</f>
        <v/>
      </c>
    </row>
    <row r="131">
      <c r="A131" s="9" t="n">
        <v>6</v>
      </c>
      <c r="B131" s="7" t="n">
        <v>41500</v>
      </c>
      <c r="C131" s="14" t="n">
        <v>1.52284579055</v>
      </c>
      <c r="D131" s="21">
        <f>100*(C131-C130)</f>
        <v/>
      </c>
      <c r="E131" s="22">
        <f>'A1 control'!AL265</f>
        <v/>
      </c>
      <c r="F131" s="9" t="n">
        <v>0</v>
      </c>
      <c r="G131" s="21">
        <f>D131-$B$137*E131</f>
        <v/>
      </c>
      <c r="H131" s="21">
        <f>H130+G131</f>
        <v/>
      </c>
      <c r="I131" s="21">
        <f>D131-E131</f>
        <v/>
      </c>
      <c r="J131" s="21">
        <f>J130+I131</f>
        <v/>
      </c>
      <c r="K131" s="21">
        <f>K130+D131</f>
        <v/>
      </c>
    </row>
    <row r="132">
      <c r="A132" s="9" t="n">
        <v>7</v>
      </c>
      <c r="B132" s="7" t="n">
        <v>41501</v>
      </c>
      <c r="C132" s="14" t="n">
        <v>1.57619427402</v>
      </c>
      <c r="D132" s="21">
        <f>100*(C132-C131)</f>
        <v/>
      </c>
      <c r="E132" s="22">
        <f>'A1 control'!AL266</f>
        <v/>
      </c>
      <c r="F132" s="9" t="n">
        <v>0</v>
      </c>
      <c r="G132" s="21">
        <f>D132-$B$137*E132</f>
        <v/>
      </c>
      <c r="H132" s="21">
        <f>H131+G132</f>
        <v/>
      </c>
      <c r="I132" s="21">
        <f>D132-E132</f>
        <v/>
      </c>
      <c r="J132" s="21">
        <f>J131+I132</f>
        <v/>
      </c>
      <c r="K132" s="21">
        <f>K131+D132</f>
        <v/>
      </c>
    </row>
    <row r="133">
      <c r="A133" s="9" t="n">
        <v>8</v>
      </c>
      <c r="B133" s="7" t="n">
        <v>41502</v>
      </c>
      <c r="C133" s="14" t="n">
        <v>1.58269914991</v>
      </c>
      <c r="D133" s="21">
        <f>100*(C133-C132)</f>
        <v/>
      </c>
      <c r="E133" s="22">
        <f>'A1 control'!AL267</f>
        <v/>
      </c>
      <c r="F133" s="9" t="n">
        <v>0</v>
      </c>
      <c r="G133" s="21">
        <f>D133-$B$137*E133</f>
        <v/>
      </c>
      <c r="H133" s="21">
        <f>H132+G133</f>
        <v/>
      </c>
      <c r="I133" s="21">
        <f>D133-E133</f>
        <v/>
      </c>
      <c r="J133" s="21">
        <f>J132+I133</f>
        <v/>
      </c>
      <c r="K133" s="21">
        <f>K132+D133</f>
        <v/>
      </c>
    </row>
    <row r="134">
      <c r="A134" s="9" t="n">
        <v>9</v>
      </c>
      <c r="B134" s="7" t="n">
        <v>41505</v>
      </c>
      <c r="C134" s="14" t="n">
        <v>1.61610599025</v>
      </c>
      <c r="D134" s="21">
        <f>100*(C134-C133)</f>
        <v/>
      </c>
      <c r="E134" s="22">
        <f>'A1 control'!AL268</f>
        <v/>
      </c>
      <c r="F134" s="9" t="n">
        <v>0</v>
      </c>
      <c r="G134" s="21">
        <f>D134-$B$137*E134</f>
        <v/>
      </c>
      <c r="H134" s="21">
        <f>H133+G134</f>
        <v/>
      </c>
      <c r="I134" s="21">
        <f>D134-E134</f>
        <v/>
      </c>
      <c r="J134" s="21">
        <f>J133+I134</f>
        <v/>
      </c>
      <c r="K134" s="21">
        <f>K133+D134</f>
        <v/>
      </c>
    </row>
    <row r="135">
      <c r="A135" s="9" t="n">
        <v>10</v>
      </c>
      <c r="B135" s="7" t="n">
        <v>41506</v>
      </c>
      <c r="C135" s="14" t="n">
        <v>1.53961224868</v>
      </c>
      <c r="D135" s="21">
        <f>100*(C135-C134)</f>
        <v/>
      </c>
      <c r="E135" s="22">
        <f>'A1 control'!AL269</f>
        <v/>
      </c>
      <c r="F135" s="9" t="n">
        <v>0</v>
      </c>
      <c r="G135" s="21">
        <f>D135-$B$137*E135</f>
        <v/>
      </c>
      <c r="H135" s="21">
        <f>H134+G135</f>
        <v/>
      </c>
      <c r="I135" s="21">
        <f>D135-E135</f>
        <v/>
      </c>
      <c r="J135" s="21">
        <f>J134+I135</f>
        <v/>
      </c>
      <c r="K135" s="21">
        <f>K134+D135</f>
        <v/>
      </c>
    </row>
    <row r="137">
      <c r="A137" s="6" t="inlineStr">
        <is>
          <t>β = SLOPE(Δy, Δc) over k = -120..-21</t>
        </is>
      </c>
      <c r="B137" s="23">
        <f>SLOPE(D5:D104,E5:E104)</f>
        <v/>
      </c>
    </row>
    <row r="138">
      <c r="A138" s="6" t="inlineStr">
        <is>
          <t>α (estimated, not subtracted)</t>
        </is>
      </c>
      <c r="B138" s="21">
        <f>INTERCEPT(D5:D104,E5:E104)</f>
        <v/>
      </c>
    </row>
    <row r="139">
      <c r="A139" s="6" t="inlineStr">
        <is>
          <t>R²</t>
        </is>
      </c>
      <c r="B139" s="17">
        <f>RSQ(D5:D104,E5:E104)</f>
        <v/>
      </c>
    </row>
    <row r="140">
      <c r="A140" s="6" t="inlineStr">
        <is>
          <t>Observations</t>
        </is>
      </c>
      <c r="B140" s="18">
        <f>COUNT(D5:D104)</f>
        <v/>
      </c>
    </row>
    <row r="141">
      <c r="A141" s="6" t="inlineStr">
        <is>
          <t>Python β, for comparison</t>
        </is>
      </c>
      <c r="B141" s="24" t="n">
        <v>0.9137972564866271</v>
      </c>
    </row>
    <row r="143">
      <c r="A143" s="3" t="inlineStr">
        <is>
          <t>The PM's three numbers (bp)</t>
        </is>
      </c>
      <c r="B143" s="3" t="inlineStr">
        <is>
          <t>B-β (main)</t>
        </is>
      </c>
      <c r="C143" s="3" t="inlineStr">
        <is>
          <t>B (β = 1)</t>
        </is>
      </c>
      <c r="D143" s="3" t="inlineStr">
        <is>
          <t>Raw (no control)</t>
        </is>
      </c>
      <c r="E143" s="3" t="inlineStr">
        <is>
          <t>Python B-β</t>
        </is>
      </c>
    </row>
    <row r="144">
      <c r="A144" s="6" t="inlineStr">
        <is>
          <t>Pre-auction cheapening, CAR(T-1) - CAR(T-6)</t>
        </is>
      </c>
      <c r="B144" s="16">
        <f>H124-H119</f>
        <v/>
      </c>
      <c r="C144" s="17">
        <f>J124-J119</f>
        <v/>
      </c>
      <c r="D144" s="17">
        <f>K124-K119</f>
        <v/>
      </c>
      <c r="E144" s="8" t="n">
        <v>4.482574963801973</v>
      </c>
    </row>
    <row r="145">
      <c r="A145" s="6" t="inlineStr">
        <is>
          <t>Auction day, CAR(T) - CAR(T-1)</t>
        </is>
      </c>
      <c r="B145" s="16">
        <f>H125-H124</f>
        <v/>
      </c>
      <c r="C145" s="17">
        <f>J125-J124</f>
        <v/>
      </c>
      <c r="D145" s="17">
        <f>K125-K124</f>
        <v/>
      </c>
      <c r="E145" s="8" t="n">
        <v>1.096006831310143</v>
      </c>
    </row>
    <row r="146">
      <c r="A146" s="6" t="inlineStr">
        <is>
          <t>Post-auction, CAR(T+5) - CAR(T)</t>
        </is>
      </c>
      <c r="B146" s="16">
        <f>H130-H125</f>
        <v/>
      </c>
      <c r="C146" s="17">
        <f>J130-J125</f>
        <v/>
      </c>
      <c r="D146" s="17">
        <f>K130-K125</f>
        <v/>
      </c>
      <c r="E146" s="8" t="n">
        <v>1.063784584158683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5" t="inlineStr">
        <is>
          <t>A2: 3¾% Treasury Gilt 2020, auction 21 Oct 2010 - M1 (spec §7)</t>
        </is>
      </c>
    </row>
    <row r="3">
      <c r="A3" s="6" t="inlineStr">
        <is>
          <t>Auction date</t>
        </is>
      </c>
      <c r="B3" s="7" t="n">
        <v>40472</v>
      </c>
    </row>
    <row r="4">
      <c r="A4" s="6" t="inlineStr">
        <is>
          <t>Settlement date (DMO issue date)</t>
        </is>
      </c>
      <c r="B4" s="7" t="n">
        <v>40473</v>
      </c>
    </row>
    <row r="5">
      <c r="A5" s="6" t="inlineStr">
        <is>
          <t>Effective settlement (first issue date if later, decision #10)</t>
        </is>
      </c>
      <c r="B5" s="7" t="n">
        <v>40473</v>
      </c>
    </row>
    <row r="6">
      <c r="A6" s="6" t="inlineStr">
        <is>
          <t>Curve date (T-1 close)</t>
        </is>
      </c>
      <c r="B6" s="7" t="n">
        <v>40471</v>
      </c>
    </row>
    <row r="7">
      <c r="A7" s="6" t="inlineStr">
        <is>
          <t>Coupon (% p.a.)</t>
        </is>
      </c>
      <c r="B7" s="8" t="n">
        <v>3.75</v>
      </c>
    </row>
    <row r="8">
      <c r="A8" s="6" t="inlineStr">
        <is>
          <t>Maturity</t>
        </is>
      </c>
      <c r="B8" s="7" t="n">
        <v>44081</v>
      </c>
    </row>
    <row r="9">
      <c r="A9" s="6" t="inlineStr">
        <is>
          <t>First issue date</t>
        </is>
      </c>
      <c r="B9" s="7" t="n">
        <v>40339</v>
      </c>
    </row>
    <row r="10">
      <c r="A10" s="6" t="inlineStr">
        <is>
          <t>First coupon date (source below)</t>
        </is>
      </c>
      <c r="B10" s="7" t="n">
        <v>40428</v>
      </c>
    </row>
    <row r="11">
      <c r="A11" s="6" t="inlineStr">
        <is>
          <t>First coupon source</t>
        </is>
      </c>
      <c r="B11" s="9" t="inlineStr">
        <is>
          <t>DMO reference prices (accrued interest)</t>
        </is>
      </c>
    </row>
    <row r="12">
      <c r="A12" s="6" t="inlineStr">
        <is>
          <t>Accrued interest at settlement (cash_flows)</t>
        </is>
      </c>
      <c r="B12" s="10" t="n">
        <v>0.4661602209944751</v>
      </c>
    </row>
    <row r="13">
      <c r="A13" s="6" t="inlineStr">
        <is>
          <t>Average accepted yield, AAY (% , D2.1A)</t>
        </is>
      </c>
      <c r="B13" s="10" t="n">
        <v>3.055442</v>
      </c>
    </row>
    <row r="14">
      <c r="A14" s="6" t="inlineStr">
        <is>
          <t>Curve: last maturity T (y)</t>
        </is>
      </c>
      <c r="B14" s="11" t="n">
        <v>25</v>
      </c>
    </row>
    <row r="15">
      <c r="A15" s="6" t="inlineStr">
        <is>
          <t>Curve: z(T) (%)</t>
        </is>
      </c>
      <c r="B15" s="10" t="n">
        <v>4.367321189425856</v>
      </c>
    </row>
    <row r="16">
      <c r="A16" s="6" t="inlineStr">
        <is>
          <t>Curve: BoE forward f(T) (%)</t>
        </is>
      </c>
      <c r="B16" s="10" t="n">
        <v>4.713600439586165</v>
      </c>
    </row>
    <row r="19">
      <c r="A19" s="3" t="inlineStr">
        <is>
          <t>Cash flow date</t>
        </is>
      </c>
      <c r="B19" s="3" t="inlineStr">
        <is>
          <t>Amount per £100</t>
        </is>
      </c>
      <c r="C19" s="3" t="inlineStr">
        <is>
          <t>t = days/365.25</t>
        </is>
      </c>
      <c r="D19" s="3" t="inlineStr">
        <is>
          <t>z(t) % (spline; flat fwd beyond T)</t>
        </is>
      </c>
      <c r="E19" s="3" t="inlineStr">
        <is>
          <t>DF = exp(-z/100·t)</t>
        </is>
      </c>
      <c r="F19" s="3" t="inlineStr">
        <is>
          <t>PV = amount·DF</t>
        </is>
      </c>
      <c r="G19" s="3" t="inlineStr">
        <is>
          <t>Exponent (semi-annual periods)</t>
        </is>
      </c>
      <c r="H19" s="3" t="inlineStr">
        <is>
          <t>v^exponent at model yield</t>
        </is>
      </c>
      <c r="I19" s="3" t="inlineStr">
        <is>
          <t>PV at model yield</t>
        </is>
      </c>
      <c r="J19" s="3" t="inlineStr">
        <is>
          <t>BoE point below</t>
        </is>
      </c>
      <c r="K19" s="3" t="inlineStr">
        <is>
          <t>z below</t>
        </is>
      </c>
      <c r="L19" s="3" t="inlineStr">
        <is>
          <t>BoE point above</t>
        </is>
      </c>
      <c r="M19" s="3" t="inlineStr">
        <is>
          <t>z above</t>
        </is>
      </c>
      <c r="N19" s="3" t="inlineStr">
        <is>
          <t>Linear interp. of z (check)</t>
        </is>
      </c>
    </row>
    <row r="20">
      <c r="A20" s="7" t="n">
        <v>40609</v>
      </c>
      <c r="B20" s="10" t="n">
        <v>1.875</v>
      </c>
      <c r="C20" s="12">
        <f>(A20-$B$5)/365.25</f>
        <v/>
      </c>
      <c r="D20" s="10" t="n">
        <v>0.5431342878616663</v>
      </c>
      <c r="E20" s="13">
        <f>EXP(-D20/100*C20)</f>
        <v/>
      </c>
      <c r="F20" s="12">
        <f>B20*E20</f>
        <v/>
      </c>
      <c r="G20" s="10" t="n">
        <v>0.7513812154696132</v>
      </c>
      <c r="H20" s="13">
        <f>(1/(1+$B$44/200))^G20</f>
        <v/>
      </c>
      <c r="I20" s="12">
        <f>B20*H20</f>
        <v/>
      </c>
      <c r="J20" s="8" t="n">
        <v>0.333333</v>
      </c>
      <c r="K20" s="10" t="n">
        <v>0.5423481060293298</v>
      </c>
      <c r="L20" s="8" t="n">
        <v>0.416667</v>
      </c>
      <c r="M20" s="10" t="n">
        <v>0.5449076953078997</v>
      </c>
      <c r="N20" s="12">
        <f>IF(L20=J20,K20,K20+(M20-K20)*(C20-J20)/(L20-J20))</f>
        <v/>
      </c>
    </row>
    <row r="21">
      <c r="A21" s="7" t="n">
        <v>40793</v>
      </c>
      <c r="B21" s="10" t="n">
        <v>1.875</v>
      </c>
      <c r="C21" s="12">
        <f>(A21-$B$5)/365.25</f>
        <v/>
      </c>
      <c r="D21" s="10" t="n">
        <v>0.5674396075037567</v>
      </c>
      <c r="E21" s="13">
        <f>EXP(-D21/100*C21)</f>
        <v/>
      </c>
      <c r="F21" s="12">
        <f>B21*E21</f>
        <v/>
      </c>
      <c r="G21" s="10" t="n">
        <v>1.751381215469613</v>
      </c>
      <c r="H21" s="13">
        <f>(1/(1+$B$44/200))^G21</f>
        <v/>
      </c>
      <c r="I21" s="12">
        <f>B21*H21</f>
        <v/>
      </c>
      <c r="J21" s="8" t="n">
        <v>0.833333</v>
      </c>
      <c r="K21" s="10" t="n">
        <v>0.5655968306337316</v>
      </c>
      <c r="L21" s="8" t="n">
        <v>0.916667</v>
      </c>
      <c r="M21" s="10" t="n">
        <v>0.5692981844729</v>
      </c>
      <c r="N21" s="12">
        <f>IF(L21=J21,K21,K21+(M21-K21)*(C21-J21)/(L21-J21))</f>
        <v/>
      </c>
    </row>
    <row r="22">
      <c r="A22" s="7" t="n">
        <v>40975</v>
      </c>
      <c r="B22" s="10" t="n">
        <v>1.875</v>
      </c>
      <c r="C22" s="12">
        <f>(A22-$B$5)/365.25</f>
        <v/>
      </c>
      <c r="D22" s="10" t="n">
        <v>0.6076866338057095</v>
      </c>
      <c r="E22" s="13">
        <f>EXP(-D22/100*C22)</f>
        <v/>
      </c>
      <c r="F22" s="12">
        <f>B22*E22</f>
        <v/>
      </c>
      <c r="G22" s="10" t="n">
        <v>2.751381215469613</v>
      </c>
      <c r="H22" s="13">
        <f>(1/(1+$B$44/200))^G22</f>
        <v/>
      </c>
      <c r="I22" s="12">
        <f>B22*H22</f>
        <v/>
      </c>
      <c r="J22" s="8" t="n">
        <v>1.333333</v>
      </c>
      <c r="K22" s="10" t="n">
        <v>0.6025962770560833</v>
      </c>
      <c r="L22" s="8" t="n">
        <v>1.416667</v>
      </c>
      <c r="M22" s="10" t="n">
        <v>0.6132855991147406</v>
      </c>
      <c r="N22" s="12">
        <f>IF(L22=J22,K22,K22+(M22-K22)*(C22-J22)/(L22-J22))</f>
        <v/>
      </c>
    </row>
    <row r="23">
      <c r="A23" s="7" t="n">
        <v>41159</v>
      </c>
      <c r="B23" s="10" t="n">
        <v>1.875</v>
      </c>
      <c r="C23" s="12">
        <f>(A23-$B$5)/365.25</f>
        <v/>
      </c>
      <c r="D23" s="10" t="n">
        <v>0.69677248901239</v>
      </c>
      <c r="E23" s="13">
        <f>EXP(-D23/100*C23)</f>
        <v/>
      </c>
      <c r="F23" s="12">
        <f>B23*E23</f>
        <v/>
      </c>
      <c r="G23" s="10" t="n">
        <v>3.751381215469613</v>
      </c>
      <c r="H23" s="13">
        <f>(1/(1+$B$44/200))^G23</f>
        <v/>
      </c>
      <c r="I23" s="12">
        <f>B23*H23</f>
        <v/>
      </c>
      <c r="J23" s="8" t="n">
        <v>1.833333</v>
      </c>
      <c r="K23" s="10" t="n">
        <v>0.6869988437449853</v>
      </c>
      <c r="L23" s="8" t="n">
        <v>1.916667</v>
      </c>
      <c r="M23" s="10" t="n">
        <v>0.7054245180824366</v>
      </c>
      <c r="N23" s="12">
        <f>IF(L23=J23,K23,K23+(M23-K23)*(C23-J23)/(L23-J23))</f>
        <v/>
      </c>
    </row>
    <row r="24">
      <c r="A24" s="7" t="n">
        <v>41340</v>
      </c>
      <c r="B24" s="10" t="n">
        <v>1.875</v>
      </c>
      <c r="C24" s="12">
        <f>(A24-$B$5)/365.25</f>
        <v/>
      </c>
      <c r="D24" s="10" t="n">
        <v>0.824324380402476</v>
      </c>
      <c r="E24" s="13">
        <f>EXP(-D24/100*C24)</f>
        <v/>
      </c>
      <c r="F24" s="12">
        <f>B24*E24</f>
        <v/>
      </c>
      <c r="G24" s="10" t="n">
        <v>4.751381215469613</v>
      </c>
      <c r="H24" s="13">
        <f>(1/(1+$B$44/200))^G24</f>
        <v/>
      </c>
      <c r="I24" s="12">
        <f>B24*H24</f>
        <v/>
      </c>
      <c r="J24" s="8" t="n">
        <v>2.333333</v>
      </c>
      <c r="K24" s="10" t="n">
        <v>0.8127447925625155</v>
      </c>
      <c r="L24" s="8" t="n">
        <v>2.416667</v>
      </c>
      <c r="M24" s="10" t="n">
        <v>0.8368383849897738</v>
      </c>
      <c r="N24" s="12">
        <f>IF(L24=J24,K24,K24+(M24-K24)*(C24-J24)/(L24-J24))</f>
        <v/>
      </c>
    </row>
    <row r="25">
      <c r="A25" s="7" t="n">
        <v>41524</v>
      </c>
      <c r="B25" s="10" t="n">
        <v>1.875</v>
      </c>
      <c r="C25" s="12">
        <f>(A25-$B$5)/365.25</f>
        <v/>
      </c>
      <c r="D25" s="10" t="n">
        <v>0.9819977830178614</v>
      </c>
      <c r="E25" s="13">
        <f>EXP(-D25/100*C25)</f>
        <v/>
      </c>
      <c r="F25" s="12">
        <f>B25*E25</f>
        <v/>
      </c>
      <c r="G25" s="10" t="n">
        <v>5.751381215469613</v>
      </c>
      <c r="H25" s="13">
        <f>(1/(1+$B$44/200))^G25</f>
        <v/>
      </c>
      <c r="I25" s="12">
        <f>B25*H25</f>
        <v/>
      </c>
      <c r="J25" s="8" t="n">
        <v>2.833333</v>
      </c>
      <c r="K25" s="10" t="n">
        <v>0.9673503282360184</v>
      </c>
      <c r="L25" s="8" t="n">
        <v>2.916667</v>
      </c>
      <c r="M25" s="10" t="n">
        <v>0.9951082397757232</v>
      </c>
      <c r="N25" s="12">
        <f>IF(L25=J25,K25,K25+(M25-K25)*(C25-J25)/(L25-J25))</f>
        <v/>
      </c>
    </row>
    <row r="26">
      <c r="A26" s="7" t="n">
        <v>41705</v>
      </c>
      <c r="B26" s="10" t="n">
        <v>1.875</v>
      </c>
      <c r="C26" s="12">
        <f>(A26-$B$5)/365.25</f>
        <v/>
      </c>
      <c r="D26" s="10" t="n">
        <v>1.153912420111364</v>
      </c>
      <c r="E26" s="13">
        <f>EXP(-D26/100*C26)</f>
        <v/>
      </c>
      <c r="F26" s="12">
        <f>B26*E26</f>
        <v/>
      </c>
      <c r="G26" s="10" t="n">
        <v>6.751381215469613</v>
      </c>
      <c r="H26" s="13">
        <f>(1/(1+$B$44/200))^G26</f>
        <v/>
      </c>
      <c r="I26" s="12">
        <f>B26*H26</f>
        <v/>
      </c>
      <c r="J26" s="8" t="n">
        <v>3.333333</v>
      </c>
      <c r="K26" s="10" t="n">
        <v>1.139733451479843</v>
      </c>
      <c r="L26" s="8" t="n">
        <v>3.416667</v>
      </c>
      <c r="M26" s="10" t="n">
        <v>1.169559135555474</v>
      </c>
      <c r="N26" s="12">
        <f>IF(L26=J26,K26,K26+(M26-K26)*(C26-J26)/(L26-J26))</f>
        <v/>
      </c>
    </row>
    <row r="27">
      <c r="A27" s="7" t="n">
        <v>41889</v>
      </c>
      <c r="B27" s="10" t="n">
        <v>1.875</v>
      </c>
      <c r="C27" s="12">
        <f>(A27-$B$5)/365.25</f>
        <v/>
      </c>
      <c r="D27" s="10" t="n">
        <v>1.337461677614078</v>
      </c>
      <c r="E27" s="13">
        <f>EXP(-D27/100*C27)</f>
        <v/>
      </c>
      <c r="F27" s="12">
        <f>B27*E27</f>
        <v/>
      </c>
      <c r="G27" s="10" t="n">
        <v>7.751381215469613</v>
      </c>
      <c r="H27" s="13">
        <f>(1/(1+$B$44/200))^G27</f>
        <v/>
      </c>
      <c r="I27" s="12">
        <f>B27*H27</f>
        <v/>
      </c>
      <c r="J27" s="8" t="n">
        <v>3.833333</v>
      </c>
      <c r="K27" s="10" t="n">
        <v>1.321437312509482</v>
      </c>
      <c r="L27" s="8" t="n">
        <v>3.916667</v>
      </c>
      <c r="M27" s="10" t="n">
        <v>1.352180228091733</v>
      </c>
      <c r="N27" s="12">
        <f>IF(L27=J27,K27,K27+(M27-K27)*(C27-J27)/(L27-J27))</f>
        <v/>
      </c>
    </row>
    <row r="28">
      <c r="A28" s="7" t="n">
        <v>42070</v>
      </c>
      <c r="B28" s="10" t="n">
        <v>1.875</v>
      </c>
      <c r="C28" s="12">
        <f>(A28-$B$5)/365.25</f>
        <v/>
      </c>
      <c r="D28" s="10" t="n">
        <v>1.521014330606889</v>
      </c>
      <c r="E28" s="13">
        <f>EXP(-D28/100*C28)</f>
        <v/>
      </c>
      <c r="F28" s="12">
        <f>B28*E28</f>
        <v/>
      </c>
      <c r="G28" s="10" t="n">
        <v>8.751381215469614</v>
      </c>
      <c r="H28" s="13">
        <f>(1/(1+$B$44/200))^G28</f>
        <v/>
      </c>
      <c r="I28" s="12">
        <f>B28*H28</f>
        <v/>
      </c>
      <c r="J28" s="8" t="n">
        <v>4.333333</v>
      </c>
      <c r="K28" s="10" t="n">
        <v>1.506552193370265</v>
      </c>
      <c r="L28" s="8" t="n">
        <v>4.416666</v>
      </c>
      <c r="M28" s="10" t="n">
        <v>1.537435528249862</v>
      </c>
      <c r="N28" s="12">
        <f>IF(L28=J28,K28,K28+(M28-K28)*(C28-J28)/(L28-J28))</f>
        <v/>
      </c>
    </row>
    <row r="29">
      <c r="A29" s="7" t="n">
        <v>42254</v>
      </c>
      <c r="B29" s="10" t="n">
        <v>1.875</v>
      </c>
      <c r="C29" s="12">
        <f>(A29-$B$5)/365.25</f>
        <v/>
      </c>
      <c r="D29" s="10" t="n">
        <v>1.706777141294037</v>
      </c>
      <c r="E29" s="13">
        <f>EXP(-D29/100*C29)</f>
        <v/>
      </c>
      <c r="F29" s="12">
        <f>B29*E29</f>
        <v/>
      </c>
      <c r="G29" s="10" t="n">
        <v>9.751381215469614</v>
      </c>
      <c r="H29" s="13">
        <f>(1/(1+$B$44/200))^G29</f>
        <v/>
      </c>
      <c r="I29" s="12">
        <f>B29*H29</f>
        <v/>
      </c>
      <c r="J29" s="8" t="n">
        <v>4.833333</v>
      </c>
      <c r="K29" s="10" t="n">
        <v>1.691106598788054</v>
      </c>
      <c r="L29" s="8" t="n">
        <v>4.916666</v>
      </c>
      <c r="M29" s="10" t="n">
        <v>1.721608791185635</v>
      </c>
      <c r="N29" s="12">
        <f>IF(L29=J29,K29,K29+(M29-K29)*(C29-J29)/(L29-J29))</f>
        <v/>
      </c>
    </row>
    <row r="30">
      <c r="A30" s="7" t="n">
        <v>42436</v>
      </c>
      <c r="B30" s="10" t="n">
        <v>1.875</v>
      </c>
      <c r="C30" s="12">
        <f>(A30-$B$5)/365.25</f>
        <v/>
      </c>
      <c r="D30" s="10" t="n">
        <v>1.887093669766106</v>
      </c>
      <c r="E30" s="13">
        <f>EXP(-D30/100*C30)</f>
        <v/>
      </c>
      <c r="F30" s="12">
        <f>B30*E30</f>
        <v/>
      </c>
      <c r="G30" s="10" t="n">
        <v>10.75138121546961</v>
      </c>
      <c r="H30" s="13">
        <f>(1/(1+$B$44/200))^G30</f>
        <v/>
      </c>
      <c r="I30" s="12">
        <f>B30*H30</f>
        <v/>
      </c>
      <c r="J30" s="8" t="n">
        <v>5</v>
      </c>
      <c r="K30" s="10" t="n">
        <v>1.752009103587943</v>
      </c>
      <c r="L30" s="8" t="n">
        <v>5.5</v>
      </c>
      <c r="M30" s="10" t="n">
        <v>1.931777963851466</v>
      </c>
      <c r="N30" s="12">
        <f>IF(L30=J30,K30,K30+(M30-K30)*(C30-J30)/(L30-J30))</f>
        <v/>
      </c>
    </row>
    <row r="31">
      <c r="A31" s="7" t="n">
        <v>42620</v>
      </c>
      <c r="B31" s="10" t="n">
        <v>1.875</v>
      </c>
      <c r="C31" s="12">
        <f>(A31-$B$5)/365.25</f>
        <v/>
      </c>
      <c r="D31" s="10" t="n">
        <v>2.064056347648753</v>
      </c>
      <c r="E31" s="13">
        <f>EXP(-D31/100*C31)</f>
        <v/>
      </c>
      <c r="F31" s="12">
        <f>B31*E31</f>
        <v/>
      </c>
      <c r="G31" s="10" t="n">
        <v>11.75138121546961</v>
      </c>
      <c r="H31" s="13">
        <f>(1/(1+$B$44/200))^G31</f>
        <v/>
      </c>
      <c r="I31" s="12">
        <f>B31*H31</f>
        <v/>
      </c>
      <c r="J31" s="8" t="n">
        <v>5.5</v>
      </c>
      <c r="K31" s="10" t="n">
        <v>1.931777963851466</v>
      </c>
      <c r="L31" s="8" t="n">
        <v>6</v>
      </c>
      <c r="M31" s="10" t="n">
        <v>2.105885949479009</v>
      </c>
      <c r="N31" s="12">
        <f>IF(L31=J31,K31,K31+(M31-K31)*(C31-J31)/(L31-J31))</f>
        <v/>
      </c>
    </row>
    <row r="32">
      <c r="A32" s="7" t="n">
        <v>42801</v>
      </c>
      <c r="B32" s="10" t="n">
        <v>1.875</v>
      </c>
      <c r="C32" s="12">
        <f>(A32-$B$5)/365.25</f>
        <v/>
      </c>
      <c r="D32" s="10" t="n">
        <v>2.231562362388499</v>
      </c>
      <c r="E32" s="13">
        <f>EXP(-D32/100*C32)</f>
        <v/>
      </c>
      <c r="F32" s="12">
        <f>B32*E32</f>
        <v/>
      </c>
      <c r="G32" s="10" t="n">
        <v>12.75138121546961</v>
      </c>
      <c r="H32" s="13">
        <f>(1/(1+$B$44/200))^G32</f>
        <v/>
      </c>
      <c r="I32" s="12">
        <f>B32*H32</f>
        <v/>
      </c>
      <c r="J32" s="8" t="n">
        <v>6</v>
      </c>
      <c r="K32" s="10" t="n">
        <v>2.105885949479009</v>
      </c>
      <c r="L32" s="8" t="n">
        <v>6.5</v>
      </c>
      <c r="M32" s="10" t="n">
        <v>2.273085787307969</v>
      </c>
      <c r="N32" s="12">
        <f>IF(L32=J32,K32,K32+(M32-K32)*(C32-J32)/(L32-J32))</f>
        <v/>
      </c>
    </row>
    <row r="33">
      <c r="A33" s="7" t="n">
        <v>42985</v>
      </c>
      <c r="B33" s="10" t="n">
        <v>1.875</v>
      </c>
      <c r="C33" s="12">
        <f>(A33-$B$5)/365.25</f>
        <v/>
      </c>
      <c r="D33" s="10" t="n">
        <v>2.394189135959218</v>
      </c>
      <c r="E33" s="13">
        <f>EXP(-D33/100*C33)</f>
        <v/>
      </c>
      <c r="F33" s="12">
        <f>B33*E33</f>
        <v/>
      </c>
      <c r="G33" s="10" t="n">
        <v>13.75138121546961</v>
      </c>
      <c r="H33" s="13">
        <f>(1/(1+$B$44/200))^G33</f>
        <v/>
      </c>
      <c r="I33" s="12">
        <f>B33*H33</f>
        <v/>
      </c>
      <c r="J33" s="8" t="n">
        <v>6.5</v>
      </c>
      <c r="K33" s="10" t="n">
        <v>2.273085787307969</v>
      </c>
      <c r="L33" s="8" t="n">
        <v>7</v>
      </c>
      <c r="M33" s="10" t="n">
        <v>2.432493339187027</v>
      </c>
      <c r="N33" s="12">
        <f>IF(L33=J33,K33,K33+(M33-K33)*(C33-J33)/(L33-J33))</f>
        <v/>
      </c>
    </row>
    <row r="34">
      <c r="A34" s="7" t="n">
        <v>43166</v>
      </c>
      <c r="B34" s="10" t="n">
        <v>1.875</v>
      </c>
      <c r="C34" s="12">
        <f>(A34-$B$5)/365.25</f>
        <v/>
      </c>
      <c r="D34" s="10" t="n">
        <v>2.545985951125182</v>
      </c>
      <c r="E34" s="13">
        <f>EXP(-D34/100*C34)</f>
        <v/>
      </c>
      <c r="F34" s="12">
        <f>B34*E34</f>
        <v/>
      </c>
      <c r="G34" s="10" t="n">
        <v>14.75138121546961</v>
      </c>
      <c r="H34" s="13">
        <f>(1/(1+$B$44/200))^G34</f>
        <v/>
      </c>
      <c r="I34" s="12">
        <f>B34*H34</f>
        <v/>
      </c>
      <c r="J34" s="8" t="n">
        <v>7</v>
      </c>
      <c r="K34" s="10" t="n">
        <v>2.432493339187027</v>
      </c>
      <c r="L34" s="8" t="n">
        <v>7.5</v>
      </c>
      <c r="M34" s="10" t="n">
        <v>2.583521337704933</v>
      </c>
      <c r="N34" s="12">
        <f>IF(L34=J34,K34,K34+(M34-K34)*(C34-J34)/(L34-J34))</f>
        <v/>
      </c>
    </row>
    <row r="35">
      <c r="A35" s="7" t="n">
        <v>43350</v>
      </c>
      <c r="B35" s="10" t="n">
        <v>1.875</v>
      </c>
      <c r="C35" s="12">
        <f>(A35-$B$5)/365.25</f>
        <v/>
      </c>
      <c r="D35" s="10" t="n">
        <v>2.691584701236442</v>
      </c>
      <c r="E35" s="13">
        <f>EXP(-D35/100*C35)</f>
        <v/>
      </c>
      <c r="F35" s="12">
        <f>B35*E35</f>
        <v/>
      </c>
      <c r="G35" s="10" t="n">
        <v>15.75138121546961</v>
      </c>
      <c r="H35" s="13">
        <f>(1/(1+$B$44/200))^G35</f>
        <v/>
      </c>
      <c r="I35" s="12">
        <f>B35*H35</f>
        <v/>
      </c>
      <c r="J35" s="8" t="n">
        <v>7.5</v>
      </c>
      <c r="K35" s="10" t="n">
        <v>2.583521337704933</v>
      </c>
      <c r="L35" s="8" t="n">
        <v>8</v>
      </c>
      <c r="M35" s="10" t="n">
        <v>2.725831964319616</v>
      </c>
      <c r="N35" s="12">
        <f>IF(L35=J35,K35,K35+(M35-K35)*(C35-J35)/(L35-J35))</f>
        <v/>
      </c>
    </row>
    <row r="36">
      <c r="A36" s="7" t="n">
        <v>43531</v>
      </c>
      <c r="B36" s="10" t="n">
        <v>1.875</v>
      </c>
      <c r="C36" s="12">
        <f>(A36-$B$5)/365.25</f>
        <v/>
      </c>
      <c r="D36" s="10" t="n">
        <v>2.826066385741867</v>
      </c>
      <c r="E36" s="13">
        <f>EXP(-D36/100*C36)</f>
        <v/>
      </c>
      <c r="F36" s="12">
        <f>B36*E36</f>
        <v/>
      </c>
      <c r="G36" s="10" t="n">
        <v>16.75138121546961</v>
      </c>
      <c r="H36" s="13">
        <f>(1/(1+$B$44/200))^G36</f>
        <v/>
      </c>
      <c r="I36" s="12">
        <f>B36*H36</f>
        <v/>
      </c>
      <c r="J36" s="8" t="n">
        <v>8</v>
      </c>
      <c r="K36" s="10" t="n">
        <v>2.725831964319616</v>
      </c>
      <c r="L36" s="8" t="n">
        <v>8.5</v>
      </c>
      <c r="M36" s="10" t="n">
        <v>2.859301751704583</v>
      </c>
      <c r="N36" s="12">
        <f>IF(L36=J36,K36,K36+(M36-K36)*(C36-J36)/(L36-J36))</f>
        <v/>
      </c>
    </row>
    <row r="37">
      <c r="A37" s="7" t="n">
        <v>43715</v>
      </c>
      <c r="B37" s="10" t="n">
        <v>1.875</v>
      </c>
      <c r="C37" s="12">
        <f>(A37-$B$5)/365.25</f>
        <v/>
      </c>
      <c r="D37" s="10" t="n">
        <v>2.953899188644295</v>
      </c>
      <c r="E37" s="13">
        <f>EXP(-D37/100*C37)</f>
        <v/>
      </c>
      <c r="F37" s="12">
        <f>B37*E37</f>
        <v/>
      </c>
      <c r="G37" s="10" t="n">
        <v>17.75138121546961</v>
      </c>
      <c r="H37" s="13">
        <f>(1/(1+$B$44/200))^G37</f>
        <v/>
      </c>
      <c r="I37" s="12">
        <f>B37*H37</f>
        <v/>
      </c>
      <c r="J37" s="8" t="n">
        <v>8.5</v>
      </c>
      <c r="K37" s="10" t="n">
        <v>2.859301751704583</v>
      </c>
      <c r="L37" s="8" t="n">
        <v>9</v>
      </c>
      <c r="M37" s="10" t="n">
        <v>2.983980883360299</v>
      </c>
      <c r="N37" s="12">
        <f>IF(L37=J37,K37,K37+(M37-K37)*(C37-J37)/(L37-J37))</f>
        <v/>
      </c>
    </row>
    <row r="38">
      <c r="A38" s="7" t="n">
        <v>43897</v>
      </c>
      <c r="B38" s="10" t="n">
        <v>1.875</v>
      </c>
      <c r="C38" s="12">
        <f>(A38-$B$5)/365.25</f>
        <v/>
      </c>
      <c r="D38" s="10" t="n">
        <v>3.071695105093573</v>
      </c>
      <c r="E38" s="13">
        <f>EXP(-D38/100*C38)</f>
        <v/>
      </c>
      <c r="F38" s="12">
        <f>B38*E38</f>
        <v/>
      </c>
      <c r="G38" s="10" t="n">
        <v>18.75138121546961</v>
      </c>
      <c r="H38" s="13">
        <f>(1/(1+$B$44/200))^G38</f>
        <v/>
      </c>
      <c r="I38" s="12">
        <f>B38*H38</f>
        <v/>
      </c>
      <c r="J38" s="8" t="n">
        <v>9</v>
      </c>
      <c r="K38" s="10" t="n">
        <v>2.983980883360299</v>
      </c>
      <c r="L38" s="8" t="n">
        <v>9.5</v>
      </c>
      <c r="M38" s="10" t="n">
        <v>3.100060309477178</v>
      </c>
      <c r="N38" s="12">
        <f>IF(L38=J38,K38,K38+(M38-K38)*(C38-J38)/(L38-J38))</f>
        <v/>
      </c>
    </row>
    <row r="39">
      <c r="A39" s="7" t="n">
        <v>44081</v>
      </c>
      <c r="B39" s="10" t="n">
        <v>101.875</v>
      </c>
      <c r="C39" s="12">
        <f>(A39-$B$5)/365.25</f>
        <v/>
      </c>
      <c r="D39" s="10" t="n">
        <v>3.182324054113618</v>
      </c>
      <c r="E39" s="13">
        <f>EXP(-D39/100*C39)</f>
        <v/>
      </c>
      <c r="F39" s="12">
        <f>B39*E39</f>
        <v/>
      </c>
      <c r="G39" s="10" t="n">
        <v>19.75138121546961</v>
      </c>
      <c r="H39" s="13">
        <f>(1/(1+$B$44/200))^G39</f>
        <v/>
      </c>
      <c r="I39" s="12">
        <f>B39*H39</f>
        <v/>
      </c>
      <c r="J39" s="8" t="n">
        <v>9.5</v>
      </c>
      <c r="K39" s="10" t="n">
        <v>3.100060309477178</v>
      </c>
      <c r="L39" s="8" t="n">
        <v>10</v>
      </c>
      <c r="M39" s="10" t="n">
        <v>3.207842277077836</v>
      </c>
      <c r="N39" s="12">
        <f>IF(L39=J39,K39,K39+(M39-K39)*(C39-J39)/(L39-J39))</f>
        <v/>
      </c>
    </row>
    <row r="41">
      <c r="A41" s="6" t="inlineStr">
        <is>
          <t>Curve dirty price = SUM(PV)</t>
        </is>
      </c>
      <c r="B41" s="12">
        <f>SUM(F20:F39)</f>
        <v/>
      </c>
    </row>
    <row r="42">
      <c r="A42" s="6" t="inlineStr">
        <is>
          <t>Accrued interest</t>
        </is>
      </c>
      <c r="B42" s="12">
        <f>B12</f>
        <v/>
      </c>
    </row>
    <row r="43">
      <c r="A43" s="6" t="inlineStr">
        <is>
          <t>Curve clean price</t>
        </is>
      </c>
      <c r="B43" s="12">
        <f>B41-B42</f>
        <v/>
      </c>
    </row>
    <row r="44">
      <c r="A44" s="6" t="inlineStr">
        <is>
          <t>Model yield (% , brentq in Python)</t>
        </is>
      </c>
      <c r="B44" s="14" t="n">
        <v>3.03357973048225</v>
      </c>
    </row>
    <row r="45">
      <c r="A45" s="6" t="inlineStr">
        <is>
          <t>Price at the model yield = SUM(PV at model yield)</t>
        </is>
      </c>
      <c r="B45" s="12">
        <f>SUM(I20:I39)</f>
        <v/>
      </c>
    </row>
    <row r="46">
      <c r="A46" s="6" t="inlineStr">
        <is>
          <t>Check: price at model yield - curve dirty (≈ 0)</t>
        </is>
      </c>
      <c r="B46" s="15">
        <f>B45-B41</f>
        <v/>
      </c>
    </row>
    <row r="47">
      <c r="A47" s="6" t="inlineStr">
        <is>
          <t>M1 (bp) = 100·(AAY - model yield)</t>
        </is>
      </c>
      <c r="B47" s="16">
        <f>100*(B13-B44)</f>
        <v/>
      </c>
    </row>
    <row r="48">
      <c r="A48" s="6" t="inlineStr">
        <is>
          <t>Python M1 (bp), for comparison</t>
        </is>
      </c>
      <c r="B48" s="8" t="n">
        <v>2.186226951774994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6" customWidth="1" min="3" max="3"/>
    <col width="18" customWidth="1" min="4" max="4"/>
    <col width="18" customWidth="1" min="5" max="5"/>
    <col width="10" customWidth="1" min="6" max="6"/>
    <col width="52" customWidth="1" min="7" max="7"/>
  </cols>
  <sheetData>
    <row r="1">
      <c r="A1" s="5" t="inlineStr">
        <is>
          <t>A2: 3¾% Treasury Gilt 2020, auction 21 Oct 2010 - M1b baseline, T-25 to T-6 (decision #4)</t>
        </is>
      </c>
    </row>
    <row r="3">
      <c r="A3" s="3" t="inlineStr">
        <is>
          <t>k (business days)</t>
        </is>
      </c>
      <c r="B3" s="3" t="inlineStr">
        <is>
          <t>Date</t>
        </is>
      </c>
      <c r="C3" s="3" t="inlineStr">
        <is>
          <t>Market yield (%): DMO yield (from the DMO clean price before 25 Nov 2002)</t>
        </is>
      </c>
      <c r="D3" s="3" t="inlineStr">
        <is>
          <t>Model yield (%, curve of that day)</t>
        </is>
      </c>
      <c r="E3" s="3" t="inlineStr">
        <is>
          <t>Residual (bp) = 100·(DMO - model)</t>
        </is>
      </c>
      <c r="F3" s="3" t="inlineStr">
        <is>
          <t>Included (1/0)</t>
        </is>
      </c>
      <c r="G3" s="3" t="inlineStr">
        <is>
          <t>Excluded because</t>
        </is>
      </c>
    </row>
    <row r="4">
      <c r="A4" s="9" t="n">
        <v>-25</v>
      </c>
      <c r="B4" s="7" t="n">
        <v>40437</v>
      </c>
      <c r="C4" s="10" t="n">
        <v>3.247579</v>
      </c>
      <c r="D4" s="10" t="n">
        <v>3.204508356</v>
      </c>
      <c r="E4" s="17">
        <f>IF(F4=1,100*(C4-D4),"")</f>
        <v/>
      </c>
      <c r="F4" s="9" t="n">
        <v>0</v>
      </c>
      <c r="G4" s="9" t="inlineStr">
        <is>
          <t>within 5 business days of an earlier auction of the gilt</t>
        </is>
      </c>
    </row>
    <row r="5">
      <c r="A5" s="9" t="n">
        <v>-24</v>
      </c>
      <c r="B5" s="7" t="n">
        <v>40438</v>
      </c>
      <c r="C5" s="10" t="n">
        <v>3.233365</v>
      </c>
      <c r="D5" s="10" t="n">
        <v>3.189484877</v>
      </c>
      <c r="E5" s="17">
        <f>IF(F5=1,100*(C5-D5),"")</f>
        <v/>
      </c>
      <c r="F5" s="9" t="n">
        <v>0</v>
      </c>
      <c r="G5" s="9" t="inlineStr">
        <is>
          <t>within 5 business days of an earlier auction of the gilt</t>
        </is>
      </c>
    </row>
    <row r="6">
      <c r="A6" s="9" t="n">
        <v>-23</v>
      </c>
      <c r="B6" s="7" t="n">
        <v>40441</v>
      </c>
      <c r="C6" s="10" t="n">
        <v>3.258637</v>
      </c>
      <c r="D6" s="10" t="n">
        <v>3.217038189</v>
      </c>
      <c r="E6" s="17">
        <f>IF(F6=1,100*(C6-D6),"")</f>
        <v/>
      </c>
      <c r="F6" s="9" t="n">
        <v>0</v>
      </c>
      <c r="G6" s="9" t="inlineStr">
        <is>
          <t>within 5 business days of an earlier auction of the gilt</t>
        </is>
      </c>
    </row>
    <row r="7">
      <c r="A7" s="9" t="n">
        <v>-22</v>
      </c>
      <c r="B7" s="7" t="n">
        <v>40442</v>
      </c>
      <c r="C7" s="10" t="n">
        <v>3.221585</v>
      </c>
      <c r="D7" s="10" t="n">
        <v>3.179635892</v>
      </c>
      <c r="E7" s="17">
        <f>IF(F7=1,100*(C7-D7),"")</f>
        <v/>
      </c>
      <c r="F7" s="9" t="n">
        <v>0</v>
      </c>
      <c r="G7" s="9" t="inlineStr">
        <is>
          <t>within 5 business days of an earlier auction of the gilt</t>
        </is>
      </c>
    </row>
    <row r="8">
      <c r="A8" s="9" t="n">
        <v>-21</v>
      </c>
      <c r="B8" s="7" t="n">
        <v>40443</v>
      </c>
      <c r="C8" s="10" t="n">
        <v>3.073872</v>
      </c>
      <c r="D8" s="10" t="n">
        <v>3.029924565</v>
      </c>
      <c r="E8" s="17">
        <f>IF(F8=1,100*(C8-D8),"")</f>
        <v/>
      </c>
      <c r="F8" s="9" t="n">
        <v>0</v>
      </c>
      <c r="G8" s="9" t="inlineStr">
        <is>
          <t>within 5 business days of an earlier auction of the gilt</t>
        </is>
      </c>
    </row>
    <row r="9">
      <c r="A9" s="9" t="n">
        <v>-20</v>
      </c>
      <c r="B9" s="7" t="n">
        <v>40444</v>
      </c>
      <c r="C9" s="10" t="n">
        <v>3.058949</v>
      </c>
      <c r="D9" s="10" t="n">
        <v>3.008256937</v>
      </c>
      <c r="E9" s="17">
        <f>IF(F9=1,100*(C9-D9),"")</f>
        <v/>
      </c>
      <c r="F9" s="9" t="n">
        <v>0</v>
      </c>
      <c r="G9" s="9" t="inlineStr">
        <is>
          <t>within 5 business days of an earlier auction of the gilt</t>
        </is>
      </c>
    </row>
    <row r="10">
      <c r="A10" s="9" t="n">
        <v>-19</v>
      </c>
      <c r="B10" s="7" t="n">
        <v>40445</v>
      </c>
      <c r="C10" s="10" t="n">
        <v>3.154261</v>
      </c>
      <c r="D10" s="10" t="n">
        <v>3.096773762</v>
      </c>
      <c r="E10" s="17">
        <f>IF(F10=1,100*(C10-D10),"")</f>
        <v/>
      </c>
      <c r="F10" s="9" t="n">
        <v>1</v>
      </c>
      <c r="G10" s="9" t="inlineStr"/>
    </row>
    <row r="11">
      <c r="A11" s="9" t="n">
        <v>-18</v>
      </c>
      <c r="B11" s="7" t="n">
        <v>40448</v>
      </c>
      <c r="C11" s="10" t="n">
        <v>3.084436</v>
      </c>
      <c r="D11" s="10" t="n">
        <v>3.028688645</v>
      </c>
      <c r="E11" s="17">
        <f>IF(F11=1,100*(C11-D11),"")</f>
        <v/>
      </c>
      <c r="F11" s="9" t="n">
        <v>1</v>
      </c>
      <c r="G11" s="9" t="inlineStr"/>
    </row>
    <row r="12">
      <c r="A12" s="9" t="n">
        <v>-17</v>
      </c>
      <c r="B12" s="7" t="n">
        <v>40449</v>
      </c>
      <c r="C12" s="10" t="n">
        <v>3.041095</v>
      </c>
      <c r="D12" s="10" t="n">
        <v>2.986646148</v>
      </c>
      <c r="E12" s="17">
        <f>IF(F12=1,100*(C12-D12),"")</f>
        <v/>
      </c>
      <c r="F12" s="9" t="n">
        <v>1</v>
      </c>
      <c r="G12" s="9" t="inlineStr"/>
    </row>
    <row r="13">
      <c r="A13" s="9" t="n">
        <v>-16</v>
      </c>
      <c r="B13" s="7" t="n">
        <v>40450</v>
      </c>
      <c r="C13" s="10" t="n">
        <v>3.018266</v>
      </c>
      <c r="D13" s="10" t="n">
        <v>2.961364375</v>
      </c>
      <c r="E13" s="17">
        <f>IF(F13=1,100*(C13-D13),"")</f>
        <v/>
      </c>
      <c r="F13" s="9" t="n">
        <v>1</v>
      </c>
      <c r="G13" s="9" t="inlineStr"/>
    </row>
    <row r="14">
      <c r="A14" s="9" t="n">
        <v>-15</v>
      </c>
      <c r="B14" s="7" t="n">
        <v>40451</v>
      </c>
      <c r="C14" s="10" t="n">
        <v>3.058923</v>
      </c>
      <c r="D14" s="10" t="n">
        <v>3.002267752</v>
      </c>
      <c r="E14" s="17">
        <f>IF(F14=1,100*(C14-D14),"")</f>
        <v/>
      </c>
      <c r="F14" s="9" t="n">
        <v>1</v>
      </c>
      <c r="G14" s="9" t="inlineStr"/>
    </row>
    <row r="15">
      <c r="A15" s="9" t="n">
        <v>-14</v>
      </c>
      <c r="B15" s="7" t="n">
        <v>40452</v>
      </c>
      <c r="C15" s="10" t="n">
        <v>3.080056</v>
      </c>
      <c r="D15" s="10" t="n">
        <v>3.023568803</v>
      </c>
      <c r="E15" s="17">
        <f>IF(F15=1,100*(C15-D15),"")</f>
        <v/>
      </c>
      <c r="F15" s="9" t="n">
        <v>1</v>
      </c>
      <c r="G15" s="9" t="inlineStr"/>
    </row>
    <row r="16">
      <c r="A16" s="9" t="n">
        <v>-13</v>
      </c>
      <c r="B16" s="7" t="n">
        <v>40455</v>
      </c>
      <c r="C16" s="10" t="n">
        <v>3.035535</v>
      </c>
      <c r="D16" s="10" t="n">
        <v>2.982027354</v>
      </c>
      <c r="E16" s="17">
        <f>IF(F16=1,100*(C16-D16),"")</f>
        <v/>
      </c>
      <c r="F16" s="9" t="n">
        <v>1</v>
      </c>
      <c r="G16" s="9" t="inlineStr"/>
    </row>
    <row r="17">
      <c r="A17" s="9" t="n">
        <v>-12</v>
      </c>
      <c r="B17" s="7" t="n">
        <v>40456</v>
      </c>
      <c r="C17" s="10" t="n">
        <v>3.069478</v>
      </c>
      <c r="D17" s="10" t="n">
        <v>3.016287067</v>
      </c>
      <c r="E17" s="17">
        <f>IF(F17=1,100*(C17-D17),"")</f>
        <v/>
      </c>
      <c r="F17" s="9" t="n">
        <v>1</v>
      </c>
      <c r="G17" s="9" t="inlineStr"/>
    </row>
    <row r="18">
      <c r="A18" s="9" t="n">
        <v>-11</v>
      </c>
      <c r="B18" s="7" t="n">
        <v>40457</v>
      </c>
      <c r="C18" s="10" t="n">
        <v>3.001183</v>
      </c>
      <c r="D18" s="10" t="n">
        <v>2.948636537</v>
      </c>
      <c r="E18" s="17">
        <f>IF(F18=1,100*(C18-D18),"")</f>
        <v/>
      </c>
      <c r="F18" s="9" t="n">
        <v>1</v>
      </c>
      <c r="G18" s="9" t="inlineStr"/>
    </row>
    <row r="19">
      <c r="A19" s="9" t="n">
        <v>-10</v>
      </c>
      <c r="B19" s="7" t="n">
        <v>40458</v>
      </c>
      <c r="C19" s="10" t="n">
        <v>3.03275</v>
      </c>
      <c r="D19" s="10" t="n">
        <v>2.979211559</v>
      </c>
      <c r="E19" s="17">
        <f>IF(F19=1,100*(C19-D19),"")</f>
        <v/>
      </c>
      <c r="F19" s="9" t="n">
        <v>1</v>
      </c>
      <c r="G19" s="9" t="inlineStr"/>
    </row>
    <row r="20">
      <c r="A20" s="9" t="n">
        <v>-9</v>
      </c>
      <c r="B20" s="7" t="n">
        <v>40459</v>
      </c>
      <c r="C20" s="10" t="n">
        <v>2.966538</v>
      </c>
      <c r="D20" s="10" t="n">
        <v>2.913602207</v>
      </c>
      <c r="E20" s="17">
        <f>IF(F20=1,100*(C20-D20),"")</f>
        <v/>
      </c>
      <c r="F20" s="9" t="n">
        <v>1</v>
      </c>
      <c r="G20" s="9" t="inlineStr"/>
    </row>
    <row r="21">
      <c r="A21" s="9" t="n">
        <v>-8</v>
      </c>
      <c r="B21" s="7" t="n">
        <v>40462</v>
      </c>
      <c r="C21" s="10" t="n">
        <v>2.985569</v>
      </c>
      <c r="D21" s="10" t="n">
        <v>2.933375566</v>
      </c>
      <c r="E21" s="17">
        <f>IF(F21=1,100*(C21-D21),"")</f>
        <v/>
      </c>
      <c r="F21" s="9" t="n">
        <v>1</v>
      </c>
      <c r="G21" s="9" t="inlineStr"/>
    </row>
    <row r="22">
      <c r="A22" s="9" t="n">
        <v>-7</v>
      </c>
      <c r="B22" s="7" t="n">
        <v>40463</v>
      </c>
      <c r="C22" s="10" t="n">
        <v>2.952618</v>
      </c>
      <c r="D22" s="10" t="n">
        <v>2.897856978</v>
      </c>
      <c r="E22" s="17">
        <f>IF(F22=1,100*(C22-D22),"")</f>
        <v/>
      </c>
      <c r="F22" s="9" t="n">
        <v>1</v>
      </c>
      <c r="G22" s="9" t="inlineStr"/>
    </row>
    <row r="23">
      <c r="A23" s="9" t="n">
        <v>-6</v>
      </c>
      <c r="B23" s="7" t="n">
        <v>40464</v>
      </c>
      <c r="C23" s="10" t="n">
        <v>2.987469</v>
      </c>
      <c r="D23" s="10" t="n">
        <v>2.930290889</v>
      </c>
      <c r="E23" s="17">
        <f>IF(F23=1,100*(C23-D23),"")</f>
        <v/>
      </c>
      <c r="F23" s="9" t="n">
        <v>1</v>
      </c>
      <c r="G23" s="9" t="inlineStr"/>
    </row>
    <row r="25">
      <c r="A25" s="6" t="inlineStr">
        <is>
          <t>Valid days (need ≥ 10)</t>
        </is>
      </c>
      <c r="B25" s="18">
        <f>SUM(F4:F23)</f>
        <v/>
      </c>
    </row>
    <row r="26">
      <c r="A26" s="6" t="inlineStr">
        <is>
          <t>Baseline = mean residual (bp)</t>
        </is>
      </c>
      <c r="B26" s="17">
        <f>IF(B25&gt;=10,AVERAGEIF(F4:F23,1,E4:E23),"n/a")</f>
        <v/>
      </c>
    </row>
    <row r="27">
      <c r="A27" s="6" t="inlineStr">
        <is>
          <t>M1 (bp), from the M1 sheet</t>
        </is>
      </c>
      <c r="B27" s="17">
        <f>'A2 M1'!B47</f>
        <v/>
      </c>
    </row>
    <row r="28">
      <c r="A28" s="6" t="inlineStr">
        <is>
          <t>M1b (bp) = M1 - baseline</t>
        </is>
      </c>
      <c r="B28" s="16">
        <f>IF(B25&gt;=10,B27-B26,"n/a")</f>
        <v/>
      </c>
    </row>
    <row r="29">
      <c r="A29" s="6" t="inlineStr">
        <is>
          <t>Python M1b (bp), for comparison</t>
        </is>
      </c>
      <c r="B29" s="8" t="n">
        <v>-3.296482755082152</v>
      </c>
    </row>
    <row r="30">
      <c r="A30" s="6" t="inlineStr">
        <is>
          <t>Python note</t>
        </is>
      </c>
      <c r="B30" s="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26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5" t="inlineStr">
        <is>
          <t>A2: control maturities = BoE points 2-30y more than 3y from the gilt's 9.88y to maturity (35 points). Top: z (%); bottom: daily change (bp).</t>
        </is>
      </c>
    </row>
    <row r="3">
      <c r="A3" s="3" t="inlineStr">
        <is>
          <t>k</t>
        </is>
      </c>
      <c r="B3" s="3" t="inlineStr">
        <is>
          <t>Date</t>
        </is>
      </c>
      <c r="C3" s="3" t="inlineStr">
        <is>
          <t>z 2y</t>
        </is>
      </c>
      <c r="D3" s="3" t="inlineStr">
        <is>
          <t>z 2.5y</t>
        </is>
      </c>
      <c r="E3" s="3" t="inlineStr">
        <is>
          <t>z 3y</t>
        </is>
      </c>
      <c r="F3" s="3" t="inlineStr">
        <is>
          <t>z 3.5y</t>
        </is>
      </c>
      <c r="G3" s="3" t="inlineStr">
        <is>
          <t>z 4y</t>
        </is>
      </c>
      <c r="H3" s="3" t="inlineStr">
        <is>
          <t>z 4.5y</t>
        </is>
      </c>
      <c r="I3" s="3" t="inlineStr">
        <is>
          <t>z 5y</t>
        </is>
      </c>
      <c r="J3" s="3" t="inlineStr">
        <is>
          <t>z 5.5y</t>
        </is>
      </c>
      <c r="K3" s="3" t="inlineStr">
        <is>
          <t>z 6y</t>
        </is>
      </c>
      <c r="L3" s="3" t="inlineStr">
        <is>
          <t>z 6.5y</t>
        </is>
      </c>
      <c r="M3" s="3" t="inlineStr">
        <is>
          <t>z 13y</t>
        </is>
      </c>
      <c r="N3" s="3" t="inlineStr">
        <is>
          <t>z 13.5y</t>
        </is>
      </c>
      <c r="O3" s="3" t="inlineStr">
        <is>
          <t>z 14y</t>
        </is>
      </c>
      <c r="P3" s="3" t="inlineStr">
        <is>
          <t>z 14.5y</t>
        </is>
      </c>
      <c r="Q3" s="3" t="inlineStr">
        <is>
          <t>z 15y</t>
        </is>
      </c>
      <c r="R3" s="3" t="inlineStr">
        <is>
          <t>z 15.5y</t>
        </is>
      </c>
      <c r="S3" s="3" t="inlineStr">
        <is>
          <t>z 16y</t>
        </is>
      </c>
      <c r="T3" s="3" t="inlineStr">
        <is>
          <t>z 16.5y</t>
        </is>
      </c>
      <c r="U3" s="3" t="inlineStr">
        <is>
          <t>z 17y</t>
        </is>
      </c>
      <c r="V3" s="3" t="inlineStr">
        <is>
          <t>z 17.5y</t>
        </is>
      </c>
      <c r="W3" s="3" t="inlineStr">
        <is>
          <t>z 18y</t>
        </is>
      </c>
      <c r="X3" s="3" t="inlineStr">
        <is>
          <t>z 18.5y</t>
        </is>
      </c>
      <c r="Y3" s="3" t="inlineStr">
        <is>
          <t>z 19y</t>
        </is>
      </c>
      <c r="Z3" s="3" t="inlineStr">
        <is>
          <t>z 19.5y</t>
        </is>
      </c>
      <c r="AA3" s="3" t="inlineStr">
        <is>
          <t>z 20y</t>
        </is>
      </c>
      <c r="AB3" s="3" t="inlineStr">
        <is>
          <t>z 20.5y</t>
        </is>
      </c>
      <c r="AC3" s="3" t="inlineStr">
        <is>
          <t>z 21y</t>
        </is>
      </c>
      <c r="AD3" s="3" t="inlineStr">
        <is>
          <t>z 21.5y</t>
        </is>
      </c>
      <c r="AE3" s="3" t="inlineStr">
        <is>
          <t>z 22y</t>
        </is>
      </c>
      <c r="AF3" s="3" t="inlineStr">
        <is>
          <t>z 22.5y</t>
        </is>
      </c>
      <c r="AG3" s="3" t="inlineStr">
        <is>
          <t>z 23y</t>
        </is>
      </c>
      <c r="AH3" s="3" t="inlineStr">
        <is>
          <t>z 23.5y</t>
        </is>
      </c>
      <c r="AI3" s="3" t="inlineStr">
        <is>
          <t>z 24y</t>
        </is>
      </c>
      <c r="AJ3" s="3" t="inlineStr">
        <is>
          <t>z 24.5y</t>
        </is>
      </c>
      <c r="AK3" s="3" t="inlineStr">
        <is>
          <t>z 25y</t>
        </is>
      </c>
    </row>
    <row r="4">
      <c r="A4" s="9" t="n">
        <v>-121</v>
      </c>
      <c r="B4" s="7" t="n">
        <v>40298</v>
      </c>
      <c r="C4" s="10" t="n">
        <v>1.258012186036963</v>
      </c>
      <c r="D4" s="10" t="n">
        <v>1.553597689450014</v>
      </c>
      <c r="E4" s="10" t="n">
        <v>1.830258765879796</v>
      </c>
      <c r="F4" s="10" t="n">
        <v>2.087243571280649</v>
      </c>
      <c r="G4" s="10" t="n">
        <v>2.325839663681118</v>
      </c>
      <c r="H4" s="10" t="n">
        <v>2.547489458631674</v>
      </c>
      <c r="I4" s="10" t="n">
        <v>2.753429533265693</v>
      </c>
      <c r="J4" s="10" t="n">
        <v>2.944656671734215</v>
      </c>
      <c r="K4" s="10" t="n">
        <v>3.121958054506051</v>
      </c>
      <c r="L4" s="10" t="n">
        <v>3.28597110343222</v>
      </c>
      <c r="M4" s="10" t="n">
        <v>4.442602735990826</v>
      </c>
      <c r="N4" s="10" t="n">
        <v>4.476502329993168</v>
      </c>
      <c r="O4" s="10" t="n">
        <v>4.505457632424913</v>
      </c>
      <c r="P4" s="10" t="n">
        <v>4.529990276973124</v>
      </c>
      <c r="Q4" s="10" t="n">
        <v>4.550605732357643</v>
      </c>
      <c r="R4" s="10" t="n">
        <v>4.567786882801107</v>
      </c>
      <c r="S4" s="10" t="n">
        <v>4.581973311757005</v>
      </c>
      <c r="T4" s="10" t="n">
        <v>4.593560753122426</v>
      </c>
      <c r="U4" s="10" t="n">
        <v>4.602907467300746</v>
      </c>
      <c r="V4" s="10" t="n">
        <v>4.610339594557857</v>
      </c>
      <c r="W4" s="10" t="n">
        <v>4.616155333885557</v>
      </c>
      <c r="X4" s="10" t="n">
        <v>4.620620286280269</v>
      </c>
      <c r="Y4" s="10" t="n">
        <v>4.623955695058164</v>
      </c>
      <c r="Z4" s="10" t="n">
        <v>4.626342383703188</v>
      </c>
      <c r="AA4" s="10" t="n">
        <v>4.627928769596059</v>
      </c>
      <c r="AB4" s="10" t="n">
        <v>4.628835436334226</v>
      </c>
      <c r="AC4" s="10" t="n">
        <v>4.629158442333916</v>
      </c>
      <c r="AD4" s="10" t="n">
        <v>4.628971930966808</v>
      </c>
      <c r="AE4" s="10" t="n">
        <v>4.628330122821031</v>
      </c>
      <c r="AF4" s="10" t="n">
        <v>4.627269480491867</v>
      </c>
      <c r="AG4" s="10" t="n">
        <v>4.6258127406836</v>
      </c>
      <c r="AH4" s="10" t="n">
        <v>4.623974714542274</v>
      </c>
      <c r="AI4" s="10" t="n">
        <v>4.621764073560116</v>
      </c>
      <c r="AJ4" s="10" t="n">
        <v>4.619184040461993</v>
      </c>
      <c r="AK4" s="10" t="n">
        <v>4.616234890756442</v>
      </c>
    </row>
    <row r="5">
      <c r="A5" s="9" t="n">
        <v>-120</v>
      </c>
      <c r="B5" s="7" t="n">
        <v>40302</v>
      </c>
      <c r="C5" s="10" t="n">
        <v>1.228425003346702</v>
      </c>
      <c r="D5" s="10" t="n">
        <v>1.518713202293203</v>
      </c>
      <c r="E5" s="10" t="n">
        <v>1.791118666352394</v>
      </c>
      <c r="F5" s="10" t="n">
        <v>2.044200381739289</v>
      </c>
      <c r="G5" s="10" t="n">
        <v>2.278983628780269</v>
      </c>
      <c r="H5" s="10" t="n">
        <v>2.49684588565688</v>
      </c>
      <c r="I5" s="10" t="n">
        <v>2.699048574387017</v>
      </c>
      <c r="J5" s="10" t="n">
        <v>2.886647024247615</v>
      </c>
      <c r="K5" s="10" t="n">
        <v>3.060494583342278</v>
      </c>
      <c r="L5" s="10" t="n">
        <v>3.221285940639885</v>
      </c>
      <c r="M5" s="10" t="n">
        <v>4.35987440110711</v>
      </c>
      <c r="N5" s="10" t="n">
        <v>4.393622842134068</v>
      </c>
      <c r="O5" s="10" t="n">
        <v>4.422517872508293</v>
      </c>
      <c r="P5" s="10" t="n">
        <v>4.447070490562605</v>
      </c>
      <c r="Q5" s="10" t="n">
        <v>4.467776749857899</v>
      </c>
      <c r="R5" s="10" t="n">
        <v>4.485111116289088</v>
      </c>
      <c r="S5" s="10" t="n">
        <v>4.499505825104412</v>
      </c>
      <c r="T5" s="10" t="n">
        <v>4.511350326445626</v>
      </c>
      <c r="U5" s="10" t="n">
        <v>4.520997508842112</v>
      </c>
      <c r="V5" s="10" t="n">
        <v>4.528768922298354</v>
      </c>
      <c r="W5" s="10" t="n">
        <v>4.534958838327453</v>
      </c>
      <c r="X5" s="10" t="n">
        <v>4.539829384598979</v>
      </c>
      <c r="Y5" s="10" t="n">
        <v>4.543598695999263</v>
      </c>
      <c r="Z5" s="10" t="n">
        <v>4.546444830075401</v>
      </c>
      <c r="AA5" s="10" t="n">
        <v>4.548513675194409</v>
      </c>
      <c r="AB5" s="10" t="n">
        <v>4.549923472481417</v>
      </c>
      <c r="AC5" s="10" t="n">
        <v>4.550768100643875</v>
      </c>
      <c r="AD5" s="10" t="n">
        <v>4.551119625989629</v>
      </c>
      <c r="AE5" s="10" t="n">
        <v>4.551030205189918</v>
      </c>
      <c r="AF5" s="10" t="n">
        <v>4.550534235499722</v>
      </c>
      <c r="AG5" s="10" t="n">
        <v>4.549652419247366</v>
      </c>
      <c r="AH5" s="10" t="n">
        <v>4.548397573987789</v>
      </c>
      <c r="AI5" s="10" t="n">
        <v>4.546776404099341</v>
      </c>
      <c r="AJ5" s="10" t="n">
        <v>4.544790191092626</v>
      </c>
      <c r="AK5" s="10" t="n">
        <v>4.542437324557035</v>
      </c>
    </row>
    <row r="6">
      <c r="A6" s="9" t="n">
        <v>-119</v>
      </c>
      <c r="B6" s="7" t="n">
        <v>40303</v>
      </c>
      <c r="C6" s="10" t="n">
        <v>1.206423405073976</v>
      </c>
      <c r="D6" s="10" t="n">
        <v>1.494795383067153</v>
      </c>
      <c r="E6" s="10" t="n">
        <v>1.766246556356692</v>
      </c>
      <c r="F6" s="10" t="n">
        <v>2.018966741415377</v>
      </c>
      <c r="G6" s="10" t="n">
        <v>2.253771701894688</v>
      </c>
      <c r="H6" s="10" t="n">
        <v>2.471895157928764</v>
      </c>
      <c r="I6" s="10" t="n">
        <v>2.674491059897746</v>
      </c>
      <c r="J6" s="10" t="n">
        <v>2.862531611586351</v>
      </c>
      <c r="K6" s="10" t="n">
        <v>3.036807434259453</v>
      </c>
      <c r="L6" s="10" t="n">
        <v>3.197969432874647</v>
      </c>
      <c r="M6" s="10" t="n">
        <v>4.339607253199889</v>
      </c>
      <c r="N6" s="10" t="n">
        <v>4.374099412752789</v>
      </c>
      <c r="O6" s="10" t="n">
        <v>4.403826946755613</v>
      </c>
      <c r="P6" s="10" t="n">
        <v>4.429289881491891</v>
      </c>
      <c r="Q6" s="10" t="n">
        <v>4.450972043118199</v>
      </c>
      <c r="R6" s="10" t="n">
        <v>4.469335060536674</v>
      </c>
      <c r="S6" s="10" t="n">
        <v>4.484799275298585</v>
      </c>
      <c r="T6" s="10" t="n">
        <v>4.497743549210655</v>
      </c>
      <c r="U6" s="10" t="n">
        <v>4.508511302992276</v>
      </c>
      <c r="V6" s="10" t="n">
        <v>4.517415579287984</v>
      </c>
      <c r="W6" s="10" t="n">
        <v>4.524742959753638</v>
      </c>
      <c r="X6" s="10" t="n">
        <v>4.530748498304944</v>
      </c>
      <c r="Y6" s="10" t="n">
        <v>4.535643820929467</v>
      </c>
      <c r="Z6" s="10" t="n">
        <v>4.539601122574344</v>
      </c>
      <c r="AA6" s="10" t="n">
        <v>4.542761160154489</v>
      </c>
      <c r="AB6" s="10" t="n">
        <v>4.545237710686261</v>
      </c>
      <c r="AC6" s="10" t="n">
        <v>4.547120777752038</v>
      </c>
      <c r="AD6" s="10" t="n">
        <v>4.548479115796835</v>
      </c>
      <c r="AE6" s="10" t="n">
        <v>4.549362161898134</v>
      </c>
      <c r="AF6" s="10" t="n">
        <v>4.549802143992735</v>
      </c>
      <c r="AG6" s="10" t="n">
        <v>4.54981810741304</v>
      </c>
      <c r="AH6" s="10" t="n">
        <v>4.549421661552393</v>
      </c>
      <c r="AI6" s="10" t="n">
        <v>4.548618689955734</v>
      </c>
      <c r="AJ6" s="10" t="n">
        <v>4.547410002792999</v>
      </c>
      <c r="AK6" s="10" t="n">
        <v>4.545793849589606</v>
      </c>
    </row>
    <row r="7">
      <c r="A7" s="9" t="n">
        <v>-118</v>
      </c>
      <c r="B7" s="7" t="n">
        <v>40304</v>
      </c>
      <c r="C7" s="10" t="n">
        <v>1.2164452775748</v>
      </c>
      <c r="D7" s="10" t="n">
        <v>1.503165384700652</v>
      </c>
      <c r="E7" s="10" t="n">
        <v>1.772465760475332</v>
      </c>
      <c r="F7" s="10" t="n">
        <v>2.022836311674912</v>
      </c>
      <c r="G7" s="10" t="n">
        <v>2.255222710297828</v>
      </c>
      <c r="H7" s="10" t="n">
        <v>2.470920568975835</v>
      </c>
      <c r="I7" s="10" t="n">
        <v>2.671119847050116</v>
      </c>
      <c r="J7" s="10" t="n">
        <v>2.856819489676927</v>
      </c>
      <c r="K7" s="10" t="n">
        <v>3.02883367785893</v>
      </c>
      <c r="L7" s="10" t="n">
        <v>3.187832651099911</v>
      </c>
      <c r="M7" s="10" t="n">
        <v>4.311568931769733</v>
      </c>
      <c r="N7" s="10" t="n">
        <v>4.345312937272858</v>
      </c>
      <c r="O7" s="10" t="n">
        <v>4.374354409599877</v>
      </c>
      <c r="P7" s="10" t="n">
        <v>4.399187874420501</v>
      </c>
      <c r="Q7" s="10" t="n">
        <v>4.420291683273723</v>
      </c>
      <c r="R7" s="10" t="n">
        <v>4.438122011690005</v>
      </c>
      <c r="S7" s="10" t="n">
        <v>4.453094042145229</v>
      </c>
      <c r="T7" s="10" t="n">
        <v>4.465581887155178</v>
      </c>
      <c r="U7" s="10" t="n">
        <v>4.475924571253547</v>
      </c>
      <c r="V7" s="10" t="n">
        <v>4.484431043560813</v>
      </c>
      <c r="W7" s="10" t="n">
        <v>4.491384047198586</v>
      </c>
      <c r="X7" s="10" t="n">
        <v>4.497035043096843</v>
      </c>
      <c r="Y7" s="10" t="n">
        <v>4.501592519535391</v>
      </c>
      <c r="Z7" s="10" t="n">
        <v>4.505226039360131</v>
      </c>
      <c r="AA7" s="10" t="n">
        <v>4.50807416798052</v>
      </c>
      <c r="AB7" s="10" t="n">
        <v>4.510248868740997</v>
      </c>
      <c r="AC7" s="10" t="n">
        <v>4.511838664768932</v>
      </c>
      <c r="AD7" s="10" t="n">
        <v>4.512911145649794</v>
      </c>
      <c r="AE7" s="10" t="n">
        <v>4.513514911166964</v>
      </c>
      <c r="AF7" s="10" t="n">
        <v>4.513681656686871</v>
      </c>
      <c r="AG7" s="10" t="n">
        <v>4.513430183045518</v>
      </c>
      <c r="AH7" s="10" t="n">
        <v>4.512772092577992</v>
      </c>
      <c r="AI7" s="10" t="n">
        <v>4.511713457580264</v>
      </c>
      <c r="AJ7" s="10" t="n">
        <v>4.51025545460765</v>
      </c>
      <c r="AK7" s="10" t="n">
        <v>4.508396878340318</v>
      </c>
    </row>
    <row r="8">
      <c r="A8" s="9" t="n">
        <v>-117</v>
      </c>
      <c r="B8" s="7" t="n">
        <v>40305</v>
      </c>
      <c r="C8" s="10" t="n">
        <v>1.232172051046807</v>
      </c>
      <c r="D8" s="10" t="n">
        <v>1.518336842100637</v>
      </c>
      <c r="E8" s="10" t="n">
        <v>1.787966934746</v>
      </c>
      <c r="F8" s="10" t="n">
        <v>2.039409717129478</v>
      </c>
      <c r="G8" s="10" t="n">
        <v>2.273458976607024</v>
      </c>
      <c r="H8" s="10" t="n">
        <v>2.491268176629763</v>
      </c>
      <c r="I8" s="10" t="n">
        <v>2.693891887436412</v>
      </c>
      <c r="J8" s="10" t="n">
        <v>2.882195181131979</v>
      </c>
      <c r="K8" s="10" t="n">
        <v>3.056861782230379</v>
      </c>
      <c r="L8" s="10" t="n">
        <v>3.218438364727212</v>
      </c>
      <c r="M8" s="10" t="n">
        <v>4.347175641130232</v>
      </c>
      <c r="N8" s="10" t="n">
        <v>4.379340943424138</v>
      </c>
      <c r="O8" s="10" t="n">
        <v>4.406680379894864</v>
      </c>
      <c r="P8" s="10" t="n">
        <v>4.429721112290139</v>
      </c>
      <c r="Q8" s="10" t="n">
        <v>4.448972630678169</v>
      </c>
      <c r="R8" s="10" t="n">
        <v>4.464919714260001</v>
      </c>
      <c r="S8" s="10" t="n">
        <v>4.478001632246881</v>
      </c>
      <c r="T8" s="10" t="n">
        <v>4.488612343678265</v>
      </c>
      <c r="U8" s="10" t="n">
        <v>4.497107105530497</v>
      </c>
      <c r="V8" s="10" t="n">
        <v>4.503808001582966</v>
      </c>
      <c r="W8" s="10" t="n">
        <v>4.509008205301672</v>
      </c>
      <c r="X8" s="10" t="n">
        <v>4.512966829658324</v>
      </c>
      <c r="Y8" s="10" t="n">
        <v>4.515897396223021</v>
      </c>
      <c r="Z8" s="10" t="n">
        <v>4.517972417636922</v>
      </c>
      <c r="AA8" s="10" t="n">
        <v>4.5193316843477</v>
      </c>
      <c r="AB8" s="10" t="n">
        <v>4.520086863941724</v>
      </c>
      <c r="AC8" s="10" t="n">
        <v>4.520324848838743</v>
      </c>
      <c r="AD8" s="10" t="n">
        <v>4.52011058517065</v>
      </c>
      <c r="AE8" s="10" t="n">
        <v>4.519489467133877</v>
      </c>
      <c r="AF8" s="10" t="n">
        <v>4.518489570419625</v>
      </c>
      <c r="AG8" s="10" t="n">
        <v>4.517125975399329</v>
      </c>
      <c r="AH8" s="10" t="n">
        <v>4.515406833105335</v>
      </c>
      <c r="AI8" s="10" t="n">
        <v>4.513335041959052</v>
      </c>
      <c r="AJ8" s="10" t="n">
        <v>4.510908863087798</v>
      </c>
      <c r="AK8" s="10" t="n">
        <v>4.508124558766248</v>
      </c>
    </row>
    <row r="9">
      <c r="A9" s="9" t="n">
        <v>-116</v>
      </c>
      <c r="B9" s="7" t="n">
        <v>40308</v>
      </c>
      <c r="C9" s="10" t="n">
        <v>1.278254472610381</v>
      </c>
      <c r="D9" s="10" t="n">
        <v>1.573703591260572</v>
      </c>
      <c r="E9" s="10" t="n">
        <v>1.850168044775251</v>
      </c>
      <c r="F9" s="10" t="n">
        <v>2.106860504619161</v>
      </c>
      <c r="G9" s="10" t="n">
        <v>2.345031218651846</v>
      </c>
      <c r="H9" s="10" t="n">
        <v>2.566091217657361</v>
      </c>
      <c r="I9" s="10" t="n">
        <v>2.771264717673744</v>
      </c>
      <c r="J9" s="10" t="n">
        <v>2.961553285533418</v>
      </c>
      <c r="K9" s="10" t="n">
        <v>3.137760054225977</v>
      </c>
      <c r="L9" s="10" t="n">
        <v>3.300532333889342</v>
      </c>
      <c r="M9" s="10" t="n">
        <v>4.438438255144982</v>
      </c>
      <c r="N9" s="10" t="n">
        <v>4.47161214628295</v>
      </c>
      <c r="O9" s="10" t="n">
        <v>4.500000531523964</v>
      </c>
      <c r="P9" s="10" t="n">
        <v>4.524118494444145</v>
      </c>
      <c r="Q9" s="10" t="n">
        <v>4.544462572992268</v>
      </c>
      <c r="R9" s="10" t="n">
        <v>4.561504332376835</v>
      </c>
      <c r="S9" s="10" t="n">
        <v>4.575671069184554</v>
      </c>
      <c r="T9" s="10" t="n">
        <v>4.587346300992618</v>
      </c>
      <c r="U9" s="10" t="n">
        <v>4.596876155113251</v>
      </c>
      <c r="V9" s="10" t="n">
        <v>4.604574710060138</v>
      </c>
      <c r="W9" s="10" t="n">
        <v>4.610728105439009</v>
      </c>
      <c r="X9" s="10" t="n">
        <v>4.615589528091877</v>
      </c>
      <c r="Y9" s="10" t="n">
        <v>4.619368197696224</v>
      </c>
      <c r="Z9" s="10" t="n">
        <v>4.622233859590489</v>
      </c>
      <c r="AA9" s="10" t="n">
        <v>4.624324761252151</v>
      </c>
      <c r="AB9" s="10" t="n">
        <v>4.625752071332653</v>
      </c>
      <c r="AC9" s="10" t="n">
        <v>4.626603102100153</v>
      </c>
      <c r="AD9" s="10" t="n">
        <v>4.626944008988772</v>
      </c>
      <c r="AE9" s="10" t="n">
        <v>4.626822053864245</v>
      </c>
      <c r="AF9" s="10" t="n">
        <v>4.626267756485171</v>
      </c>
      <c r="AG9" s="10" t="n">
        <v>4.625299079499332</v>
      </c>
      <c r="AH9" s="10" t="n">
        <v>4.623927248082548</v>
      </c>
      <c r="AI9" s="10" t="n">
        <v>4.622158353475195</v>
      </c>
      <c r="AJ9" s="10" t="n">
        <v>4.619993955353713</v>
      </c>
      <c r="AK9" s="10" t="n">
        <v>4.617433649809865</v>
      </c>
    </row>
    <row r="10">
      <c r="A10" s="9" t="n">
        <v>-115</v>
      </c>
      <c r="B10" s="7" t="n">
        <v>40309</v>
      </c>
      <c r="C10" s="10" t="n">
        <v>1.271251808809418</v>
      </c>
      <c r="D10" s="10" t="n">
        <v>1.56102363879645</v>
      </c>
      <c r="E10" s="10" t="n">
        <v>1.833169689731132</v>
      </c>
      <c r="F10" s="10" t="n">
        <v>2.086352847143925</v>
      </c>
      <c r="G10" s="10" t="n">
        <v>2.321493273959548</v>
      </c>
      <c r="H10" s="10" t="n">
        <v>2.539844687938572</v>
      </c>
      <c r="I10" s="10" t="n">
        <v>2.742573016531933</v>
      </c>
      <c r="J10" s="10" t="n">
        <v>2.930673988829805</v>
      </c>
      <c r="K10" s="10" t="n">
        <v>3.10497507286453</v>
      </c>
      <c r="L10" s="10" t="n">
        <v>3.266164602106213</v>
      </c>
      <c r="M10" s="10" t="n">
        <v>4.418996002659195</v>
      </c>
      <c r="N10" s="10" t="n">
        <v>4.455079970346907</v>
      </c>
      <c r="O10" s="10" t="n">
        <v>4.48638052718501</v>
      </c>
      <c r="P10" s="10" t="n">
        <v>4.513367265087052</v>
      </c>
      <c r="Q10" s="10" t="n">
        <v>4.536494405562211</v>
      </c>
      <c r="R10" s="10" t="n">
        <v>4.556195485312404</v>
      </c>
      <c r="S10" s="10" t="n">
        <v>4.572867627144625</v>
      </c>
      <c r="T10" s="10" t="n">
        <v>4.586872040423842</v>
      </c>
      <c r="U10" s="10" t="n">
        <v>4.598539264123292</v>
      </c>
      <c r="V10" s="10" t="n">
        <v>4.60817354830901</v>
      </c>
      <c r="W10" s="10" t="n">
        <v>4.616056169153794</v>
      </c>
      <c r="X10" s="10" t="n">
        <v>4.622440052062507</v>
      </c>
      <c r="Y10" s="10" t="n">
        <v>4.627538862434326</v>
      </c>
      <c r="Z10" s="10" t="n">
        <v>4.63153081793864</v>
      </c>
      <c r="AA10" s="10" t="n">
        <v>4.634565686613802</v>
      </c>
      <c r="AB10" s="10" t="n">
        <v>4.636768737230831</v>
      </c>
      <c r="AC10" s="10" t="n">
        <v>4.638243641109936</v>
      </c>
      <c r="AD10" s="10" t="n">
        <v>4.639074530055713</v>
      </c>
      <c r="AE10" s="10" t="n">
        <v>4.639327368902351</v>
      </c>
      <c r="AF10" s="10" t="n">
        <v>4.639051872125904</v>
      </c>
      <c r="AG10" s="10" t="n">
        <v>4.638285168088435</v>
      </c>
      <c r="AH10" s="10" t="n">
        <v>4.637056693198283</v>
      </c>
      <c r="AI10" s="10" t="n">
        <v>4.635389698343883</v>
      </c>
      <c r="AJ10" s="10" t="n">
        <v>4.633301935761866</v>
      </c>
      <c r="AK10" s="10" t="n">
        <v>4.630807676195252</v>
      </c>
    </row>
    <row r="11">
      <c r="A11" s="9" t="n">
        <v>-114</v>
      </c>
      <c r="B11" s="7" t="n">
        <v>40310</v>
      </c>
      <c r="C11" s="10" t="n">
        <v>1.198808462023104</v>
      </c>
      <c r="D11" s="10" t="n">
        <v>1.485610329990243</v>
      </c>
      <c r="E11" s="10" t="n">
        <v>1.757865309192082</v>
      </c>
      <c r="F11" s="10" t="n">
        <v>2.012853507792533</v>
      </c>
      <c r="G11" s="10" t="n">
        <v>2.250617560735037</v>
      </c>
      <c r="H11" s="10" t="n">
        <v>2.471870956044792</v>
      </c>
      <c r="I11" s="10" t="n">
        <v>2.677474240437604</v>
      </c>
      <c r="J11" s="10" t="n">
        <v>2.86827210593516</v>
      </c>
      <c r="K11" s="10" t="n">
        <v>3.045032936601566</v>
      </c>
      <c r="L11" s="10" t="n">
        <v>3.208436697408053</v>
      </c>
      <c r="M11" s="10" t="n">
        <v>4.381513818560657</v>
      </c>
      <c r="N11" s="10" t="n">
        <v>4.419306582767524</v>
      </c>
      <c r="O11" s="10" t="n">
        <v>4.452368725857327</v>
      </c>
      <c r="P11" s="10" t="n">
        <v>4.481163132804236</v>
      </c>
      <c r="Q11" s="10" t="n">
        <v>4.506135828422472</v>
      </c>
      <c r="R11" s="10" t="n">
        <v>4.527710973744431</v>
      </c>
      <c r="S11" s="10" t="n">
        <v>4.546275722097061</v>
      </c>
      <c r="T11" s="10" t="n">
        <v>4.562180978899297</v>
      </c>
      <c r="U11" s="10" t="n">
        <v>4.575746696586938</v>
      </c>
      <c r="V11" s="10" t="n">
        <v>4.587266296467372</v>
      </c>
      <c r="W11" s="10" t="n">
        <v>4.597010010577384</v>
      </c>
      <c r="X11" s="10" t="n">
        <v>4.605219537447297</v>
      </c>
      <c r="Y11" s="10" t="n">
        <v>4.612097349246784</v>
      </c>
      <c r="Z11" s="10" t="n">
        <v>4.617810792575301</v>
      </c>
      <c r="AA11" s="10" t="n">
        <v>4.622499407326073</v>
      </c>
      <c r="AB11" s="10" t="n">
        <v>4.626278858460051</v>
      </c>
      <c r="AC11" s="10" t="n">
        <v>4.629243770579324</v>
      </c>
      <c r="AD11" s="10" t="n">
        <v>4.631469928215498</v>
      </c>
      <c r="AE11" s="10" t="n">
        <v>4.633015961782962</v>
      </c>
      <c r="AF11" s="10" t="n">
        <v>4.633925239966311</v>
      </c>
      <c r="AG11" s="10" t="n">
        <v>4.634229647215372</v>
      </c>
      <c r="AH11" s="10" t="n">
        <v>4.633954725745439</v>
      </c>
      <c r="AI11" s="10" t="n">
        <v>4.633121103114791</v>
      </c>
      <c r="AJ11" s="10" t="n">
        <v>4.631745066562195</v>
      </c>
      <c r="AK11" s="10" t="n">
        <v>4.629840891247554</v>
      </c>
    </row>
    <row r="12">
      <c r="A12" s="9" t="n">
        <v>-113</v>
      </c>
      <c r="B12" s="7" t="n">
        <v>40311</v>
      </c>
      <c r="C12" s="10" t="n">
        <v>1.141551768355598</v>
      </c>
      <c r="D12" s="10" t="n">
        <v>1.420589957359581</v>
      </c>
      <c r="E12" s="10" t="n">
        <v>1.690617738610757</v>
      </c>
      <c r="F12" s="10" t="n">
        <v>1.947168192946085</v>
      </c>
      <c r="G12" s="10" t="n">
        <v>2.18906016005097</v>
      </c>
      <c r="H12" s="10" t="n">
        <v>2.416135076188675</v>
      </c>
      <c r="I12" s="10" t="n">
        <v>2.628602648696704</v>
      </c>
      <c r="J12" s="10" t="n">
        <v>2.826800302322511</v>
      </c>
      <c r="K12" s="10" t="n">
        <v>3.011095199368383</v>
      </c>
      <c r="L12" s="10" t="n">
        <v>3.181855767556044</v>
      </c>
      <c r="M12" s="10" t="n">
        <v>4.402475022051824</v>
      </c>
      <c r="N12" s="10" t="n">
        <v>4.441050245649627</v>
      </c>
      <c r="O12" s="10" t="n">
        <v>4.474661276526827</v>
      </c>
      <c r="P12" s="10" t="n">
        <v>4.503796891738853</v>
      </c>
      <c r="Q12" s="10" t="n">
        <v>4.528926976890352</v>
      </c>
      <c r="R12" s="10" t="n">
        <v>4.550497585946943</v>
      </c>
      <c r="S12" s="10" t="n">
        <v>4.568915703943587</v>
      </c>
      <c r="T12" s="10" t="n">
        <v>4.584550278355878</v>
      </c>
      <c r="U12" s="10" t="n">
        <v>4.597737778283126</v>
      </c>
      <c r="V12" s="10" t="n">
        <v>4.608786834216389</v>
      </c>
      <c r="W12" s="10" t="n">
        <v>4.617981750642706</v>
      </c>
      <c r="X12" s="10" t="n">
        <v>4.625577222951128</v>
      </c>
      <c r="Y12" s="10" t="n">
        <v>4.631787802577076</v>
      </c>
      <c r="Z12" s="10" t="n">
        <v>4.636792087054686</v>
      </c>
      <c r="AA12" s="10" t="n">
        <v>4.640739989873585</v>
      </c>
      <c r="AB12" s="10" t="n">
        <v>4.643756743927839</v>
      </c>
      <c r="AC12" s="10" t="n">
        <v>4.645945829115443</v>
      </c>
      <c r="AD12" s="10" t="n">
        <v>4.647391184934226</v>
      </c>
      <c r="AE12" s="10" t="n">
        <v>4.648158852719911</v>
      </c>
      <c r="AF12" s="10" t="n">
        <v>4.64829892963709</v>
      </c>
      <c r="AG12" s="10" t="n">
        <v>4.647849416199565</v>
      </c>
      <c r="AH12" s="10" t="n">
        <v>4.646841368663483</v>
      </c>
      <c r="AI12" s="10" t="n">
        <v>4.645300368198822</v>
      </c>
      <c r="AJ12" s="10" t="n">
        <v>4.643247153141419</v>
      </c>
      <c r="AK12" s="10" t="n">
        <v>4.640699982289218</v>
      </c>
    </row>
    <row r="13">
      <c r="A13" s="9" t="n">
        <v>-112</v>
      </c>
      <c r="B13" s="7" t="n">
        <v>40312</v>
      </c>
      <c r="C13" s="10" t="n">
        <v>1.088367942091019</v>
      </c>
      <c r="D13" s="10" t="n">
        <v>1.350100601500961</v>
      </c>
      <c r="E13" s="10" t="n">
        <v>1.608595987499692</v>
      </c>
      <c r="F13" s="10" t="n">
        <v>1.857785292383471</v>
      </c>
      <c r="G13" s="10" t="n">
        <v>2.09528620486323</v>
      </c>
      <c r="H13" s="10" t="n">
        <v>2.320104652507418</v>
      </c>
      <c r="I13" s="10" t="n">
        <v>2.531863787821744</v>
      </c>
      <c r="J13" s="10" t="n">
        <v>2.730473024014758</v>
      </c>
      <c r="K13" s="10" t="n">
        <v>2.91597679979998</v>
      </c>
      <c r="L13" s="10" t="n">
        <v>3.088489861116495</v>
      </c>
      <c r="M13" s="10" t="n">
        <v>4.331436188415202</v>
      </c>
      <c r="N13" s="10" t="n">
        <v>4.370728115318415</v>
      </c>
      <c r="O13" s="10" t="n">
        <v>4.40496155641743</v>
      </c>
      <c r="P13" s="10" t="n">
        <v>4.434641754634954</v>
      </c>
      <c r="Q13" s="10" t="n">
        <v>4.460254549387284</v>
      </c>
      <c r="R13" s="10" t="n">
        <v>4.482260639579496</v>
      </c>
      <c r="S13" s="10" t="n">
        <v>4.501079221932908</v>
      </c>
      <c r="T13" s="10" t="n">
        <v>4.517089249357853</v>
      </c>
      <c r="U13" s="10" t="n">
        <v>4.530635317628324</v>
      </c>
      <c r="V13" s="10" t="n">
        <v>4.542032573544311</v>
      </c>
      <c r="W13" s="10" t="n">
        <v>4.551570409698244</v>
      </c>
      <c r="X13" s="10" t="n">
        <v>4.559506927011371</v>
      </c>
      <c r="Y13" s="10" t="n">
        <v>4.566058420867569</v>
      </c>
      <c r="Z13" s="10" t="n">
        <v>4.57140409573042</v>
      </c>
      <c r="AA13" s="10" t="n">
        <v>4.575693783260999</v>
      </c>
      <c r="AB13" s="10" t="n">
        <v>4.579052062071921</v>
      </c>
      <c r="AC13" s="10" t="n">
        <v>4.581581258481249</v>
      </c>
      <c r="AD13" s="10" t="n">
        <v>4.58336386910629</v>
      </c>
      <c r="AE13" s="10" t="n">
        <v>4.584464524031229</v>
      </c>
      <c r="AF13" s="10" t="n">
        <v>4.584932004449535</v>
      </c>
      <c r="AG13" s="10" t="n">
        <v>4.584803194347644</v>
      </c>
      <c r="AH13" s="10" t="n">
        <v>4.584108275382628</v>
      </c>
      <c r="AI13" s="10" t="n">
        <v>4.582872152125549</v>
      </c>
      <c r="AJ13" s="10" t="n">
        <v>4.581115070972418</v>
      </c>
      <c r="AK13" s="10" t="n">
        <v>4.578855031680318</v>
      </c>
    </row>
    <row r="14">
      <c r="A14" s="9" t="n">
        <v>-111</v>
      </c>
      <c r="B14" s="7" t="n">
        <v>40315</v>
      </c>
      <c r="C14" s="10" t="n">
        <v>1.061015395295146</v>
      </c>
      <c r="D14" s="10" t="n">
        <v>1.320141084965277</v>
      </c>
      <c r="E14" s="10" t="n">
        <v>1.577097651967339</v>
      </c>
      <c r="F14" s="10" t="n">
        <v>1.825718053189883</v>
      </c>
      <c r="G14" s="10" t="n">
        <v>2.063493539389371</v>
      </c>
      <c r="H14" s="10" t="n">
        <v>2.289288291502472</v>
      </c>
      <c r="I14" s="10" t="n">
        <v>2.502579317897978</v>
      </c>
      <c r="J14" s="10" t="n">
        <v>2.703134401870726</v>
      </c>
      <c r="K14" s="10" t="n">
        <v>2.890866031038307</v>
      </c>
      <c r="L14" s="10" t="n">
        <v>3.065768101769039</v>
      </c>
      <c r="M14" s="10" t="n">
        <v>4.330759106932367</v>
      </c>
      <c r="N14" s="10" t="n">
        <v>4.370743617608159</v>
      </c>
      <c r="O14" s="10" t="n">
        <v>4.405565620365618</v>
      </c>
      <c r="P14" s="10" t="n">
        <v>4.435742501892697</v>
      </c>
      <c r="Q14" s="10" t="n">
        <v>4.461772394386569</v>
      </c>
      <c r="R14" s="10" t="n">
        <v>4.484127988698145</v>
      </c>
      <c r="S14" s="10" t="n">
        <v>4.503239503251177</v>
      </c>
      <c r="T14" s="10" t="n">
        <v>4.519495979666126</v>
      </c>
      <c r="U14" s="10" t="n">
        <v>4.533251307263256</v>
      </c>
      <c r="V14" s="10" t="n">
        <v>4.544829244819811</v>
      </c>
      <c r="W14" s="10" t="n">
        <v>4.554527185514889</v>
      </c>
      <c r="X14" s="10" t="n">
        <v>4.56261033071955</v>
      </c>
      <c r="Y14" s="10" t="n">
        <v>4.569300875866345</v>
      </c>
      <c r="Z14" s="10" t="n">
        <v>4.574782890621221</v>
      </c>
      <c r="AA14" s="10" t="n">
        <v>4.579210207204275</v>
      </c>
      <c r="AB14" s="10" t="n">
        <v>4.582710645021829</v>
      </c>
      <c r="AC14" s="10" t="n">
        <v>4.585389101455354</v>
      </c>
      <c r="AD14" s="10" t="n">
        <v>4.587330046701834</v>
      </c>
      <c r="AE14" s="10" t="n">
        <v>4.588599548535542</v>
      </c>
      <c r="AF14" s="10" t="n">
        <v>4.58924735229847</v>
      </c>
      <c r="AG14" s="10" t="n">
        <v>4.589310919999223</v>
      </c>
      <c r="AH14" s="10" t="n">
        <v>4.588820681632229</v>
      </c>
      <c r="AI14" s="10" t="n">
        <v>4.587801487460532</v>
      </c>
      <c r="AJ14" s="10" t="n">
        <v>4.586273260592561</v>
      </c>
      <c r="AK14" s="10" t="n">
        <v>4.584253466691812</v>
      </c>
    </row>
    <row r="15">
      <c r="A15" s="9" t="n">
        <v>-110</v>
      </c>
      <c r="B15" s="7" t="n">
        <v>40316</v>
      </c>
      <c r="C15" s="10" t="n">
        <v>1.076164707964601</v>
      </c>
      <c r="D15" s="10" t="n">
        <v>1.333573726144144</v>
      </c>
      <c r="E15" s="10" t="n">
        <v>1.588960890249547</v>
      </c>
      <c r="F15" s="10" t="n">
        <v>1.836327307158659</v>
      </c>
      <c r="G15" s="10" t="n">
        <v>2.073146577782343</v>
      </c>
      <c r="H15" s="10" t="n">
        <v>2.298224296114384</v>
      </c>
      <c r="I15" s="10" t="n">
        <v>2.510976678938265</v>
      </c>
      <c r="J15" s="10" t="n">
        <v>2.711124329849656</v>
      </c>
      <c r="K15" s="10" t="n">
        <v>2.8985474686738</v>
      </c>
      <c r="L15" s="10" t="n">
        <v>3.07321516029251</v>
      </c>
      <c r="M15" s="10" t="n">
        <v>4.337359595261252</v>
      </c>
      <c r="N15" s="10" t="n">
        <v>4.377452711307461</v>
      </c>
      <c r="O15" s="10" t="n">
        <v>4.412418466488828</v>
      </c>
      <c r="P15" s="10" t="n">
        <v>4.442775797195956</v>
      </c>
      <c r="Q15" s="10" t="n">
        <v>4.469024434359709</v>
      </c>
      <c r="R15" s="10" t="n">
        <v>4.491638593663967</v>
      </c>
      <c r="S15" s="10" t="n">
        <v>4.511049953709439</v>
      </c>
      <c r="T15" s="10" t="n">
        <v>4.527649027985888</v>
      </c>
      <c r="U15" s="10" t="n">
        <v>4.541791189318627</v>
      </c>
      <c r="V15" s="10" t="n">
        <v>4.553801689963443</v>
      </c>
      <c r="W15" s="10" t="n">
        <v>4.563979402857888</v>
      </c>
      <c r="X15" s="10" t="n">
        <v>4.572590690268187</v>
      </c>
      <c r="Y15" s="10" t="n">
        <v>4.579858325155824</v>
      </c>
      <c r="Z15" s="10" t="n">
        <v>4.58596642139713</v>
      </c>
      <c r="AA15" s="10" t="n">
        <v>4.591068335395962</v>
      </c>
      <c r="AB15" s="10" t="n">
        <v>4.595290937490775</v>
      </c>
      <c r="AC15" s="10" t="n">
        <v>4.598737755981368</v>
      </c>
      <c r="AD15" s="10" t="n">
        <v>4.601491449198754</v>
      </c>
      <c r="AE15" s="10" t="n">
        <v>4.603615761116019</v>
      </c>
      <c r="AF15" s="10" t="n">
        <v>4.605157642517042</v>
      </c>
      <c r="AG15" s="10" t="n">
        <v>4.606151419894615</v>
      </c>
      <c r="AH15" s="10" t="n">
        <v>4.606624171006519</v>
      </c>
      <c r="AI15" s="10" t="n">
        <v>4.606597205530391</v>
      </c>
      <c r="AJ15" s="10" t="n">
        <v>4.606086742369508</v>
      </c>
      <c r="AK15" s="10" t="n">
        <v>4.605106489145117</v>
      </c>
    </row>
    <row r="16">
      <c r="A16" s="9" t="n">
        <v>-109</v>
      </c>
      <c r="B16" s="7" t="n">
        <v>40317</v>
      </c>
      <c r="C16" s="10" t="n">
        <v>1.035623284042454</v>
      </c>
      <c r="D16" s="10" t="n">
        <v>1.27994226160745</v>
      </c>
      <c r="E16" s="10" t="n">
        <v>1.524860389180959</v>
      </c>
      <c r="F16" s="10" t="n">
        <v>1.7640481760975</v>
      </c>
      <c r="G16" s="10" t="n">
        <v>1.994587928875472</v>
      </c>
      <c r="H16" s="10" t="n">
        <v>2.214934718751231</v>
      </c>
      <c r="I16" s="10" t="n">
        <v>2.424209694580209</v>
      </c>
      <c r="J16" s="10" t="n">
        <v>2.62188944321167</v>
      </c>
      <c r="K16" s="10" t="n">
        <v>2.807648989652753</v>
      </c>
      <c r="L16" s="10" t="n">
        <v>2.981288803099066</v>
      </c>
      <c r="M16" s="10" t="n">
        <v>4.250148640641929</v>
      </c>
      <c r="N16" s="10" t="n">
        <v>4.290690284583468</v>
      </c>
      <c r="O16" s="10" t="n">
        <v>4.326064044756785</v>
      </c>
      <c r="P16" s="10" t="n">
        <v>4.356790477770772</v>
      </c>
      <c r="Q16" s="10" t="n">
        <v>4.383372174449699</v>
      </c>
      <c r="R16" s="10" t="n">
        <v>4.406286912895971</v>
      </c>
      <c r="S16" s="10" t="n">
        <v>4.425970037261371</v>
      </c>
      <c r="T16" s="10" t="n">
        <v>4.442815763796676</v>
      </c>
      <c r="U16" s="10" t="n">
        <v>4.457183200778987</v>
      </c>
      <c r="V16" s="10" t="n">
        <v>4.469401363936543</v>
      </c>
      <c r="W16" s="10" t="n">
        <v>4.479772892520817</v>
      </c>
      <c r="X16" s="10" t="n">
        <v>4.488567646683967</v>
      </c>
      <c r="Y16" s="10" t="n">
        <v>4.496011426276349</v>
      </c>
      <c r="Z16" s="10" t="n">
        <v>4.5022910000522</v>
      </c>
      <c r="AA16" s="10" t="n">
        <v>4.507562084500918</v>
      </c>
      <c r="AB16" s="10" t="n">
        <v>4.511953648950451</v>
      </c>
      <c r="AC16" s="10" t="n">
        <v>4.515571089592173</v>
      </c>
      <c r="AD16" s="10" t="n">
        <v>4.518498708202397</v>
      </c>
      <c r="AE16" s="10" t="n">
        <v>4.52080166392977</v>
      </c>
      <c r="AF16" s="10" t="n">
        <v>4.522528118847916</v>
      </c>
      <c r="AG16" s="10" t="n">
        <v>4.523713459202673</v>
      </c>
      <c r="AH16" s="10" t="n">
        <v>4.524385689997385</v>
      </c>
      <c r="AI16" s="10" t="n">
        <v>4.52456691982912</v>
      </c>
      <c r="AJ16" s="10" t="n">
        <v>4.524274053157765</v>
      </c>
      <c r="AK16" s="10" t="n">
        <v>4.523521386424974</v>
      </c>
    </row>
    <row r="17">
      <c r="A17" s="9" t="n">
        <v>-108</v>
      </c>
      <c r="B17" s="7" t="n">
        <v>40318</v>
      </c>
      <c r="C17" s="10" t="n">
        <v>0.9927580677419177</v>
      </c>
      <c r="D17" s="10" t="n">
        <v>1.227095619088688</v>
      </c>
      <c r="E17" s="10" t="n">
        <v>1.463597229251863</v>
      </c>
      <c r="F17" s="10" t="n">
        <v>1.695561190095207</v>
      </c>
      <c r="G17" s="10" t="n">
        <v>1.919826292179167</v>
      </c>
      <c r="H17" s="10" t="n">
        <v>2.134685271312704</v>
      </c>
      <c r="I17" s="10" t="n">
        <v>2.339147465129884</v>
      </c>
      <c r="J17" s="10" t="n">
        <v>2.532618696954121</v>
      </c>
      <c r="K17" s="10" t="n">
        <v>2.714726073169479</v>
      </c>
      <c r="L17" s="10" t="n">
        <v>2.885237295589775</v>
      </c>
      <c r="M17" s="10" t="n">
        <v>4.142536656961729</v>
      </c>
      <c r="N17" s="10" t="n">
        <v>4.183155413276403</v>
      </c>
      <c r="O17" s="10" t="n">
        <v>4.21863363191289</v>
      </c>
      <c r="P17" s="10" t="n">
        <v>4.249480929357516</v>
      </c>
      <c r="Q17" s="10" t="n">
        <v>4.276190337132915</v>
      </c>
      <c r="R17" s="10" t="n">
        <v>4.29923121360911</v>
      </c>
      <c r="S17" s="10" t="n">
        <v>4.319031664240932</v>
      </c>
      <c r="T17" s="10" t="n">
        <v>4.335979787500305</v>
      </c>
      <c r="U17" s="10" t="n">
        <v>4.350429531801645</v>
      </c>
      <c r="V17" s="10" t="n">
        <v>4.362705574081512</v>
      </c>
      <c r="W17" s="10" t="n">
        <v>4.373106914558672</v>
      </c>
      <c r="X17" s="10" t="n">
        <v>4.38190041700945</v>
      </c>
      <c r="Y17" s="10" t="n">
        <v>4.389309691695666</v>
      </c>
      <c r="Z17" s="10" t="n">
        <v>4.395520122708469</v>
      </c>
      <c r="AA17" s="10" t="n">
        <v>4.400686750957266</v>
      </c>
      <c r="AB17" s="10" t="n">
        <v>4.404938486203381</v>
      </c>
      <c r="AC17" s="10" t="n">
        <v>4.408381208681806</v>
      </c>
      <c r="AD17" s="10" t="n">
        <v>4.411100213363793</v>
      </c>
      <c r="AE17" s="10" t="n">
        <v>4.413162157446281</v>
      </c>
      <c r="AF17" s="10" t="n">
        <v>4.414617162685968</v>
      </c>
      <c r="AG17" s="10" t="n">
        <v>4.415502996786921</v>
      </c>
      <c r="AH17" s="10" t="n">
        <v>4.415850391992006</v>
      </c>
      <c r="AI17" s="10" t="n">
        <v>4.415684478426495</v>
      </c>
      <c r="AJ17" s="10" t="n">
        <v>4.415025447310349</v>
      </c>
      <c r="AK17" s="10" t="n">
        <v>4.413891104798408</v>
      </c>
    </row>
    <row r="18">
      <c r="A18" s="9" t="n">
        <v>-107</v>
      </c>
      <c r="B18" s="7" t="n">
        <v>40319</v>
      </c>
      <c r="C18" s="10" t="n">
        <v>1.013150018511271</v>
      </c>
      <c r="D18" s="10" t="n">
        <v>1.244871079417351</v>
      </c>
      <c r="E18" s="10" t="n">
        <v>1.477787546749564</v>
      </c>
      <c r="F18" s="10" t="n">
        <v>1.705962477354582</v>
      </c>
      <c r="G18" s="10" t="n">
        <v>1.926573967018277</v>
      </c>
      <c r="H18" s="10" t="n">
        <v>2.138060814549777</v>
      </c>
      <c r="I18" s="10" t="n">
        <v>2.339482113458872</v>
      </c>
      <c r="J18" s="10" t="n">
        <v>2.530241892298103</v>
      </c>
      <c r="K18" s="10" t="n">
        <v>2.709939758807421</v>
      </c>
      <c r="L18" s="10" t="n">
        <v>2.87830796258842</v>
      </c>
      <c r="M18" s="10" t="n">
        <v>4.115358342778354</v>
      </c>
      <c r="N18" s="10" t="n">
        <v>4.154291787743428</v>
      </c>
      <c r="O18" s="10" t="n">
        <v>4.18804226495541</v>
      </c>
      <c r="P18" s="10" t="n">
        <v>4.217122612047783</v>
      </c>
      <c r="Q18" s="10" t="n">
        <v>4.242029785504015</v>
      </c>
      <c r="R18" s="10" t="n">
        <v>4.263237191177659</v>
      </c>
      <c r="S18" s="10" t="n">
        <v>4.281176863220442</v>
      </c>
      <c r="T18" s="10" t="n">
        <v>4.296240873028658</v>
      </c>
      <c r="U18" s="10" t="n">
        <v>4.30878718369644</v>
      </c>
      <c r="V18" s="10" t="n">
        <v>4.319144522630357</v>
      </c>
      <c r="W18" s="10" t="n">
        <v>4.327615938572007</v>
      </c>
      <c r="X18" s="10" t="n">
        <v>4.33447224222878</v>
      </c>
      <c r="Y18" s="10" t="n">
        <v>4.339941299613777</v>
      </c>
      <c r="Z18" s="10" t="n">
        <v>4.344213073853465</v>
      </c>
      <c r="AA18" s="10" t="n">
        <v>4.347447187439216</v>
      </c>
      <c r="AB18" s="10" t="n">
        <v>4.349777068093488</v>
      </c>
      <c r="AC18" s="10" t="n">
        <v>4.351313055727187</v>
      </c>
      <c r="AD18" s="10" t="n">
        <v>4.352144820893864</v>
      </c>
      <c r="AE18" s="10" t="n">
        <v>4.352343283044943</v>
      </c>
      <c r="AF18" s="10" t="n">
        <v>4.351962732631628</v>
      </c>
      <c r="AG18" s="10" t="n">
        <v>4.351045128017013</v>
      </c>
      <c r="AH18" s="10" t="n">
        <v>4.349625440116085</v>
      </c>
      <c r="AI18" s="10" t="n">
        <v>4.347733056320604</v>
      </c>
      <c r="AJ18" s="10" t="n">
        <v>4.34539244741919</v>
      </c>
      <c r="AK18" s="10" t="n">
        <v>4.342625728816932</v>
      </c>
    </row>
    <row r="19">
      <c r="A19" s="9" t="n">
        <v>-106</v>
      </c>
      <c r="B19" s="7" t="n">
        <v>40322</v>
      </c>
      <c r="C19" s="10" t="n">
        <v>1.028688806279547</v>
      </c>
      <c r="D19" s="10" t="n">
        <v>1.25664062164713</v>
      </c>
      <c r="E19" s="10" t="n">
        <v>1.485301018499558</v>
      </c>
      <c r="F19" s="10" t="n">
        <v>1.709601608750961</v>
      </c>
      <c r="G19" s="10" t="n">
        <v>1.927014626717518</v>
      </c>
      <c r="H19" s="10" t="n">
        <v>2.136039631921375</v>
      </c>
      <c r="I19" s="10" t="n">
        <v>2.335708237633351</v>
      </c>
      <c r="J19" s="10" t="n">
        <v>2.525355311584624</v>
      </c>
      <c r="K19" s="10" t="n">
        <v>2.704495387607082</v>
      </c>
      <c r="L19" s="10" t="n">
        <v>2.872770406913186</v>
      </c>
      <c r="M19" s="10" t="n">
        <v>4.127048086023478</v>
      </c>
      <c r="N19" s="10" t="n">
        <v>4.16781013998424</v>
      </c>
      <c r="O19" s="10" t="n">
        <v>4.203374436643259</v>
      </c>
      <c r="P19" s="10" t="n">
        <v>4.234240526378462</v>
      </c>
      <c r="Q19" s="10" t="n">
        <v>4.260892933945101</v>
      </c>
      <c r="R19" s="10" t="n">
        <v>4.28379375825542</v>
      </c>
      <c r="S19" s="10" t="n">
        <v>4.30336577995473</v>
      </c>
      <c r="T19" s="10" t="n">
        <v>4.319993869874416</v>
      </c>
      <c r="U19" s="10" t="n">
        <v>4.334030543978763</v>
      </c>
      <c r="V19" s="10" t="n">
        <v>4.345800585488824</v>
      </c>
      <c r="W19" s="10" t="n">
        <v>4.355604387630772</v>
      </c>
      <c r="X19" s="10" t="n">
        <v>4.363711299334541</v>
      </c>
      <c r="Y19" s="10" t="n">
        <v>4.370349055790459</v>
      </c>
      <c r="Z19" s="10" t="n">
        <v>4.375708638237681</v>
      </c>
      <c r="AA19" s="10" t="n">
        <v>4.379951523357689</v>
      </c>
      <c r="AB19" s="10" t="n">
        <v>4.383213694456911</v>
      </c>
      <c r="AC19" s="10" t="n">
        <v>4.385608659868105</v>
      </c>
      <c r="AD19" s="10" t="n">
        <v>4.387229695294868</v>
      </c>
      <c r="AE19" s="10" t="n">
        <v>4.388151550031153</v>
      </c>
      <c r="AF19" s="10" t="n">
        <v>4.388432516831685</v>
      </c>
      <c r="AG19" s="10" t="n">
        <v>4.388118629060331</v>
      </c>
      <c r="AH19" s="10" t="n">
        <v>4.387248819679471</v>
      </c>
      <c r="AI19" s="10" t="n">
        <v>4.385856297966511</v>
      </c>
      <c r="AJ19" s="10" t="n">
        <v>4.383969230698009</v>
      </c>
      <c r="AK19" s="10" t="n">
        <v>4.381613278292768</v>
      </c>
    </row>
    <row r="20">
      <c r="A20" s="9" t="n">
        <v>-105</v>
      </c>
      <c r="B20" s="7" t="n">
        <v>40323</v>
      </c>
      <c r="C20" s="10" t="n">
        <v>0.9755440063998617</v>
      </c>
      <c r="D20" s="10" t="n">
        <v>1.19434746295289</v>
      </c>
      <c r="E20" s="10" t="n">
        <v>1.416016102064331</v>
      </c>
      <c r="F20" s="10" t="n">
        <v>1.634934028417534</v>
      </c>
      <c r="G20" s="10" t="n">
        <v>1.848231416019218</v>
      </c>
      <c r="H20" s="10" t="n">
        <v>2.054180989229244</v>
      </c>
      <c r="I20" s="10" t="n">
        <v>2.25165377196331</v>
      </c>
      <c r="J20" s="10" t="n">
        <v>2.439862936963482</v>
      </c>
      <c r="K20" s="10" t="n">
        <v>2.618222541709139</v>
      </c>
      <c r="L20" s="10" t="n">
        <v>2.786284606063047</v>
      </c>
      <c r="M20" s="10" t="n">
        <v>4.062426092972894</v>
      </c>
      <c r="N20" s="10" t="n">
        <v>4.10529818351423</v>
      </c>
      <c r="O20" s="10" t="n">
        <v>4.142869743779416</v>
      </c>
      <c r="P20" s="10" t="n">
        <v>4.175618438839707</v>
      </c>
      <c r="Q20" s="10" t="n">
        <v>4.204009448989048</v>
      </c>
      <c r="R20" s="10" t="n">
        <v>4.228488572293363</v>
      </c>
      <c r="S20" s="10" t="n">
        <v>4.249466973869985</v>
      </c>
      <c r="T20" s="10" t="n">
        <v>4.267322410734017</v>
      </c>
      <c r="U20" s="10" t="n">
        <v>4.282404127873393</v>
      </c>
      <c r="V20" s="10" t="n">
        <v>4.295036931395625</v>
      </c>
      <c r="W20" s="10" t="n">
        <v>4.305524066673134</v>
      </c>
      <c r="X20" s="10" t="n">
        <v>4.314140229827017</v>
      </c>
      <c r="Y20" s="10" t="n">
        <v>4.321120906134555</v>
      </c>
      <c r="Z20" s="10" t="n">
        <v>4.326666752008006</v>
      </c>
      <c r="AA20" s="10" t="n">
        <v>4.330950214191722</v>
      </c>
      <c r="AB20" s="10" t="n">
        <v>4.334119317377401</v>
      </c>
      <c r="AC20" s="10" t="n">
        <v>4.336300540967349</v>
      </c>
      <c r="AD20" s="10" t="n">
        <v>4.33760065771858</v>
      </c>
      <c r="AE20" s="10" t="n">
        <v>4.338107920539804</v>
      </c>
      <c r="AF20" s="10" t="n">
        <v>4.337894052012532</v>
      </c>
      <c r="AG20" s="10" t="n">
        <v>4.33701826843486</v>
      </c>
      <c r="AH20" s="10" t="n">
        <v>4.335532132630488</v>
      </c>
      <c r="AI20" s="10" t="n">
        <v>4.333480925070968</v>
      </c>
      <c r="AJ20" s="10" t="n">
        <v>4.330904377351207</v>
      </c>
      <c r="AK20" s="10" t="n">
        <v>4.327839125825618</v>
      </c>
    </row>
    <row r="21">
      <c r="A21" s="9" t="n">
        <v>-104</v>
      </c>
      <c r="B21" s="7" t="n">
        <v>40324</v>
      </c>
      <c r="C21" s="10" t="n">
        <v>1.022188982966937</v>
      </c>
      <c r="D21" s="10" t="n">
        <v>1.251811020803636</v>
      </c>
      <c r="E21" s="10" t="n">
        <v>1.48179032921343</v>
      </c>
      <c r="F21" s="10" t="n">
        <v>1.707227464335429</v>
      </c>
      <c r="G21" s="10" t="n">
        <v>1.925671440011941</v>
      </c>
      <c r="H21" s="10" t="n">
        <v>2.13566046853478</v>
      </c>
      <c r="I21" s="10" t="n">
        <v>2.336264627226877</v>
      </c>
      <c r="J21" s="10" t="n">
        <v>2.526867997259785</v>
      </c>
      <c r="K21" s="10" t="n">
        <v>2.707047200744339</v>
      </c>
      <c r="L21" s="10" t="n">
        <v>2.876515565037195</v>
      </c>
      <c r="M21" s="10" t="n">
        <v>4.169710188521692</v>
      </c>
      <c r="N21" s="10" t="n">
        <v>4.214191755582955</v>
      </c>
      <c r="O21" s="10" t="n">
        <v>4.253315430267024</v>
      </c>
      <c r="P21" s="10" t="n">
        <v>4.287532330296544</v>
      </c>
      <c r="Q21" s="10" t="n">
        <v>4.317280998450275</v>
      </c>
      <c r="R21" s="10" t="n">
        <v>4.34298212342896</v>
      </c>
      <c r="S21" s="10" t="n">
        <v>4.36502652024641</v>
      </c>
      <c r="T21" s="10" t="n">
        <v>4.383776440913545</v>
      </c>
      <c r="U21" s="10" t="n">
        <v>4.399569762027766</v>
      </c>
      <c r="V21" s="10" t="n">
        <v>4.412723466974866</v>
      </c>
      <c r="W21" s="10" t="n">
        <v>4.423535604817046</v>
      </c>
      <c r="X21" s="10" t="n">
        <v>4.432278071731752</v>
      </c>
      <c r="Y21" s="10" t="n">
        <v>4.439190820909507</v>
      </c>
      <c r="Z21" s="10" t="n">
        <v>4.444485828651837</v>
      </c>
      <c r="AA21" s="10" t="n">
        <v>4.44835122780095</v>
      </c>
      <c r="AB21" s="10" t="n">
        <v>4.450954270143109</v>
      </c>
      <c r="AC21" s="10" t="n">
        <v>4.452443657563125</v>
      </c>
      <c r="AD21" s="10" t="n">
        <v>4.452950088886099</v>
      </c>
      <c r="AE21" s="10" t="n">
        <v>4.452586769226538</v>
      </c>
      <c r="AF21" s="10" t="n">
        <v>4.45145138160465</v>
      </c>
      <c r="AG21" s="10" t="n">
        <v>4.449629366855416</v>
      </c>
      <c r="AH21" s="10" t="n">
        <v>4.447196694618262</v>
      </c>
      <c r="AI21" s="10" t="n">
        <v>4.444220970580628</v>
      </c>
      <c r="AJ21" s="10" t="n">
        <v>4.440762340056335</v>
      </c>
      <c r="AK21" s="10" t="n">
        <v>4.436875250952926</v>
      </c>
    </row>
    <row r="22">
      <c r="A22" s="9" t="n">
        <v>-103</v>
      </c>
      <c r="B22" s="7" t="n">
        <v>40325</v>
      </c>
      <c r="C22" s="10" t="n">
        <v>1.052169298474625</v>
      </c>
      <c r="D22" s="10" t="n">
        <v>1.295923326416564</v>
      </c>
      <c r="E22" s="10" t="n">
        <v>1.536822913147298</v>
      </c>
      <c r="F22" s="10" t="n">
        <v>1.770069561105464</v>
      </c>
      <c r="G22" s="10" t="n">
        <v>1.993655099409747</v>
      </c>
      <c r="H22" s="10" t="n">
        <v>2.20661114453897</v>
      </c>
      <c r="I22" s="10" t="n">
        <v>2.408471649449319</v>
      </c>
      <c r="J22" s="10" t="n">
        <v>2.599031212059224</v>
      </c>
      <c r="K22" s="10" t="n">
        <v>2.778221185561982</v>
      </c>
      <c r="L22" s="10" t="n">
        <v>2.946056944077748</v>
      </c>
      <c r="M22" s="10" t="n">
        <v>4.217946249465638</v>
      </c>
      <c r="N22" s="10" t="n">
        <v>4.261787975982878</v>
      </c>
      <c r="O22" s="10" t="n">
        <v>4.300371263855775</v>
      </c>
      <c r="P22" s="10" t="n">
        <v>4.33413265561099</v>
      </c>
      <c r="Q22" s="10" t="n">
        <v>4.363496292922394</v>
      </c>
      <c r="R22" s="10" t="n">
        <v>4.388868918763348</v>
      </c>
      <c r="S22" s="10" t="n">
        <v>4.410628583855667</v>
      </c>
      <c r="T22" s="10" t="n">
        <v>4.429125992014486</v>
      </c>
      <c r="U22" s="10" t="n">
        <v>4.444688510335969</v>
      </c>
      <c r="V22" s="10" t="n">
        <v>4.457623503014248</v>
      </c>
      <c r="W22" s="10" t="n">
        <v>4.468220195713062</v>
      </c>
      <c r="X22" s="10" t="n">
        <v>4.476742799860539</v>
      </c>
      <c r="Y22" s="10" t="n">
        <v>4.483425098429907</v>
      </c>
      <c r="Z22" s="10" t="n">
        <v>4.488474187477446</v>
      </c>
      <c r="AA22" s="10" t="n">
        <v>4.492074357904547</v>
      </c>
      <c r="AB22" s="10" t="n">
        <v>4.494389922725205</v>
      </c>
      <c r="AC22" s="10" t="n">
        <v>4.495567440881391</v>
      </c>
      <c r="AD22" s="10" t="n">
        <v>4.495736198594853</v>
      </c>
      <c r="AE22" s="10" t="n">
        <v>4.495008679437991</v>
      </c>
      <c r="AF22" s="10" t="n">
        <v>4.493482465727205</v>
      </c>
      <c r="AG22" s="10" t="n">
        <v>4.49124343363209</v>
      </c>
      <c r="AH22" s="10" t="n">
        <v>4.488368433956799</v>
      </c>
      <c r="AI22" s="10" t="n">
        <v>4.484926348321581</v>
      </c>
      <c r="AJ22" s="10" t="n">
        <v>4.480978953126866</v>
      </c>
      <c r="AK22" s="10" t="n">
        <v>4.476582641449018</v>
      </c>
    </row>
    <row r="23">
      <c r="A23" s="9" t="n">
        <v>-102</v>
      </c>
      <c r="B23" s="7" t="n">
        <v>40326</v>
      </c>
      <c r="C23" s="10" t="n">
        <v>1.047965742602341</v>
      </c>
      <c r="D23" s="10" t="n">
        <v>1.296284696446391</v>
      </c>
      <c r="E23" s="10" t="n">
        <v>1.540041906915462</v>
      </c>
      <c r="F23" s="10" t="n">
        <v>1.77464404064425</v>
      </c>
      <c r="G23" s="10" t="n">
        <v>1.998275617992227</v>
      </c>
      <c r="H23" s="10" t="n">
        <v>2.210179854957886</v>
      </c>
      <c r="I23" s="10" t="n">
        <v>2.410120434041683</v>
      </c>
      <c r="J23" s="10" t="n">
        <v>2.598118447188158</v>
      </c>
      <c r="K23" s="10" t="n">
        <v>2.774316049427293</v>
      </c>
      <c r="L23" s="10" t="n">
        <v>2.938919698025044</v>
      </c>
      <c r="M23" s="10" t="n">
        <v>4.188421681074853</v>
      </c>
      <c r="N23" s="10" t="n">
        <v>4.232697243221158</v>
      </c>
      <c r="O23" s="10" t="n">
        <v>4.271947749769164</v>
      </c>
      <c r="P23" s="10" t="n">
        <v>4.306586269618519</v>
      </c>
      <c r="Q23" s="10" t="n">
        <v>4.337013298594752</v>
      </c>
      <c r="R23" s="10" t="n">
        <v>4.363611950612168</v>
      </c>
      <c r="S23" s="10" t="n">
        <v>4.38673762846169</v>
      </c>
      <c r="T23" s="10" t="n">
        <v>4.406719574617274</v>
      </c>
      <c r="U23" s="10" t="n">
        <v>4.423864710171602</v>
      </c>
      <c r="V23" s="10" t="n">
        <v>4.43846082360295</v>
      </c>
      <c r="W23" s="10" t="n">
        <v>4.450778234052622</v>
      </c>
      <c r="X23" s="10" t="n">
        <v>4.461062622246055</v>
      </c>
      <c r="Y23" s="10" t="n">
        <v>4.469529847538698</v>
      </c>
      <c r="Z23" s="10" t="n">
        <v>4.476370163569646</v>
      </c>
      <c r="AA23" s="10" t="n">
        <v>4.481752376888887</v>
      </c>
      <c r="AB23" s="10" t="n">
        <v>4.485826538366184</v>
      </c>
      <c r="AC23" s="10" t="n">
        <v>4.488726038858097</v>
      </c>
      <c r="AD23" s="10" t="n">
        <v>4.49056822644136</v>
      </c>
      <c r="AE23" s="10" t="n">
        <v>4.491455042761373</v>
      </c>
      <c r="AF23" s="10" t="n">
        <v>4.491474812811768</v>
      </c>
      <c r="AG23" s="10" t="n">
        <v>4.490705309489326</v>
      </c>
      <c r="AH23" s="10" t="n">
        <v>4.489216252652679</v>
      </c>
      <c r="AI23" s="10" t="n">
        <v>4.487070252208358</v>
      </c>
      <c r="AJ23" s="10" t="n">
        <v>4.48432359293805</v>
      </c>
      <c r="AK23" s="10" t="n">
        <v>4.481027964444205</v>
      </c>
    </row>
    <row r="24">
      <c r="A24" s="9" t="n">
        <v>-101</v>
      </c>
      <c r="B24" s="7" t="n">
        <v>40330</v>
      </c>
      <c r="C24" s="10" t="n">
        <v>1.064671628906425</v>
      </c>
      <c r="D24" s="10" t="n">
        <v>1.314255706220004</v>
      </c>
      <c r="E24" s="10" t="n">
        <v>1.55869544298363</v>
      </c>
      <c r="F24" s="10" t="n">
        <v>1.793280302778832</v>
      </c>
      <c r="G24" s="10" t="n">
        <v>2.016172453787879</v>
      </c>
      <c r="H24" s="10" t="n">
        <v>2.226665471063464</v>
      </c>
      <c r="I24" s="10" t="n">
        <v>2.424627680243737</v>
      </c>
      <c r="J24" s="10" t="n">
        <v>2.610215770011642</v>
      </c>
      <c r="K24" s="10" t="n">
        <v>2.78371565472598</v>
      </c>
      <c r="L24" s="10" t="n">
        <v>2.945470954972333</v>
      </c>
      <c r="M24" s="10" t="n">
        <v>4.175945600138103</v>
      </c>
      <c r="N24" s="10" t="n">
        <v>4.220503496033225</v>
      </c>
      <c r="O24" s="10" t="n">
        <v>4.260194161495829</v>
      </c>
      <c r="P24" s="10" t="n">
        <v>4.29540715841147</v>
      </c>
      <c r="Q24" s="10" t="n">
        <v>4.326519994108247</v>
      </c>
      <c r="R24" s="10" t="n">
        <v>4.353893922224811</v>
      </c>
      <c r="S24" s="10" t="n">
        <v>4.377864900259604</v>
      </c>
      <c r="T24" s="10" t="n">
        <v>4.398745103158729</v>
      </c>
      <c r="U24" s="10" t="n">
        <v>4.416826413977471</v>
      </c>
      <c r="V24" s="10" t="n">
        <v>4.432383322718711</v>
      </c>
      <c r="W24" s="10" t="n">
        <v>4.44567435024782</v>
      </c>
      <c r="X24" s="10" t="n">
        <v>4.456934844624747</v>
      </c>
      <c r="Y24" s="10" t="n">
        <v>4.46637185058932</v>
      </c>
      <c r="Z24" s="10" t="n">
        <v>4.474168100201366</v>
      </c>
      <c r="AA24" s="10" t="n">
        <v>4.48048594460736</v>
      </c>
      <c r="AB24" s="10" t="n">
        <v>4.485469909113081</v>
      </c>
      <c r="AC24" s="10" t="n">
        <v>4.48924866311077</v>
      </c>
      <c r="AD24" s="10" t="n">
        <v>4.49193542160975</v>
      </c>
      <c r="AE24" s="10" t="n">
        <v>4.493628420221662</v>
      </c>
      <c r="AF24" s="10" t="n">
        <v>4.494412648039468</v>
      </c>
      <c r="AG24" s="10" t="n">
        <v>4.494362815160549</v>
      </c>
      <c r="AH24" s="10" t="n">
        <v>4.493545757624046</v>
      </c>
      <c r="AI24" s="10" t="n">
        <v>4.492021355299703</v>
      </c>
      <c r="AJ24" s="10" t="n">
        <v>4.4898433035195</v>
      </c>
      <c r="AK24" s="10" t="n">
        <v>4.487060854550909</v>
      </c>
    </row>
    <row r="25">
      <c r="A25" s="9" t="n">
        <v>-100</v>
      </c>
      <c r="B25" s="7" t="n">
        <v>40331</v>
      </c>
      <c r="C25" s="10" t="n">
        <v>1.044218642284575</v>
      </c>
      <c r="D25" s="10" t="n">
        <v>1.288574411971451</v>
      </c>
      <c r="E25" s="10" t="n">
        <v>1.528960457815842</v>
      </c>
      <c r="F25" s="10" t="n">
        <v>1.760545803548777</v>
      </c>
      <c r="G25" s="10" t="n">
        <v>1.981368126170676</v>
      </c>
      <c r="H25" s="10" t="n">
        <v>2.190601084508297</v>
      </c>
      <c r="I25" s="10" t="n">
        <v>2.38798210467289</v>
      </c>
      <c r="J25" s="10" t="n">
        <v>2.573528410029441</v>
      </c>
      <c r="K25" s="10" t="n">
        <v>2.747392180119544</v>
      </c>
      <c r="L25" s="10" t="n">
        <v>2.909801525019132</v>
      </c>
      <c r="M25" s="10" t="n">
        <v>4.155685397755269</v>
      </c>
      <c r="N25" s="10" t="n">
        <v>4.201501072049815</v>
      </c>
      <c r="O25" s="10" t="n">
        <v>4.242432534011593</v>
      </c>
      <c r="P25" s="10" t="n">
        <v>4.278866470863871</v>
      </c>
      <c r="Q25" s="10" t="n">
        <v>4.311177996467308</v>
      </c>
      <c r="R25" s="10" t="n">
        <v>4.339726361008816</v>
      </c>
      <c r="S25" s="10" t="n">
        <v>4.364845960651726</v>
      </c>
      <c r="T25" s="10" t="n">
        <v>4.386847837839092</v>
      </c>
      <c r="U25" s="10" t="n">
        <v>4.406023109409955</v>
      </c>
      <c r="V25" s="10" t="n">
        <v>4.422645813109065</v>
      </c>
      <c r="W25" s="10" t="n">
        <v>4.436974243681949</v>
      </c>
      <c r="X25" s="10" t="n">
        <v>4.44924345168316</v>
      </c>
      <c r="Y25" s="10" t="n">
        <v>4.459660003045599</v>
      </c>
      <c r="Z25" s="10" t="n">
        <v>4.468406126528509</v>
      </c>
      <c r="AA25" s="10" t="n">
        <v>4.475643754838955</v>
      </c>
      <c r="AB25" s="10" t="n">
        <v>4.481517076376663</v>
      </c>
      <c r="AC25" s="10" t="n">
        <v>4.486154494375334</v>
      </c>
      <c r="AD25" s="10" t="n">
        <v>4.489669032312244</v>
      </c>
      <c r="AE25" s="10" t="n">
        <v>4.492158826222158</v>
      </c>
      <c r="AF25" s="10" t="n">
        <v>4.49370884742393</v>
      </c>
      <c r="AG25" s="10" t="n">
        <v>4.494393806217944</v>
      </c>
      <c r="AH25" s="10" t="n">
        <v>4.494280492773908</v>
      </c>
      <c r="AI25" s="10" t="n">
        <v>4.493428693660905</v>
      </c>
      <c r="AJ25" s="10" t="n">
        <v>4.491891968848947</v>
      </c>
      <c r="AK25" s="10" t="n">
        <v>4.48971938672975</v>
      </c>
    </row>
    <row r="26">
      <c r="A26" s="9" t="n">
        <v>-99</v>
      </c>
      <c r="B26" s="7" t="n">
        <v>40332</v>
      </c>
      <c r="C26" s="10" t="n">
        <v>1.071017076717086</v>
      </c>
      <c r="D26" s="10" t="n">
        <v>1.316346628141265</v>
      </c>
      <c r="E26" s="10" t="n">
        <v>1.55717513244479</v>
      </c>
      <c r="F26" s="10" t="n">
        <v>1.789227812921598</v>
      </c>
      <c r="G26" s="10" t="n">
        <v>2.01080439282375</v>
      </c>
      <c r="H26" s="10" t="n">
        <v>2.221165086532008</v>
      </c>
      <c r="I26" s="10" t="n">
        <v>2.420030030276845</v>
      </c>
      <c r="J26" s="10" t="n">
        <v>2.607341075347329</v>
      </c>
      <c r="K26" s="10" t="n">
        <v>2.783147771945718</v>
      </c>
      <c r="L26" s="10" t="n">
        <v>2.947568151712705</v>
      </c>
      <c r="M26" s="10" t="n">
        <v>4.203877481368798</v>
      </c>
      <c r="N26" s="10" t="n">
        <v>4.249259881257386</v>
      </c>
      <c r="O26" s="10" t="n">
        <v>4.28967594723</v>
      </c>
      <c r="P26" s="10" t="n">
        <v>4.325534161912926</v>
      </c>
      <c r="Q26" s="10" t="n">
        <v>4.357231016527506</v>
      </c>
      <c r="R26" s="10" t="n">
        <v>4.385145934786258</v>
      </c>
      <c r="S26" s="10" t="n">
        <v>4.409631037114147</v>
      </c>
      <c r="T26" s="10" t="n">
        <v>4.4310127634545</v>
      </c>
      <c r="U26" s="10" t="n">
        <v>4.449595643256961</v>
      </c>
      <c r="V26" s="10" t="n">
        <v>4.465665425539839</v>
      </c>
      <c r="W26" s="10" t="n">
        <v>4.479490581991137</v>
      </c>
      <c r="X26" s="10" t="n">
        <v>4.491314526665048</v>
      </c>
      <c r="Y26" s="10" t="n">
        <v>4.501350291156101</v>
      </c>
      <c r="Z26" s="10" t="n">
        <v>4.509784862551309</v>
      </c>
      <c r="AA26" s="10" t="n">
        <v>4.516783392231115</v>
      </c>
      <c r="AB26" s="10" t="n">
        <v>4.52249193067595</v>
      </c>
      <c r="AC26" s="10" t="n">
        <v>4.527039537654254</v>
      </c>
      <c r="AD26" s="10" t="n">
        <v>4.530538753716814</v>
      </c>
      <c r="AE26" s="10" t="n">
        <v>4.5330861725972</v>
      </c>
      <c r="AF26" s="10" t="n">
        <v>4.534764286294888</v>
      </c>
      <c r="AG26" s="10" t="n">
        <v>4.535644528050807</v>
      </c>
      <c r="AH26" s="10" t="n">
        <v>4.535789714673273</v>
      </c>
      <c r="AI26" s="10" t="n">
        <v>4.535255035282213</v>
      </c>
      <c r="AJ26" s="10" t="n">
        <v>4.534088896277878</v>
      </c>
      <c r="AK26" s="10" t="n">
        <v>4.532334767241439</v>
      </c>
    </row>
    <row r="27">
      <c r="A27" s="9" t="n">
        <v>-98</v>
      </c>
      <c r="B27" s="7" t="n">
        <v>40333</v>
      </c>
      <c r="C27" s="10" t="n">
        <v>1.016467730810715</v>
      </c>
      <c r="D27" s="10" t="n">
        <v>1.254164859670352</v>
      </c>
      <c r="E27" s="10" t="n">
        <v>1.489721677495904</v>
      </c>
      <c r="F27" s="10" t="n">
        <v>1.718125409120539</v>
      </c>
      <c r="G27" s="10" t="n">
        <v>1.937217260882764</v>
      </c>
      <c r="H27" s="10" t="n">
        <v>2.145958597317908</v>
      </c>
      <c r="I27" s="10" t="n">
        <v>2.343850364291717</v>
      </c>
      <c r="J27" s="10" t="n">
        <v>2.530673106913927</v>
      </c>
      <c r="K27" s="10" t="n">
        <v>2.706357248575059</v>
      </c>
      <c r="L27" s="10" t="n">
        <v>2.870926056375578</v>
      </c>
      <c r="M27" s="10" t="n">
        <v>4.139652067580217</v>
      </c>
      <c r="N27" s="10" t="n">
        <v>4.186428791424103</v>
      </c>
      <c r="O27" s="10" t="n">
        <v>4.228259362079143</v>
      </c>
      <c r="P27" s="10" t="n">
        <v>4.265543523750655</v>
      </c>
      <c r="Q27" s="10" t="n">
        <v>4.298669258192143</v>
      </c>
      <c r="R27" s="10" t="n">
        <v>4.328007913642574</v>
      </c>
      <c r="S27" s="10" t="n">
        <v>4.353904786609098</v>
      </c>
      <c r="T27" s="10" t="n">
        <v>4.376680822002783</v>
      </c>
      <c r="U27" s="10" t="n">
        <v>4.396636189363421</v>
      </c>
      <c r="V27" s="10" t="n">
        <v>4.414053250746591</v>
      </c>
      <c r="W27" s="10" t="n">
        <v>4.429197873128173</v>
      </c>
      <c r="X27" s="10" t="n">
        <v>4.442311512594689</v>
      </c>
      <c r="Y27" s="10" t="n">
        <v>4.453606078698341</v>
      </c>
      <c r="Z27" s="10" t="n">
        <v>4.463268098370226</v>
      </c>
      <c r="AA27" s="10" t="n">
        <v>4.471462709078478</v>
      </c>
      <c r="AB27" s="10" t="n">
        <v>4.478336326181805</v>
      </c>
      <c r="AC27" s="10" t="n">
        <v>4.484018685355274</v>
      </c>
      <c r="AD27" s="10" t="n">
        <v>4.488623146828682</v>
      </c>
      <c r="AE27" s="10" t="n">
        <v>4.492247187564683</v>
      </c>
      <c r="AF27" s="10" t="n">
        <v>4.494974242702522</v>
      </c>
      <c r="AG27" s="10" t="n">
        <v>4.496876701630561</v>
      </c>
      <c r="AH27" s="10" t="n">
        <v>4.498018271800027</v>
      </c>
      <c r="AI27" s="10" t="n">
        <v>4.498454964528064</v>
      </c>
      <c r="AJ27" s="10" t="n">
        <v>4.498235951299841</v>
      </c>
      <c r="AK27" s="10" t="n">
        <v>4.49740542698548</v>
      </c>
    </row>
    <row r="28">
      <c r="A28" s="9" t="n">
        <v>-97</v>
      </c>
      <c r="B28" s="7" t="n">
        <v>40336</v>
      </c>
      <c r="C28" s="10" t="n">
        <v>0.9849105118167175</v>
      </c>
      <c r="D28" s="10" t="n">
        <v>1.22091896977812</v>
      </c>
      <c r="E28" s="10" t="n">
        <v>1.455963715788957</v>
      </c>
      <c r="F28" s="10" t="n">
        <v>1.684619237379261</v>
      </c>
      <c r="G28" s="10" t="n">
        <v>1.904447500905917</v>
      </c>
      <c r="H28" s="10" t="n">
        <v>2.114224160592135</v>
      </c>
      <c r="I28" s="10" t="n">
        <v>2.313322782765932</v>
      </c>
      <c r="J28" s="10" t="n">
        <v>2.501433942516855</v>
      </c>
      <c r="K28" s="10" t="n">
        <v>2.678421750328306</v>
      </c>
      <c r="L28" s="10" t="n">
        <v>2.844256462642581</v>
      </c>
      <c r="M28" s="10" t="n">
        <v>4.119700499785358</v>
      </c>
      <c r="N28" s="10" t="n">
        <v>4.166378012523166</v>
      </c>
      <c r="O28" s="10" t="n">
        <v>4.208057521502049</v>
      </c>
      <c r="P28" s="10" t="n">
        <v>4.245144829398765</v>
      </c>
      <c r="Q28" s="10" t="n">
        <v>4.278033736060395</v>
      </c>
      <c r="R28" s="10" t="n">
        <v>4.307101104565865</v>
      </c>
      <c r="S28" s="10" t="n">
        <v>4.332697455059394</v>
      </c>
      <c r="T28" s="10" t="n">
        <v>4.355148733273642</v>
      </c>
      <c r="U28" s="10" t="n">
        <v>4.374759919869017</v>
      </c>
      <c r="V28" s="10" t="n">
        <v>4.39181802541239</v>
      </c>
      <c r="W28" s="10" t="n">
        <v>4.406593381730325</v>
      </c>
      <c r="X28" s="10" t="n">
        <v>4.419331529249932</v>
      </c>
      <c r="Y28" s="10" t="n">
        <v>4.430248044474687</v>
      </c>
      <c r="Z28" s="10" t="n">
        <v>4.43953270784543</v>
      </c>
      <c r="AA28" s="10" t="n">
        <v>4.447353494460224</v>
      </c>
      <c r="AB28" s="10" t="n">
        <v>4.453859287346556</v>
      </c>
      <c r="AC28" s="10" t="n">
        <v>4.459181951650827</v>
      </c>
      <c r="AD28" s="10" t="n">
        <v>4.463436596916387</v>
      </c>
      <c r="AE28" s="10" t="n">
        <v>4.466722061450351</v>
      </c>
      <c r="AF28" s="10" t="n">
        <v>4.469122805465579</v>
      </c>
      <c r="AG28" s="10" t="n">
        <v>4.470712008949554</v>
      </c>
      <c r="AH28" s="10" t="n">
        <v>4.471553998482776</v>
      </c>
      <c r="AI28" s="10" t="n">
        <v>4.471705252098683</v>
      </c>
      <c r="AJ28" s="10" t="n">
        <v>4.471215274607752</v>
      </c>
      <c r="AK28" s="10" t="n">
        <v>4.470128510226526</v>
      </c>
    </row>
    <row r="29">
      <c r="A29" s="9" t="n">
        <v>-96</v>
      </c>
      <c r="B29" s="7" t="n">
        <v>40337</v>
      </c>
      <c r="C29" s="10" t="n">
        <v>0.9623182498320899</v>
      </c>
      <c r="D29" s="10" t="n">
        <v>1.193649254645049</v>
      </c>
      <c r="E29" s="10" t="n">
        <v>1.426194250856836</v>
      </c>
      <c r="F29" s="10" t="n">
        <v>1.653691355719454</v>
      </c>
      <c r="G29" s="10" t="n">
        <v>1.873194099805817</v>
      </c>
      <c r="H29" s="10" t="n">
        <v>2.083166886545735</v>
      </c>
      <c r="I29" s="10" t="n">
        <v>2.282783321284689</v>
      </c>
      <c r="J29" s="10" t="n">
        <v>2.471599517709152</v>
      </c>
      <c r="K29" s="10" t="n">
        <v>2.649383255117219</v>
      </c>
      <c r="L29" s="10" t="n">
        <v>2.816032115486216</v>
      </c>
      <c r="M29" s="10" t="n">
        <v>4.093090822660197</v>
      </c>
      <c r="N29" s="10" t="n">
        <v>4.139314926333736</v>
      </c>
      <c r="O29" s="10" t="n">
        <v>4.180535620820023</v>
      </c>
      <c r="P29" s="10" t="n">
        <v>4.217175138504002</v>
      </c>
      <c r="Q29" s="10" t="n">
        <v>4.24964306784655</v>
      </c>
      <c r="R29" s="10" t="n">
        <v>4.278330544446455</v>
      </c>
      <c r="S29" s="10" t="n">
        <v>4.303599528988819</v>
      </c>
      <c r="T29" s="10" t="n">
        <v>4.325784752939968</v>
      </c>
      <c r="U29" s="10" t="n">
        <v>4.34519771809979</v>
      </c>
      <c r="V29" s="10" t="n">
        <v>4.36213001508205</v>
      </c>
      <c r="W29" s="10" t="n">
        <v>4.376854806017125</v>
      </c>
      <c r="X29" s="10" t="n">
        <v>4.389618441924761</v>
      </c>
      <c r="Y29" s="10" t="n">
        <v>4.40063528207584</v>
      </c>
      <c r="Z29" s="10" t="n">
        <v>4.410092412778561</v>
      </c>
      <c r="AA29" s="10" t="n">
        <v>4.418154060272313</v>
      </c>
      <c r="AB29" s="10" t="n">
        <v>4.424964448214475</v>
      </c>
      <c r="AC29" s="10" t="n">
        <v>4.430650003507908</v>
      </c>
      <c r="AD29" s="10" t="n">
        <v>4.43531993289935</v>
      </c>
      <c r="AE29" s="10" t="n">
        <v>4.43906695982621</v>
      </c>
      <c r="AF29" s="10" t="n">
        <v>4.441969287300637</v>
      </c>
      <c r="AG29" s="10" t="n">
        <v>4.44409393751245</v>
      </c>
      <c r="AH29" s="10" t="n">
        <v>4.445499332224315</v>
      </c>
      <c r="AI29" s="10" t="n">
        <v>4.44623628075504</v>
      </c>
      <c r="AJ29" s="10" t="n">
        <v>4.446348841009911</v>
      </c>
      <c r="AK29" s="10" t="n">
        <v>4.445876346013133</v>
      </c>
    </row>
    <row r="30">
      <c r="A30" s="9" t="n">
        <v>-95</v>
      </c>
      <c r="B30" s="7" t="n">
        <v>40338</v>
      </c>
      <c r="C30" s="10" t="n">
        <v>0.994100099795739</v>
      </c>
      <c r="D30" s="10" t="n">
        <v>1.229341228773535</v>
      </c>
      <c r="E30" s="10" t="n">
        <v>1.465078010567261</v>
      </c>
      <c r="F30" s="10" t="n">
        <v>1.695267059036922</v>
      </c>
      <c r="G30" s="10" t="n">
        <v>1.917105071428332</v>
      </c>
      <c r="H30" s="10" t="n">
        <v>2.129155851475045</v>
      </c>
      <c r="I30" s="10" t="n">
        <v>2.330660873391341</v>
      </c>
      <c r="J30" s="10" t="n">
        <v>2.521217619247845</v>
      </c>
      <c r="K30" s="10" t="n">
        <v>2.700609425160849</v>
      </c>
      <c r="L30" s="10" t="n">
        <v>2.868731437327933</v>
      </c>
      <c r="M30" s="10" t="n">
        <v>4.14380253260002</v>
      </c>
      <c r="N30" s="10" t="n">
        <v>4.188304094158769</v>
      </c>
      <c r="O30" s="10" t="n">
        <v>4.22770796133671</v>
      </c>
      <c r="P30" s="10" t="n">
        <v>4.26247067878101</v>
      </c>
      <c r="Q30" s="10" t="n">
        <v>4.293035786013794</v>
      </c>
      <c r="R30" s="10" t="n">
        <v>4.319826189203054</v>
      </c>
      <c r="S30" s="10" t="n">
        <v>4.343230725376824</v>
      </c>
      <c r="T30" s="10" t="n">
        <v>4.363606335801709</v>
      </c>
      <c r="U30" s="10" t="n">
        <v>4.381282751171716</v>
      </c>
      <c r="V30" s="10" t="n">
        <v>4.396566378773643</v>
      </c>
      <c r="W30" s="10" t="n">
        <v>4.409742163147333</v>
      </c>
      <c r="X30" s="10" t="n">
        <v>4.421064976404469</v>
      </c>
      <c r="Y30" s="10" t="n">
        <v>4.430754482719066</v>
      </c>
      <c r="Z30" s="10" t="n">
        <v>4.439000431746588</v>
      </c>
      <c r="AA30" s="10" t="n">
        <v>4.445967534708798</v>
      </c>
      <c r="AB30" s="10" t="n">
        <v>4.451798595446569</v>
      </c>
      <c r="AC30" s="10" t="n">
        <v>4.456616963083446</v>
      </c>
      <c r="AD30" s="10" t="n">
        <v>4.460527492173199</v>
      </c>
      <c r="AE30" s="10" t="n">
        <v>4.463617592882438</v>
      </c>
      <c r="AF30" s="10" t="n">
        <v>4.465959355138213</v>
      </c>
      <c r="AG30" s="10" t="n">
        <v>4.467613281941199</v>
      </c>
      <c r="AH30" s="10" t="n">
        <v>4.468631135881534</v>
      </c>
      <c r="AI30" s="10" t="n">
        <v>4.469056954653119</v>
      </c>
      <c r="AJ30" s="10" t="n">
        <v>4.468927936451743</v>
      </c>
      <c r="AK30" s="10" t="n">
        <v>4.468276655221269</v>
      </c>
    </row>
    <row r="31">
      <c r="A31" s="9" t="n">
        <v>-94</v>
      </c>
      <c r="B31" s="7" t="n">
        <v>40339</v>
      </c>
      <c r="C31" s="10" t="n">
        <v>1.049681176487939</v>
      </c>
      <c r="D31" s="10" t="n">
        <v>1.290056525312647</v>
      </c>
      <c r="E31" s="10" t="n">
        <v>1.527981102205072</v>
      </c>
      <c r="F31" s="10" t="n">
        <v>1.758430457032301</v>
      </c>
      <c r="G31" s="10" t="n">
        <v>1.979212140633235</v>
      </c>
      <c r="H31" s="10" t="n">
        <v>2.18930032583235</v>
      </c>
      <c r="I31" s="10" t="n">
        <v>2.388243618084527</v>
      </c>
      <c r="J31" s="10" t="n">
        <v>2.575881530431553</v>
      </c>
      <c r="K31" s="10" t="n">
        <v>2.75218647820643</v>
      </c>
      <c r="L31" s="10" t="n">
        <v>2.917200817423843</v>
      </c>
      <c r="M31" s="10" t="n">
        <v>4.166126957967544</v>
      </c>
      <c r="N31" s="10" t="n">
        <v>4.209528708255133</v>
      </c>
      <c r="O31" s="10" t="n">
        <v>4.247927339407217</v>
      </c>
      <c r="P31" s="10" t="n">
        <v>4.281779100917249</v>
      </c>
      <c r="Q31" s="10" t="n">
        <v>4.311528206651341</v>
      </c>
      <c r="R31" s="10" t="n">
        <v>4.337598394685897</v>
      </c>
      <c r="S31" s="10" t="n">
        <v>4.360378555174191</v>
      </c>
      <c r="T31" s="10" t="n">
        <v>4.380224901677441</v>
      </c>
      <c r="U31" s="10" t="n">
        <v>4.397465771330595</v>
      </c>
      <c r="V31" s="10" t="n">
        <v>4.412405607109715</v>
      </c>
      <c r="W31" s="10" t="n">
        <v>4.42532680140669</v>
      </c>
      <c r="X31" s="10" t="n">
        <v>4.436480546657086</v>
      </c>
      <c r="Y31" s="10" t="n">
        <v>4.446081495948149</v>
      </c>
      <c r="Z31" s="10" t="n">
        <v>4.454313440364214</v>
      </c>
      <c r="AA31" s="10" t="n">
        <v>4.461334471774157</v>
      </c>
      <c r="AB31" s="10" t="n">
        <v>4.467280204455715</v>
      </c>
      <c r="AC31" s="10" t="n">
        <v>4.472266314655788</v>
      </c>
      <c r="AD31" s="10" t="n">
        <v>4.476389733487575</v>
      </c>
      <c r="AE31" s="10" t="n">
        <v>4.479729878943025</v>
      </c>
      <c r="AF31" s="10" t="n">
        <v>4.48235084570401</v>
      </c>
      <c r="AG31" s="10" t="n">
        <v>4.484305475387504</v>
      </c>
      <c r="AH31" s="10" t="n">
        <v>4.485638407982266</v>
      </c>
      <c r="AI31" s="10" t="n">
        <v>4.486387054835465</v>
      </c>
      <c r="AJ31" s="10" t="n">
        <v>4.486582447317631</v>
      </c>
      <c r="AK31" s="10" t="n">
        <v>4.486251595237682</v>
      </c>
    </row>
    <row r="32">
      <c r="A32" s="9" t="n">
        <v>-93</v>
      </c>
      <c r="B32" s="7" t="n">
        <v>40340</v>
      </c>
      <c r="C32" s="10" t="n">
        <v>0.9950512275993924</v>
      </c>
      <c r="D32" s="10" t="n">
        <v>1.231245882460898</v>
      </c>
      <c r="E32" s="10" t="n">
        <v>1.466756059217647</v>
      </c>
      <c r="F32" s="10" t="n">
        <v>1.695140271033409</v>
      </c>
      <c r="G32" s="10" t="n">
        <v>1.913657347531824</v>
      </c>
      <c r="H32" s="10" t="n">
        <v>2.121120591126616</v>
      </c>
      <c r="I32" s="10" t="n">
        <v>2.317102762274012</v>
      </c>
      <c r="J32" s="10" t="n">
        <v>2.501544607539951</v>
      </c>
      <c r="K32" s="10" t="n">
        <v>2.674557709741349</v>
      </c>
      <c r="L32" s="10" t="n">
        <v>2.836332707710923</v>
      </c>
      <c r="M32" s="10" t="n">
        <v>4.075220260414705</v>
      </c>
      <c r="N32" s="10" t="n">
        <v>4.120078910365877</v>
      </c>
      <c r="O32" s="10" t="n">
        <v>4.160069315977938</v>
      </c>
      <c r="P32" s="10" t="n">
        <v>4.195608809417495</v>
      </c>
      <c r="Q32" s="10" t="n">
        <v>4.227104156007877</v>
      </c>
      <c r="R32" s="10" t="n">
        <v>4.254944398755793</v>
      </c>
      <c r="S32" s="10" t="n">
        <v>4.279489158862209</v>
      </c>
      <c r="T32" s="10" t="n">
        <v>4.301070638932964</v>
      </c>
      <c r="U32" s="10" t="n">
        <v>4.319997651797627</v>
      </c>
      <c r="V32" s="10" t="n">
        <v>4.336558961763022</v>
      </c>
      <c r="W32" s="10" t="n">
        <v>4.35102459337356</v>
      </c>
      <c r="X32" s="10" t="n">
        <v>4.363636765661224</v>
      </c>
      <c r="Y32" s="10" t="n">
        <v>4.374604811544439</v>
      </c>
      <c r="Z32" s="10" t="n">
        <v>4.384110073958528</v>
      </c>
      <c r="AA32" s="10" t="n">
        <v>4.392310362150345</v>
      </c>
      <c r="AB32" s="10" t="n">
        <v>4.399342882669372</v>
      </c>
      <c r="AC32" s="10" t="n">
        <v>4.405326502018005</v>
      </c>
      <c r="AD32" s="10" t="n">
        <v>4.410362379784312</v>
      </c>
      <c r="AE32" s="10" t="n">
        <v>4.414534826300359</v>
      </c>
      <c r="AF32" s="10" t="n">
        <v>4.417913387834131</v>
      </c>
      <c r="AG32" s="10" t="n">
        <v>4.420556618336513</v>
      </c>
      <c r="AH32" s="10" t="n">
        <v>4.422514861132374</v>
      </c>
      <c r="AI32" s="10" t="n">
        <v>4.423831202128074</v>
      </c>
      <c r="AJ32" s="10" t="n">
        <v>4.424542320234573</v>
      </c>
      <c r="AK32" s="10" t="n">
        <v>4.424680744825184</v>
      </c>
    </row>
    <row r="33">
      <c r="A33" s="9" t="n">
        <v>-92</v>
      </c>
      <c r="B33" s="7" t="n">
        <v>40343</v>
      </c>
      <c r="C33" s="10" t="n">
        <v>1.09406140450449</v>
      </c>
      <c r="D33" s="10" t="n">
        <v>1.337715342609761</v>
      </c>
      <c r="E33" s="10" t="n">
        <v>1.576446414621045</v>
      </c>
      <c r="F33" s="10" t="n">
        <v>1.805669905773322</v>
      </c>
      <c r="G33" s="10" t="n">
        <v>2.023641063298633</v>
      </c>
      <c r="H33" s="10" t="n">
        <v>2.229736584568482</v>
      </c>
      <c r="I33" s="10" t="n">
        <v>2.423871304892546</v>
      </c>
      <c r="J33" s="10" t="n">
        <v>2.606202554357929</v>
      </c>
      <c r="K33" s="10" t="n">
        <v>2.776985796811654</v>
      </c>
      <c r="L33" s="10" t="n">
        <v>2.936511276947229</v>
      </c>
      <c r="M33" s="10" t="n">
        <v>4.15337342339885</v>
      </c>
      <c r="N33" s="10" t="n">
        <v>4.196912039822642</v>
      </c>
      <c r="O33" s="10" t="n">
        <v>4.23562319424635</v>
      </c>
      <c r="P33" s="10" t="n">
        <v>4.269928402337579</v>
      </c>
      <c r="Q33" s="10" t="n">
        <v>4.300239272014143</v>
      </c>
      <c r="R33" s="10" t="n">
        <v>4.326949561090964</v>
      </c>
      <c r="S33" s="10" t="n">
        <v>4.35042257099382</v>
      </c>
      <c r="T33" s="10" t="n">
        <v>4.370993185922822</v>
      </c>
      <c r="U33" s="10" t="n">
        <v>4.3889720486168</v>
      </c>
      <c r="V33" s="10" t="n">
        <v>4.40464902324185</v>
      </c>
      <c r="W33" s="10" t="n">
        <v>4.418294546580626</v>
      </c>
      <c r="X33" s="10" t="n">
        <v>4.43015037135278</v>
      </c>
      <c r="Y33" s="10" t="n">
        <v>4.440424507985</v>
      </c>
      <c r="Z33" s="10" t="n">
        <v>4.449296342911905</v>
      </c>
      <c r="AA33" s="10" t="n">
        <v>4.456921245954294</v>
      </c>
      <c r="AB33" s="10" t="n">
        <v>4.463433563658525</v>
      </c>
      <c r="AC33" s="10" t="n">
        <v>4.468948947629686</v>
      </c>
      <c r="AD33" s="10" t="n">
        <v>4.473565172610109</v>
      </c>
      <c r="AE33" s="10" t="n">
        <v>4.47736313646056</v>
      </c>
      <c r="AF33" s="10" t="n">
        <v>4.48040897650776</v>
      </c>
      <c r="AG33" s="10" t="n">
        <v>4.482757951062798</v>
      </c>
      <c r="AH33" s="10" t="n">
        <v>4.484457270939461</v>
      </c>
      <c r="AI33" s="10" t="n">
        <v>4.485547037661632</v>
      </c>
      <c r="AJ33" s="10" t="n">
        <v>4.486061083226116</v>
      </c>
      <c r="AK33" s="10" t="n">
        <v>4.486029251012749</v>
      </c>
    </row>
    <row r="34">
      <c r="A34" s="9" t="n">
        <v>-91</v>
      </c>
      <c r="B34" s="7" t="n">
        <v>40344</v>
      </c>
      <c r="C34" s="10" t="n">
        <v>1.056035671324603</v>
      </c>
      <c r="D34" s="10" t="n">
        <v>1.302354946138301</v>
      </c>
      <c r="E34" s="10" t="n">
        <v>1.545373317548732</v>
      </c>
      <c r="F34" s="10" t="n">
        <v>1.77930388771755</v>
      </c>
      <c r="G34" s="10" t="n">
        <v>2.001889215325233</v>
      </c>
      <c r="H34" s="10" t="n">
        <v>2.212294594668211</v>
      </c>
      <c r="I34" s="10" t="n">
        <v>2.410360304993228</v>
      </c>
      <c r="J34" s="10" t="n">
        <v>2.59622668637201</v>
      </c>
      <c r="K34" s="10" t="n">
        <v>2.770154340580998</v>
      </c>
      <c r="L34" s="10" t="n">
        <v>2.93244744392149</v>
      </c>
      <c r="M34" s="10" t="n">
        <v>4.164831032074977</v>
      </c>
      <c r="N34" s="10" t="n">
        <v>4.208995611759944</v>
      </c>
      <c r="O34" s="10" t="n">
        <v>4.248320162115494</v>
      </c>
      <c r="P34" s="10" t="n">
        <v>4.283226482144508</v>
      </c>
      <c r="Q34" s="10" t="n">
        <v>4.314124759804062</v>
      </c>
      <c r="R34" s="10" t="n">
        <v>4.341406245906292</v>
      </c>
      <c r="S34" s="10" t="n">
        <v>4.365431544662173</v>
      </c>
      <c r="T34" s="10" t="n">
        <v>4.386532837589519</v>
      </c>
      <c r="U34" s="10" t="n">
        <v>4.405018060502903</v>
      </c>
      <c r="V34" s="10" t="n">
        <v>4.421174366979639</v>
      </c>
      <c r="W34" s="10" t="n">
        <v>4.435269506555296</v>
      </c>
      <c r="X34" s="10" t="n">
        <v>4.447542943425063</v>
      </c>
      <c r="Y34" s="10" t="n">
        <v>4.458201140412387</v>
      </c>
      <c r="Z34" s="10" t="n">
        <v>4.467422629276656</v>
      </c>
      <c r="AA34" s="10" t="n">
        <v>4.475362529253204</v>
      </c>
      <c r="AB34" s="10" t="n">
        <v>4.482155465474008</v>
      </c>
      <c r="AC34" s="10" t="n">
        <v>4.487917839370342</v>
      </c>
      <c r="AD34" s="10" t="n">
        <v>4.492748650875969</v>
      </c>
      <c r="AE34" s="10" t="n">
        <v>4.496730500919372</v>
      </c>
      <c r="AF34" s="10" t="n">
        <v>4.499931653960895</v>
      </c>
      <c r="AG34" s="10" t="n">
        <v>4.502409800889203</v>
      </c>
      <c r="AH34" s="10" t="n">
        <v>4.504214785509484</v>
      </c>
      <c r="AI34" s="10" t="n">
        <v>4.505389515876442</v>
      </c>
      <c r="AJ34" s="10" t="n">
        <v>4.505970784521335</v>
      </c>
      <c r="AK34" s="10" t="n">
        <v>4.505991480215599</v>
      </c>
    </row>
    <row r="35">
      <c r="A35" s="9" t="n">
        <v>-90</v>
      </c>
      <c r="B35" s="7" t="n">
        <v>40345</v>
      </c>
      <c r="C35" s="10" t="n">
        <v>1.051777724513879</v>
      </c>
      <c r="D35" s="10" t="n">
        <v>1.29629240290692</v>
      </c>
      <c r="E35" s="10" t="n">
        <v>1.537590724889551</v>
      </c>
      <c r="F35" s="10" t="n">
        <v>1.769937686909588</v>
      </c>
      <c r="G35" s="10" t="n">
        <v>1.991106595832576</v>
      </c>
      <c r="H35" s="10" t="n">
        <v>2.200269832171096</v>
      </c>
      <c r="I35" s="10" t="n">
        <v>2.397262847861413</v>
      </c>
      <c r="J35" s="10" t="n">
        <v>2.582218238372998</v>
      </c>
      <c r="K35" s="10" t="n">
        <v>2.755394313552765</v>
      </c>
      <c r="L35" s="10" t="n">
        <v>2.917100333640536</v>
      </c>
      <c r="M35" s="10" t="n">
        <v>4.159919194262182</v>
      </c>
      <c r="N35" s="10" t="n">
        <v>4.206050934988714</v>
      </c>
      <c r="O35" s="10" t="n">
        <v>4.247388820944922</v>
      </c>
      <c r="P35" s="10" t="n">
        <v>4.284324756058186</v>
      </c>
      <c r="Q35" s="10" t="n">
        <v>4.317239526616215</v>
      </c>
      <c r="R35" s="10" t="n">
        <v>4.34649698387978</v>
      </c>
      <c r="S35" s="10" t="n">
        <v>4.372434698172729</v>
      </c>
      <c r="T35" s="10" t="n">
        <v>4.395365990517795</v>
      </c>
      <c r="U35" s="10" t="n">
        <v>4.415583496611591</v>
      </c>
      <c r="V35" s="10" t="n">
        <v>4.433362121637369</v>
      </c>
      <c r="W35" s="10" t="n">
        <v>4.448960041031568</v>
      </c>
      <c r="X35" s="10" t="n">
        <v>4.462609976976765</v>
      </c>
      <c r="Y35" s="10" t="n">
        <v>4.474514585939048</v>
      </c>
      <c r="Z35" s="10" t="n">
        <v>4.484851094093811</v>
      </c>
      <c r="AA35" s="10" t="n">
        <v>4.493775419143129</v>
      </c>
      <c r="AB35" s="10" t="n">
        <v>4.501424825954103</v>
      </c>
      <c r="AC35" s="10" t="n">
        <v>4.507919962378875</v>
      </c>
      <c r="AD35" s="10" t="n">
        <v>4.513365397792486</v>
      </c>
      <c r="AE35" s="10" t="n">
        <v>4.517850414849114</v>
      </c>
      <c r="AF35" s="10" t="n">
        <v>4.521450905894851</v>
      </c>
      <c r="AG35" s="10" t="n">
        <v>4.524232712207357</v>
      </c>
      <c r="AH35" s="10" t="n">
        <v>4.526254045604133</v>
      </c>
      <c r="AI35" s="10" t="n">
        <v>4.527566361094757</v>
      </c>
      <c r="AJ35" s="10" t="n">
        <v>4.528215143413055</v>
      </c>
      <c r="AK35" s="10" t="n">
        <v>4.528241861639048</v>
      </c>
    </row>
    <row r="36">
      <c r="A36" s="9" t="n">
        <v>-89</v>
      </c>
      <c r="B36" s="7" t="n">
        <v>40346</v>
      </c>
      <c r="C36" s="10" t="n">
        <v>1.041769530627284</v>
      </c>
      <c r="D36" s="10" t="n">
        <v>1.283622940752532</v>
      </c>
      <c r="E36" s="10" t="n">
        <v>1.52228851044844</v>
      </c>
      <c r="F36" s="10" t="n">
        <v>1.751990863544687</v>
      </c>
      <c r="G36" s="10" t="n">
        <v>1.970473196750438</v>
      </c>
      <c r="H36" s="10" t="n">
        <v>2.176888824533686</v>
      </c>
      <c r="I36" s="10" t="n">
        <v>2.371078097596183</v>
      </c>
      <c r="J36" s="10" t="n">
        <v>2.553201682406012</v>
      </c>
      <c r="K36" s="10" t="n">
        <v>2.723567944369345</v>
      </c>
      <c r="L36" s="10" t="n">
        <v>2.882551739757608</v>
      </c>
      <c r="M36" s="10" t="n">
        <v>4.112035025255164</v>
      </c>
      <c r="N36" s="10" t="n">
        <v>4.158618642796144</v>
      </c>
      <c r="O36" s="10" t="n">
        <v>4.200494284286823</v>
      </c>
      <c r="P36" s="10" t="n">
        <v>4.23802688759689</v>
      </c>
      <c r="Q36" s="10" t="n">
        <v>4.271571196789426</v>
      </c>
      <c r="R36" s="10" t="n">
        <v>4.301467110795312</v>
      </c>
      <c r="S36" s="10" t="n">
        <v>4.328032200530825</v>
      </c>
      <c r="T36" s="10" t="n">
        <v>4.351563520115011</v>
      </c>
      <c r="U36" s="10" t="n">
        <v>4.372340622486562</v>
      </c>
      <c r="V36" s="10" t="n">
        <v>4.39062805931007</v>
      </c>
      <c r="W36" s="10" t="n">
        <v>4.406676054209311</v>
      </c>
      <c r="X36" s="10" t="n">
        <v>4.420711998414802</v>
      </c>
      <c r="Y36" s="10" t="n">
        <v>4.432935946868445</v>
      </c>
      <c r="Z36" s="10" t="n">
        <v>4.443524621564437</v>
      </c>
      <c r="AA36" s="10" t="n">
        <v>4.452635025621303</v>
      </c>
      <c r="AB36" s="10" t="n">
        <v>4.460406889458596</v>
      </c>
      <c r="AC36" s="10" t="n">
        <v>4.466964501609091</v>
      </c>
      <c r="AD36" s="10" t="n">
        <v>4.47241682867575</v>
      </c>
      <c r="AE36" s="10" t="n">
        <v>4.476858026410871</v>
      </c>
      <c r="AF36" s="10" t="n">
        <v>4.480369248040208</v>
      </c>
      <c r="AG36" s="10" t="n">
        <v>4.483021737882044</v>
      </c>
      <c r="AH36" s="10" t="n">
        <v>4.484879077459943</v>
      </c>
      <c r="AI36" s="10" t="n">
        <v>4.485998051176238</v>
      </c>
      <c r="AJ36" s="10" t="n">
        <v>4.486429431133287</v>
      </c>
      <c r="AK36" s="10" t="n">
        <v>4.486219833266357</v>
      </c>
    </row>
    <row r="37">
      <c r="A37" s="9" t="n">
        <v>-88</v>
      </c>
      <c r="B37" s="7" t="n">
        <v>40347</v>
      </c>
      <c r="C37" s="10" t="n">
        <v>1.080512304527176</v>
      </c>
      <c r="D37" s="10" t="n">
        <v>1.324796140090164</v>
      </c>
      <c r="E37" s="10" t="n">
        <v>1.565015435717707</v>
      </c>
      <c r="F37" s="10" t="n">
        <v>1.79595416341568</v>
      </c>
      <c r="G37" s="10" t="n">
        <v>2.015597115172559</v>
      </c>
      <c r="H37" s="10" t="n">
        <v>2.223192446888096</v>
      </c>
      <c r="I37" s="10" t="n">
        <v>2.418597756470138</v>
      </c>
      <c r="J37" s="10" t="n">
        <v>2.601953046621204</v>
      </c>
      <c r="K37" s="10" t="n">
        <v>2.773525080970978</v>
      </c>
      <c r="L37" s="10" t="n">
        <v>2.933637573058143</v>
      </c>
      <c r="M37" s="10" t="n">
        <v>4.158290762536591</v>
      </c>
      <c r="N37" s="10" t="n">
        <v>4.203069368704246</v>
      </c>
      <c r="O37" s="10" t="n">
        <v>4.243033921932171</v>
      </c>
      <c r="P37" s="10" t="n">
        <v>4.27857397817822</v>
      </c>
      <c r="Q37" s="10" t="n">
        <v>4.310068682041349</v>
      </c>
      <c r="R37" s="10" t="n">
        <v>4.337881003525921</v>
      </c>
      <c r="S37" s="10" t="n">
        <v>4.362349083266454</v>
      </c>
      <c r="T37" s="10" t="n">
        <v>4.383788276447634</v>
      </c>
      <c r="U37" s="10" t="n">
        <v>4.402494502290438</v>
      </c>
      <c r="V37" s="10" t="n">
        <v>4.418747020183106</v>
      </c>
      <c r="W37" s="10" t="n">
        <v>4.432809197055104</v>
      </c>
      <c r="X37" s="10" t="n">
        <v>4.444919703272435</v>
      </c>
      <c r="Y37" s="10" t="n">
        <v>4.455288137590908</v>
      </c>
      <c r="Z37" s="10" t="n">
        <v>4.464099059208141</v>
      </c>
      <c r="AA37" s="10" t="n">
        <v>4.471515640819225</v>
      </c>
      <c r="AB37" s="10" t="n">
        <v>4.477682306155955</v>
      </c>
      <c r="AC37" s="10" t="n">
        <v>4.482726707781987</v>
      </c>
      <c r="AD37" s="10" t="n">
        <v>4.486759869915393</v>
      </c>
      <c r="AE37" s="10" t="n">
        <v>4.48987679794989</v>
      </c>
      <c r="AF37" s="10" t="n">
        <v>4.492158459631231</v>
      </c>
      <c r="AG37" s="10" t="n">
        <v>4.493675175436882</v>
      </c>
      <c r="AH37" s="10" t="n">
        <v>4.494489027436192</v>
      </c>
      <c r="AI37" s="10" t="n">
        <v>4.494654785894462</v>
      </c>
      <c r="AJ37" s="10" t="n">
        <v>4.494220758152454</v>
      </c>
      <c r="AK37" s="10" t="n">
        <v>4.493230779764356</v>
      </c>
    </row>
    <row r="38">
      <c r="A38" s="9" t="n">
        <v>-87</v>
      </c>
      <c r="B38" s="7" t="n">
        <v>40350</v>
      </c>
      <c r="C38" s="10" t="n">
        <v>1.056224330630741</v>
      </c>
      <c r="D38" s="10" t="n">
        <v>1.29770750059034</v>
      </c>
      <c r="E38" s="10" t="n">
        <v>1.536033040203792</v>
      </c>
      <c r="F38" s="10" t="n">
        <v>1.765731921178587</v>
      </c>
      <c r="G38" s="10" t="n">
        <v>1.984633725925695</v>
      </c>
      <c r="H38" s="10" t="n">
        <v>2.191871562937833</v>
      </c>
      <c r="I38" s="10" t="n">
        <v>2.387204079688951</v>
      </c>
      <c r="J38" s="10" t="n">
        <v>2.570686311927931</v>
      </c>
      <c r="K38" s="10" t="n">
        <v>2.742511783793871</v>
      </c>
      <c r="L38" s="10" t="n">
        <v>2.902941132055438</v>
      </c>
      <c r="M38" s="10" t="n">
        <v>4.12647182908306</v>
      </c>
      <c r="N38" s="10" t="n">
        <v>4.170677396759713</v>
      </c>
      <c r="O38" s="10" t="n">
        <v>4.210031174819519</v>
      </c>
      <c r="P38" s="10" t="n">
        <v>4.244930721761909</v>
      </c>
      <c r="Q38" s="10" t="n">
        <v>4.275763148167473</v>
      </c>
      <c r="R38" s="10" t="n">
        <v>4.302898971999176</v>
      </c>
      <c r="S38" s="10" t="n">
        <v>4.326683086184151</v>
      </c>
      <c r="T38" s="10" t="n">
        <v>4.347436880397459</v>
      </c>
      <c r="U38" s="10" t="n">
        <v>4.365461696192925</v>
      </c>
      <c r="V38" s="10" t="n">
        <v>4.381041690496435</v>
      </c>
      <c r="W38" s="10" t="n">
        <v>4.394444582017178</v>
      </c>
      <c r="X38" s="10" t="n">
        <v>4.405912426056959</v>
      </c>
      <c r="Y38" s="10" t="n">
        <v>4.415657142666457</v>
      </c>
      <c r="Z38" s="10" t="n">
        <v>4.423864873590968</v>
      </c>
      <c r="AA38" s="10" t="n">
        <v>4.430699857518338</v>
      </c>
      <c r="AB38" s="10" t="n">
        <v>4.436307137277641</v>
      </c>
      <c r="AC38" s="10" t="n">
        <v>4.440814605520673</v>
      </c>
      <c r="AD38" s="10" t="n">
        <v>4.444333320897027</v>
      </c>
      <c r="AE38" s="10" t="n">
        <v>4.446958246632598</v>
      </c>
      <c r="AF38" s="10" t="n">
        <v>4.448770260298157</v>
      </c>
      <c r="AG38" s="10" t="n">
        <v>4.449839609203533</v>
      </c>
      <c r="AH38" s="10" t="n">
        <v>4.450228342748819</v>
      </c>
      <c r="AI38" s="10" t="n">
        <v>4.44999123490869</v>
      </c>
      <c r="AJ38" s="10" t="n">
        <v>4.449176632099237</v>
      </c>
      <c r="AK38" s="10" t="n">
        <v>4.447828453533685</v>
      </c>
    </row>
    <row r="39">
      <c r="A39" s="9" t="n">
        <v>-86</v>
      </c>
      <c r="B39" s="7" t="n">
        <v>40351</v>
      </c>
      <c r="C39" s="10" t="n">
        <v>0.9824708117649831</v>
      </c>
      <c r="D39" s="10" t="n">
        <v>1.222072349005126</v>
      </c>
      <c r="E39" s="10" t="n">
        <v>1.461254105127415</v>
      </c>
      <c r="F39" s="10" t="n">
        <v>1.692972328608873</v>
      </c>
      <c r="G39" s="10" t="n">
        <v>1.914300198946636</v>
      </c>
      <c r="H39" s="10" t="n">
        <v>2.124012987067581</v>
      </c>
      <c r="I39" s="10" t="n">
        <v>2.321707359501052</v>
      </c>
      <c r="J39" s="10" t="n">
        <v>2.507374781335249</v>
      </c>
      <c r="K39" s="10" t="n">
        <v>2.681195322010101</v>
      </c>
      <c r="L39" s="10" t="n">
        <v>2.843442215973129</v>
      </c>
      <c r="M39" s="10" t="n">
        <v>4.088502260290009</v>
      </c>
      <c r="N39" s="10" t="n">
        <v>4.13477911433361</v>
      </c>
      <c r="O39" s="10" t="n">
        <v>4.176237312855688</v>
      </c>
      <c r="P39" s="10" t="n">
        <v>4.213255437094443</v>
      </c>
      <c r="Q39" s="10" t="n">
        <v>4.246200374587757</v>
      </c>
      <c r="R39" s="10" t="n">
        <v>4.27542268585354</v>
      </c>
      <c r="S39" s="10" t="n">
        <v>4.301249590459695</v>
      </c>
      <c r="T39" s="10" t="n">
        <v>4.323987075383256</v>
      </c>
      <c r="U39" s="10" t="n">
        <v>4.343923016542972</v>
      </c>
      <c r="V39" s="10" t="n">
        <v>4.361329765560949</v>
      </c>
      <c r="W39" s="10" t="n">
        <v>4.376464830231039</v>
      </c>
      <c r="X39" s="10" t="n">
        <v>4.389562732974613</v>
      </c>
      <c r="Y39" s="10" t="n">
        <v>4.400831115671982</v>
      </c>
      <c r="Z39" s="10" t="n">
        <v>4.41045430846934</v>
      </c>
      <c r="AA39" s="10" t="n">
        <v>4.418596590507697</v>
      </c>
      <c r="AB39" s="10" t="n">
        <v>4.425404653935959</v>
      </c>
      <c r="AC39" s="10" t="n">
        <v>4.431009425686473</v>
      </c>
      <c r="AD39" s="10" t="n">
        <v>4.435526023584291</v>
      </c>
      <c r="AE39" s="10" t="n">
        <v>4.439054254735246</v>
      </c>
      <c r="AF39" s="10" t="n">
        <v>4.441680495755967</v>
      </c>
      <c r="AG39" s="10" t="n">
        <v>4.443480805833682</v>
      </c>
      <c r="AH39" s="10" t="n">
        <v>4.444523129164881</v>
      </c>
      <c r="AI39" s="10" t="n">
        <v>4.444868197392898</v>
      </c>
      <c r="AJ39" s="10" t="n">
        <v>4.444570359293468</v>
      </c>
      <c r="AK39" s="10" t="n">
        <v>4.443679405577628</v>
      </c>
    </row>
    <row r="40">
      <c r="A40" s="9" t="n">
        <v>-85</v>
      </c>
      <c r="B40" s="7" t="n">
        <v>40352</v>
      </c>
      <c r="C40" s="10" t="n">
        <v>0.9731157595119106</v>
      </c>
      <c r="D40" s="10" t="n">
        <v>1.20944596314823</v>
      </c>
      <c r="E40" s="10" t="n">
        <v>1.447202161881141</v>
      </c>
      <c r="F40" s="10" t="n">
        <v>1.678356696262524</v>
      </c>
      <c r="G40" s="10" t="n">
        <v>1.899401411111496</v>
      </c>
      <c r="H40" s="10" t="n">
        <v>2.108818222439074</v>
      </c>
      <c r="I40" s="10" t="n">
        <v>2.306087387155692</v>
      </c>
      <c r="J40" s="10" t="n">
        <v>2.491183895176241</v>
      </c>
      <c r="K40" s="10" t="n">
        <v>2.66432093397982</v>
      </c>
      <c r="L40" s="10" t="n">
        <v>2.825823890157111</v>
      </c>
      <c r="M40" s="10" t="n">
        <v>4.070369722062408</v>
      </c>
      <c r="N40" s="10" t="n">
        <v>4.117513214203514</v>
      </c>
      <c r="O40" s="10" t="n">
        <v>4.159921276265761</v>
      </c>
      <c r="P40" s="10" t="n">
        <v>4.197956307033361</v>
      </c>
      <c r="Q40" s="10" t="n">
        <v>4.231968314576302</v>
      </c>
      <c r="R40" s="10" t="n">
        <v>4.262291093074253</v>
      </c>
      <c r="S40" s="10" t="n">
        <v>4.289236315767294</v>
      </c>
      <c r="T40" s="10" t="n">
        <v>4.313095644364626</v>
      </c>
      <c r="U40" s="10" t="n">
        <v>4.334143671201246</v>
      </c>
      <c r="V40" s="10" t="n">
        <v>4.352640357179405</v>
      </c>
      <c r="W40" s="10" t="n">
        <v>4.36883173106494</v>
      </c>
      <c r="X40" s="10" t="n">
        <v>4.382942740190484</v>
      </c>
      <c r="Y40" s="10" t="n">
        <v>4.395173918246779</v>
      </c>
      <c r="Z40" s="10" t="n">
        <v>4.40570448549418</v>
      </c>
      <c r="AA40" s="10" t="n">
        <v>4.414695216431274</v>
      </c>
      <c r="AB40" s="10" t="n">
        <v>4.422290700039732</v>
      </c>
      <c r="AC40" s="10" t="n">
        <v>4.428620991473257</v>
      </c>
      <c r="AD40" s="10" t="n">
        <v>4.433801430200029</v>
      </c>
      <c r="AE40" s="10" t="n">
        <v>4.437933033104127</v>
      </c>
      <c r="AF40" s="10" t="n">
        <v>4.441104242747615</v>
      </c>
      <c r="AG40" s="10" t="n">
        <v>4.443393763998506</v>
      </c>
      <c r="AH40" s="10" t="n">
        <v>4.444872570590647</v>
      </c>
      <c r="AI40" s="10" t="n">
        <v>4.445604759722205</v>
      </c>
      <c r="AJ40" s="10" t="n">
        <v>4.445648340488385</v>
      </c>
      <c r="AK40" s="10" t="n">
        <v>4.445056923197477</v>
      </c>
    </row>
    <row r="41">
      <c r="A41" s="9" t="n">
        <v>-84</v>
      </c>
      <c r="B41" s="7" t="n">
        <v>40353</v>
      </c>
      <c r="C41" s="10" t="n">
        <v>0.931956817506594</v>
      </c>
      <c r="D41" s="10" t="n">
        <v>1.161844447295939</v>
      </c>
      <c r="E41" s="10" t="n">
        <v>1.395631925280856</v>
      </c>
      <c r="F41" s="10" t="n">
        <v>1.624354476517617</v>
      </c>
      <c r="G41" s="10" t="n">
        <v>1.843932108181732</v>
      </c>
      <c r="H41" s="10" t="n">
        <v>2.052504922913081</v>
      </c>
      <c r="I41" s="10" t="n">
        <v>2.249346367414726</v>
      </c>
      <c r="J41" s="10" t="n">
        <v>2.434309285150086</v>
      </c>
      <c r="K41" s="10" t="n">
        <v>2.607534708360708</v>
      </c>
      <c r="L41" s="10" t="n">
        <v>2.76930377275908</v>
      </c>
      <c r="M41" s="10" t="n">
        <v>4.028837622156885</v>
      </c>
      <c r="N41" s="10" t="n">
        <v>4.077803056146567</v>
      </c>
      <c r="O41" s="10" t="n">
        <v>4.122068637639862</v>
      </c>
      <c r="P41" s="10" t="n">
        <v>4.161980782793117</v>
      </c>
      <c r="Q41" s="10" t="n">
        <v>4.197873366751344</v>
      </c>
      <c r="R41" s="10" t="n">
        <v>4.230064772757669</v>
      </c>
      <c r="S41" s="10" t="n">
        <v>4.258853186964254</v>
      </c>
      <c r="T41" s="10" t="n">
        <v>4.284518624851611</v>
      </c>
      <c r="U41" s="10" t="n">
        <v>4.307325602848153</v>
      </c>
      <c r="V41" s="10" t="n">
        <v>4.32752535190409</v>
      </c>
      <c r="W41" s="10" t="n">
        <v>4.345356392864904</v>
      </c>
      <c r="X41" s="10" t="n">
        <v>4.361037773820668</v>
      </c>
      <c r="Y41" s="10" t="n">
        <v>4.37476595228976</v>
      </c>
      <c r="Z41" s="10" t="n">
        <v>4.386717565041256</v>
      </c>
      <c r="AA41" s="10" t="n">
        <v>4.397052021968876</v>
      </c>
      <c r="AB41" s="10" t="n">
        <v>4.405913612901209</v>
      </c>
      <c r="AC41" s="10" t="n">
        <v>4.413433021359206</v>
      </c>
      <c r="AD41" s="10" t="n">
        <v>4.419726987626812</v>
      </c>
      <c r="AE41" s="10" t="n">
        <v>4.424898597361483</v>
      </c>
      <c r="AF41" s="10" t="n">
        <v>4.429038932656157</v>
      </c>
      <c r="AG41" s="10" t="n">
        <v>4.432229675459197</v>
      </c>
      <c r="AH41" s="10" t="n">
        <v>4.434544955008935</v>
      </c>
      <c r="AI41" s="10" t="n">
        <v>4.436052176802739</v>
      </c>
      <c r="AJ41" s="10" t="n">
        <v>4.436812788933199</v>
      </c>
      <c r="AK41" s="10" t="n">
        <v>4.436883861155973</v>
      </c>
    </row>
    <row r="42">
      <c r="A42" s="9" t="n">
        <v>-83</v>
      </c>
      <c r="B42" s="7" t="n">
        <v>40354</v>
      </c>
      <c r="C42" s="10" t="n">
        <v>0.9325281721181308</v>
      </c>
      <c r="D42" s="10" t="n">
        <v>1.159996064884965</v>
      </c>
      <c r="E42" s="10" t="n">
        <v>1.391645330466464</v>
      </c>
      <c r="F42" s="10" t="n">
        <v>1.618708602207545</v>
      </c>
      <c r="G42" s="10" t="n">
        <v>1.837123349731529</v>
      </c>
      <c r="H42" s="10" t="n">
        <v>2.044989204010887</v>
      </c>
      <c r="I42" s="10" t="n">
        <v>2.241516536142627</v>
      </c>
      <c r="J42" s="10" t="n">
        <v>2.426494987831441</v>
      </c>
      <c r="K42" s="10" t="n">
        <v>2.600004191209183</v>
      </c>
      <c r="L42" s="10" t="n">
        <v>2.762266790812948</v>
      </c>
      <c r="M42" s="10" t="n">
        <v>4.036845629351638</v>
      </c>
      <c r="N42" s="10" t="n">
        <v>4.087277990902209</v>
      </c>
      <c r="O42" s="10" t="n">
        <v>4.132997039297829</v>
      </c>
      <c r="P42" s="10" t="n">
        <v>4.174336119777226</v>
      </c>
      <c r="Q42" s="10" t="n">
        <v>4.211616285254886</v>
      </c>
      <c r="R42" s="10" t="n">
        <v>4.245144101297212</v>
      </c>
      <c r="S42" s="10" t="n">
        <v>4.275208133813993</v>
      </c>
      <c r="T42" s="10" t="n">
        <v>4.302080874010887</v>
      </c>
      <c r="U42" s="10" t="n">
        <v>4.326021102015191</v>
      </c>
      <c r="V42" s="10" t="n">
        <v>4.347275844807044</v>
      </c>
      <c r="W42" s="10" t="n">
        <v>4.366080731130742</v>
      </c>
      <c r="X42" s="10" t="n">
        <v>4.382653364399172</v>
      </c>
      <c r="Y42" s="10" t="n">
        <v>4.397190403994931</v>
      </c>
      <c r="Z42" s="10" t="n">
        <v>4.409870061203531</v>
      </c>
      <c r="AA42" s="10" t="n">
        <v>4.42085445313997</v>
      </c>
      <c r="AB42" s="10" t="n">
        <v>4.430291567635616</v>
      </c>
      <c r="AC42" s="10" t="n">
        <v>4.438316629084598</v>
      </c>
      <c r="AD42" s="10" t="n">
        <v>4.445051553057644</v>
      </c>
      <c r="AE42" s="10" t="n">
        <v>4.450605136476512</v>
      </c>
      <c r="AF42" s="10" t="n">
        <v>4.455074622176398</v>
      </c>
      <c r="AG42" s="10" t="n">
        <v>4.4585480181679</v>
      </c>
      <c r="AH42" s="10" t="n">
        <v>4.46110574950858</v>
      </c>
      <c r="AI42" s="10" t="n">
        <v>4.462821479730376</v>
      </c>
      <c r="AJ42" s="10" t="n">
        <v>4.463762870878703</v>
      </c>
      <c r="AK42" s="10" t="n">
        <v>4.463993001897538</v>
      </c>
    </row>
    <row r="43">
      <c r="A43" s="9" t="n">
        <v>-82</v>
      </c>
      <c r="B43" s="7" t="n">
        <v>40357</v>
      </c>
      <c r="C43" s="10" t="n">
        <v>0.9511971575200724</v>
      </c>
      <c r="D43" s="10" t="n">
        <v>1.175717464626265</v>
      </c>
      <c r="E43" s="10" t="n">
        <v>1.403744090148083</v>
      </c>
      <c r="F43" s="10" t="n">
        <v>1.627255679471993</v>
      </c>
      <c r="G43" s="10" t="n">
        <v>1.842473772158651</v>
      </c>
      <c r="H43" s="10" t="n">
        <v>2.047589796487517</v>
      </c>
      <c r="I43" s="10" t="n">
        <v>2.241824321582874</v>
      </c>
      <c r="J43" s="10" t="n">
        <v>2.424946492065076</v>
      </c>
      <c r="K43" s="10" t="n">
        <v>2.597005351990245</v>
      </c>
      <c r="L43" s="10" t="n">
        <v>2.758190452742284</v>
      </c>
      <c r="M43" s="10" t="n">
        <v>4.038291937788376</v>
      </c>
      <c r="N43" s="10" t="n">
        <v>4.089798389167877</v>
      </c>
      <c r="O43" s="10" t="n">
        <v>4.136610912810011</v>
      </c>
      <c r="P43" s="10" t="n">
        <v>4.179054533713294</v>
      </c>
      <c r="Q43" s="10" t="n">
        <v>4.21744270544558</v>
      </c>
      <c r="R43" s="10" t="n">
        <v>4.252075018690183</v>
      </c>
      <c r="S43" s="10" t="n">
        <v>4.283233686616979</v>
      </c>
      <c r="T43" s="10" t="n">
        <v>4.311185400215013</v>
      </c>
      <c r="U43" s="10" t="n">
        <v>4.336183610706356</v>
      </c>
      <c r="V43" s="10" t="n">
        <v>4.358470420078841</v>
      </c>
      <c r="W43" s="10" t="n">
        <v>4.378276899444907</v>
      </c>
      <c r="X43" s="10" t="n">
        <v>4.395816652663468</v>
      </c>
      <c r="Y43" s="10" t="n">
        <v>4.411283043064496</v>
      </c>
      <c r="Z43" s="10" t="n">
        <v>4.42485162433814</v>
      </c>
      <c r="AA43" s="10" t="n">
        <v>4.436682420334977</v>
      </c>
      <c r="AB43" s="10" t="n">
        <v>4.446921821344737</v>
      </c>
      <c r="AC43" s="10" t="n">
        <v>4.45570389078497</v>
      </c>
      <c r="AD43" s="10" t="n">
        <v>4.463149797264238</v>
      </c>
      <c r="AE43" s="10" t="n">
        <v>4.469367991586967</v>
      </c>
      <c r="AF43" s="10" t="n">
        <v>4.474455725057295</v>
      </c>
      <c r="AG43" s="10" t="n">
        <v>4.478501287219077</v>
      </c>
      <c r="AH43" s="10" t="n">
        <v>4.481585593983493</v>
      </c>
      <c r="AI43" s="10" t="n">
        <v>4.483782985056227</v>
      </c>
      <c r="AJ43" s="10" t="n">
        <v>4.485161966675449</v>
      </c>
      <c r="AK43" s="10" t="n">
        <v>4.485786618651342</v>
      </c>
    </row>
    <row r="44">
      <c r="A44" s="9" t="n">
        <v>-81</v>
      </c>
      <c r="B44" s="7" t="n">
        <v>40358</v>
      </c>
      <c r="C44" s="10" t="n">
        <v>0.9864213571093841</v>
      </c>
      <c r="D44" s="10" t="n">
        <v>1.209882027601195</v>
      </c>
      <c r="E44" s="10" t="n">
        <v>1.435882532749946</v>
      </c>
      <c r="F44" s="10" t="n">
        <v>1.657148444784903</v>
      </c>
      <c r="G44" s="10" t="n">
        <v>1.870182992821065</v>
      </c>
      <c r="H44" s="10" t="n">
        <v>2.073276426191041</v>
      </c>
      <c r="I44" s="10" t="n">
        <v>2.265674717076941</v>
      </c>
      <c r="J44" s="10" t="n">
        <v>2.447146319353482</v>
      </c>
      <c r="K44" s="10" t="n">
        <v>2.61773136573188</v>
      </c>
      <c r="L44" s="10" t="n">
        <v>2.777610587521311</v>
      </c>
      <c r="M44" s="10" t="n">
        <v>4.050812393673556</v>
      </c>
      <c r="N44" s="10" t="n">
        <v>4.102148482497689</v>
      </c>
      <c r="O44" s="10" t="n">
        <v>4.148789426944155</v>
      </c>
      <c r="P44" s="10" t="n">
        <v>4.191051828669178</v>
      </c>
      <c r="Q44" s="10" t="n">
        <v>4.229241164159793</v>
      </c>
      <c r="R44" s="10" t="n">
        <v>4.263649662915538</v>
      </c>
      <c r="S44" s="10" t="n">
        <v>4.294553089806419</v>
      </c>
      <c r="T44" s="10" t="n">
        <v>4.322212526414935</v>
      </c>
      <c r="U44" s="10" t="n">
        <v>4.346876530132079</v>
      </c>
      <c r="V44" s="10" t="n">
        <v>4.368782922385761</v>
      </c>
      <c r="W44" s="10" t="n">
        <v>4.388159030377581</v>
      </c>
      <c r="X44" s="10" t="n">
        <v>4.405215344764027</v>
      </c>
      <c r="Y44" s="10" t="n">
        <v>4.420142840265882</v>
      </c>
      <c r="Z44" s="10" t="n">
        <v>4.433115392719378</v>
      </c>
      <c r="AA44" s="10" t="n">
        <v>4.444292011625103</v>
      </c>
      <c r="AB44" s="10" t="n">
        <v>4.453818657449421</v>
      </c>
      <c r="AC44" s="10" t="n">
        <v>4.461829502981168</v>
      </c>
      <c r="AD44" s="10" t="n">
        <v>4.468446482577625</v>
      </c>
      <c r="AE44" s="10" t="n">
        <v>4.473779524351936</v>
      </c>
      <c r="AF44" s="10" t="n">
        <v>4.477928014391193</v>
      </c>
      <c r="AG44" s="10" t="n">
        <v>4.48098305376894</v>
      </c>
      <c r="AH44" s="10" t="n">
        <v>4.483029022903014</v>
      </c>
      <c r="AI44" s="10" t="n">
        <v>4.484144312596476</v>
      </c>
      <c r="AJ44" s="10" t="n">
        <v>4.484402007655735</v>
      </c>
      <c r="AK44" s="10" t="n">
        <v>4.483871236436197</v>
      </c>
    </row>
    <row r="45">
      <c r="A45" s="9" t="n">
        <v>-80</v>
      </c>
      <c r="B45" s="7" t="n">
        <v>40359</v>
      </c>
      <c r="C45" s="10" t="n">
        <v>0.9362412497366127</v>
      </c>
      <c r="D45" s="10" t="n">
        <v>1.156043871837767</v>
      </c>
      <c r="E45" s="10" t="n">
        <v>1.380384599828193</v>
      </c>
      <c r="F45" s="10" t="n">
        <v>1.601305261132818</v>
      </c>
      <c r="G45" s="10" t="n">
        <v>1.814906377781668</v>
      </c>
      <c r="H45" s="10" t="n">
        <v>2.019208783940337</v>
      </c>
      <c r="I45" s="10" t="n">
        <v>2.213253956168844</v>
      </c>
      <c r="J45" s="10" t="n">
        <v>2.396641630743638</v>
      </c>
      <c r="K45" s="10" t="n">
        <v>2.569262563835519</v>
      </c>
      <c r="L45" s="10" t="n">
        <v>2.73116736363378</v>
      </c>
      <c r="M45" s="10" t="n">
        <v>4.005977012393339</v>
      </c>
      <c r="N45" s="10" t="n">
        <v>4.05568984956638</v>
      </c>
      <c r="O45" s="10" t="n">
        <v>4.100614662037186</v>
      </c>
      <c r="P45" s="10" t="n">
        <v>4.141100876997709</v>
      </c>
      <c r="Q45" s="10" t="n">
        <v>4.177485204175623</v>
      </c>
      <c r="R45" s="10" t="n">
        <v>4.2100877023561</v>
      </c>
      <c r="S45" s="10" t="n">
        <v>4.239206396125897</v>
      </c>
      <c r="T45" s="10" t="n">
        <v>4.265119552854785</v>
      </c>
      <c r="U45" s="10" t="n">
        <v>4.288088587892015</v>
      </c>
      <c r="V45" s="10" t="n">
        <v>4.308360470873791</v>
      </c>
      <c r="W45" s="10" t="n">
        <v>4.326168371609134</v>
      </c>
      <c r="X45" s="10" t="n">
        <v>4.34172519511005</v>
      </c>
      <c r="Y45" s="10" t="n">
        <v>4.355221173979706</v>
      </c>
      <c r="Z45" s="10" t="n">
        <v>4.366827407379623</v>
      </c>
      <c r="AA45" s="10" t="n">
        <v>4.376698802596694</v>
      </c>
      <c r="AB45" s="10" t="n">
        <v>4.384976075327152</v>
      </c>
      <c r="AC45" s="10" t="n">
        <v>4.391787262657395</v>
      </c>
      <c r="AD45" s="10" t="n">
        <v>4.397248112482282</v>
      </c>
      <c r="AE45" s="10" t="n">
        <v>4.401462798328222</v>
      </c>
      <c r="AF45" s="10" t="n">
        <v>4.404525419559487</v>
      </c>
      <c r="AG45" s="10" t="n">
        <v>4.406522548659616</v>
      </c>
      <c r="AH45" s="10" t="n">
        <v>4.407534913991775</v>
      </c>
      <c r="AI45" s="10" t="n">
        <v>4.407638047800224</v>
      </c>
      <c r="AJ45" s="10" t="n">
        <v>4.406902902315776</v>
      </c>
      <c r="AK45" s="10" t="n">
        <v>4.40539726348668</v>
      </c>
    </row>
    <row r="46">
      <c r="A46" s="9" t="n">
        <v>-79</v>
      </c>
      <c r="B46" s="7" t="n">
        <v>40360</v>
      </c>
      <c r="C46" s="10" t="n">
        <v>0.9457292216752832</v>
      </c>
      <c r="D46" s="10" t="n">
        <v>1.162180683469692</v>
      </c>
      <c r="E46" s="10" t="n">
        <v>1.382226675098939</v>
      </c>
      <c r="F46" s="10" t="n">
        <v>1.598409484049037</v>
      </c>
      <c r="G46" s="10" t="n">
        <v>1.807135609332786</v>
      </c>
      <c r="H46" s="10" t="n">
        <v>2.00662336595894</v>
      </c>
      <c r="I46" s="10" t="n">
        <v>2.196047502264308</v>
      </c>
      <c r="J46" s="10" t="n">
        <v>2.375098525433502</v>
      </c>
      <c r="K46" s="10" t="n">
        <v>2.543726938549679</v>
      </c>
      <c r="L46" s="10" t="n">
        <v>2.702019393700655</v>
      </c>
      <c r="M46" s="10" t="n">
        <v>3.955259035236567</v>
      </c>
      <c r="N46" s="10" t="n">
        <v>4.004155964986373</v>
      </c>
      <c r="O46" s="10" t="n">
        <v>4.048287253224016</v>
      </c>
      <c r="P46" s="10" t="n">
        <v>4.0879960149348</v>
      </c>
      <c r="Q46" s="10" t="n">
        <v>4.123614379742503</v>
      </c>
      <c r="R46" s="10" t="n">
        <v>4.155458962756104</v>
      </c>
      <c r="S46" s="10" t="n">
        <v>4.183824980854941</v>
      </c>
      <c r="T46" s="10" t="n">
        <v>4.208988406488558</v>
      </c>
      <c r="U46" s="10" t="n">
        <v>4.231208797491412</v>
      </c>
      <c r="V46" s="10" t="n">
        <v>4.250731640780892</v>
      </c>
      <c r="W46" s="10" t="n">
        <v>4.267788925737528</v>
      </c>
      <c r="X46" s="10" t="n">
        <v>4.282592633517941</v>
      </c>
      <c r="Y46" s="10" t="n">
        <v>4.295332334094887</v>
      </c>
      <c r="Z46" s="10" t="n">
        <v>4.306178562050219</v>
      </c>
      <c r="AA46" s="10" t="n">
        <v>4.315285654455705</v>
      </c>
      <c r="AB46" s="10" t="n">
        <v>4.322793747129658</v>
      </c>
      <c r="AC46" s="10" t="n">
        <v>4.328830282779442</v>
      </c>
      <c r="AD46" s="10" t="n">
        <v>4.333510381262408</v>
      </c>
      <c r="AE46" s="10" t="n">
        <v>4.336937553450539</v>
      </c>
      <c r="AF46" s="10" t="n">
        <v>4.339205235450151</v>
      </c>
      <c r="AG46" s="10" t="n">
        <v>4.340399488635027</v>
      </c>
      <c r="AH46" s="10" t="n">
        <v>4.340600747353013</v>
      </c>
      <c r="AI46" s="10" t="n">
        <v>4.339884447102444</v>
      </c>
      <c r="AJ46" s="10" t="n">
        <v>4.338321629766771</v>
      </c>
      <c r="AK46" s="10" t="n">
        <v>4.335980425043784</v>
      </c>
    </row>
    <row r="47">
      <c r="A47" s="9" t="n">
        <v>-78</v>
      </c>
      <c r="B47" s="7" t="n">
        <v>40361</v>
      </c>
      <c r="C47" s="10" t="n">
        <v>0.9769262667290453</v>
      </c>
      <c r="D47" s="10" t="n">
        <v>1.193517767961215</v>
      </c>
      <c r="E47" s="10" t="n">
        <v>1.413345387888957</v>
      </c>
      <c r="F47" s="10" t="n">
        <v>1.629582263436451</v>
      </c>
      <c r="G47" s="10" t="n">
        <v>1.838820789330134</v>
      </c>
      <c r="H47" s="10" t="n">
        <v>2.039286029252871</v>
      </c>
      <c r="I47" s="10" t="n">
        <v>2.230093177806186</v>
      </c>
      <c r="J47" s="10" t="n">
        <v>2.410825702128546</v>
      </c>
      <c r="K47" s="10" t="n">
        <v>2.58131240509842</v>
      </c>
      <c r="L47" s="10" t="n">
        <v>2.741518393572573</v>
      </c>
      <c r="M47" s="10" t="n">
        <v>3.999350492756991</v>
      </c>
      <c r="N47" s="10" t="n">
        <v>4.047003548254529</v>
      </c>
      <c r="O47" s="10" t="n">
        <v>4.089783850873893</v>
      </c>
      <c r="P47" s="10" t="n">
        <v>4.128061667765203</v>
      </c>
      <c r="Q47" s="10" t="n">
        <v>4.162195255361523</v>
      </c>
      <c r="R47" s="10" t="n">
        <v>4.192524837162501</v>
      </c>
      <c r="S47" s="10" t="n">
        <v>4.219365293653842</v>
      </c>
      <c r="T47" s="10" t="n">
        <v>4.243008732881137</v>
      </c>
      <c r="U47" s="10" t="n">
        <v>4.263727839150201</v>
      </c>
      <c r="V47" s="10" t="n">
        <v>4.281778646115655</v>
      </c>
      <c r="W47" s="10" t="n">
        <v>4.297401358077891</v>
      </c>
      <c r="X47" s="10" t="n">
        <v>4.310813865259988</v>
      </c>
      <c r="Y47" s="10" t="n">
        <v>4.32220970191147</v>
      </c>
      <c r="Z47" s="10" t="n">
        <v>4.331761934623111</v>
      </c>
      <c r="AA47" s="10" t="n">
        <v>4.339626312235605</v>
      </c>
      <c r="AB47" s="10" t="n">
        <v>4.345943403301645</v>
      </c>
      <c r="AC47" s="10" t="n">
        <v>4.350840253593745</v>
      </c>
      <c r="AD47" s="10" t="n">
        <v>4.354431089640948</v>
      </c>
      <c r="AE47" s="10" t="n">
        <v>4.356818255246902</v>
      </c>
      <c r="AF47" s="10" t="n">
        <v>4.358093814515426</v>
      </c>
      <c r="AG47" s="10" t="n">
        <v>4.358342371164642</v>
      </c>
      <c r="AH47" s="10" t="n">
        <v>4.357642847493292</v>
      </c>
      <c r="AI47" s="10" t="n">
        <v>4.356069116735394</v>
      </c>
      <c r="AJ47" s="10" t="n">
        <v>4.35369061957338</v>
      </c>
      <c r="AK47" s="10" t="n">
        <v>4.350573865550693</v>
      </c>
    </row>
    <row r="48">
      <c r="A48" s="9" t="n">
        <v>-77</v>
      </c>
      <c r="B48" s="7" t="n">
        <v>40364</v>
      </c>
      <c r="C48" s="10" t="n">
        <v>0.9355511982659577</v>
      </c>
      <c r="D48" s="10" t="n">
        <v>1.149388701427773</v>
      </c>
      <c r="E48" s="10" t="n">
        <v>1.367977772717748</v>
      </c>
      <c r="F48" s="10" t="n">
        <v>1.583860043506243</v>
      </c>
      <c r="G48" s="10" t="n">
        <v>1.793271890081091</v>
      </c>
      <c r="H48" s="10" t="n">
        <v>1.994224648365618</v>
      </c>
      <c r="I48" s="10" t="n">
        <v>2.185702048345526</v>
      </c>
      <c r="J48" s="10" t="n">
        <v>2.367200079155079</v>
      </c>
      <c r="K48" s="10" t="n">
        <v>2.538484602837748</v>
      </c>
      <c r="L48" s="10" t="n">
        <v>2.699473084879433</v>
      </c>
      <c r="M48" s="10" t="n">
        <v>3.960105071404527</v>
      </c>
      <c r="N48" s="10" t="n">
        <v>4.007584974818764</v>
      </c>
      <c r="O48" s="10" t="n">
        <v>4.05018824513662</v>
      </c>
      <c r="P48" s="10" t="n">
        <v>4.088293417342823</v>
      </c>
      <c r="Q48" s="10" t="n">
        <v>4.122266259597494</v>
      </c>
      <c r="R48" s="10" t="n">
        <v>4.152453325292221</v>
      </c>
      <c r="S48" s="10" t="n">
        <v>4.17917425833526</v>
      </c>
      <c r="T48" s="10" t="n">
        <v>4.202724549474191</v>
      </c>
      <c r="U48" s="10" t="n">
        <v>4.223379088064429</v>
      </c>
      <c r="V48" s="10" t="n">
        <v>4.241395103208159</v>
      </c>
      <c r="W48" s="10" t="n">
        <v>4.257013090753245</v>
      </c>
      <c r="X48" s="10" t="n">
        <v>4.270450375420425</v>
      </c>
      <c r="Y48" s="10" t="n">
        <v>4.281899215176463</v>
      </c>
      <c r="Z48" s="10" t="n">
        <v>4.291530866748808</v>
      </c>
      <c r="AA48" s="10" t="n">
        <v>4.299498843065519</v>
      </c>
      <c r="AB48" s="10" t="n">
        <v>4.305941103929675</v>
      </c>
      <c r="AC48" s="10" t="n">
        <v>4.310981776849379</v>
      </c>
      <c r="AD48" s="10" t="n">
        <v>4.314732017190068</v>
      </c>
      <c r="AE48" s="10" t="n">
        <v>4.317291039775252</v>
      </c>
      <c r="AF48" s="10" t="n">
        <v>4.318747766206508</v>
      </c>
      <c r="AG48" s="10" t="n">
        <v>4.319183809320441</v>
      </c>
      <c r="AH48" s="10" t="n">
        <v>4.318675317901317</v>
      </c>
      <c r="AI48" s="10" t="n">
        <v>4.317293588898719</v>
      </c>
      <c r="AJ48" s="10" t="n">
        <v>4.315105675608021</v>
      </c>
      <c r="AK48" s="10" t="n">
        <v>4.312175974987245</v>
      </c>
    </row>
    <row r="49">
      <c r="A49" s="9" t="n">
        <v>-76</v>
      </c>
      <c r="B49" s="7" t="n">
        <v>40365</v>
      </c>
      <c r="C49" s="10" t="n">
        <v>0.9402391523989042</v>
      </c>
      <c r="D49" s="10" t="n">
        <v>1.155309610683426</v>
      </c>
      <c r="E49" s="10" t="n">
        <v>1.375425469118582</v>
      </c>
      <c r="F49" s="10" t="n">
        <v>1.593079635578379</v>
      </c>
      <c r="G49" s="10" t="n">
        <v>1.804437588732961</v>
      </c>
      <c r="H49" s="10" t="n">
        <v>2.007438206864105</v>
      </c>
      <c r="I49" s="10" t="n">
        <v>2.20100552905763</v>
      </c>
      <c r="J49" s="10" t="n">
        <v>2.384584921184422</v>
      </c>
      <c r="K49" s="10" t="n">
        <v>2.55789767190389</v>
      </c>
      <c r="L49" s="10" t="n">
        <v>2.720822235132276</v>
      </c>
      <c r="M49" s="10" t="n">
        <v>3.994169006340243</v>
      </c>
      <c r="N49" s="10" t="n">
        <v>4.042020800439208</v>
      </c>
      <c r="O49" s="10" t="n">
        <v>4.084981447092089</v>
      </c>
      <c r="P49" s="10" t="n">
        <v>4.123439179070346</v>
      </c>
      <c r="Q49" s="10" t="n">
        <v>4.157768108575456</v>
      </c>
      <c r="R49" s="10" t="n">
        <v>4.188321419530291</v>
      </c>
      <c r="S49" s="10" t="n">
        <v>4.215423348308827</v>
      </c>
      <c r="T49" s="10" t="n">
        <v>4.239372196314039</v>
      </c>
      <c r="U49" s="10" t="n">
        <v>4.260444143797344</v>
      </c>
      <c r="V49" s="10" t="n">
        <v>4.2788964079761</v>
      </c>
      <c r="W49" s="10" t="n">
        <v>4.294968368103264</v>
      </c>
      <c r="X49" s="10" t="n">
        <v>4.308875495458571</v>
      </c>
      <c r="Y49" s="10" t="n">
        <v>4.320807778257286</v>
      </c>
      <c r="Z49" s="10" t="n">
        <v>4.33093403509081</v>
      </c>
      <c r="AA49" s="10" t="n">
        <v>4.339405292370388</v>
      </c>
      <c r="AB49" s="10" t="n">
        <v>4.346356984541613</v>
      </c>
      <c r="AC49" s="10" t="n">
        <v>4.35191070805434</v>
      </c>
      <c r="AD49" s="10" t="n">
        <v>4.356175253610596</v>
      </c>
      <c r="AE49" s="10" t="n">
        <v>4.359247724460425</v>
      </c>
      <c r="AF49" s="10" t="n">
        <v>4.361215155582342</v>
      </c>
      <c r="AG49" s="10" t="n">
        <v>4.362157421620373</v>
      </c>
      <c r="AH49" s="10" t="n">
        <v>4.362149023645312</v>
      </c>
      <c r="AI49" s="10" t="n">
        <v>4.361259689428284</v>
      </c>
      <c r="AJ49" s="10" t="n">
        <v>4.359554971795445</v>
      </c>
      <c r="AK49" s="10" t="n">
        <v>4.357097792681918</v>
      </c>
    </row>
    <row r="50">
      <c r="A50" s="9" t="n">
        <v>-75</v>
      </c>
      <c r="B50" s="7" t="n">
        <v>40366</v>
      </c>
      <c r="C50" s="10" t="n">
        <v>0.9585897704541486</v>
      </c>
      <c r="D50" s="10" t="n">
        <v>1.17318612239714</v>
      </c>
      <c r="E50" s="10" t="n">
        <v>1.391779968075958</v>
      </c>
      <c r="F50" s="10" t="n">
        <v>1.607702380550729</v>
      </c>
      <c r="G50" s="10" t="n">
        <v>1.817487589404054</v>
      </c>
      <c r="H50" s="10" t="n">
        <v>2.019209153128171</v>
      </c>
      <c r="I50" s="10" t="n">
        <v>2.211815790289491</v>
      </c>
      <c r="J50" s="10" t="n">
        <v>2.39472845326351</v>
      </c>
      <c r="K50" s="10" t="n">
        <v>2.567627176813359</v>
      </c>
      <c r="L50" s="10" t="n">
        <v>2.73034771048065</v>
      </c>
      <c r="M50" s="10" t="n">
        <v>4.008378475282314</v>
      </c>
      <c r="N50" s="10" t="n">
        <v>4.056760296229381</v>
      </c>
      <c r="O50" s="10" t="n">
        <v>4.100255905388148</v>
      </c>
      <c r="P50" s="10" t="n">
        <v>4.139252179621144</v>
      </c>
      <c r="Q50" s="10" t="n">
        <v>4.174122010600114</v>
      </c>
      <c r="R50" s="10" t="n">
        <v>4.205217351807016</v>
      </c>
      <c r="S50" s="10" t="n">
        <v>4.232861182257465</v>
      </c>
      <c r="T50" s="10" t="n">
        <v>4.257350541276239</v>
      </c>
      <c r="U50" s="10" t="n">
        <v>4.27896034303611</v>
      </c>
      <c r="V50" s="10" t="n">
        <v>4.297946535093724</v>
      </c>
      <c r="W50" s="10" t="n">
        <v>4.314547228012131</v>
      </c>
      <c r="X50" s="10" t="n">
        <v>4.328976766563912</v>
      </c>
      <c r="Y50" s="10" t="n">
        <v>4.341424274458166</v>
      </c>
      <c r="Z50" s="10" t="n">
        <v>4.352057916518271</v>
      </c>
      <c r="AA50" s="10" t="n">
        <v>4.361028225238107</v>
      </c>
      <c r="AB50" s="10" t="n">
        <v>4.368470279880883</v>
      </c>
      <c r="AC50" s="10" t="n">
        <v>4.37450543876375</v>
      </c>
      <c r="AD50" s="10" t="n">
        <v>4.379242337216351</v>
      </c>
      <c r="AE50" s="10" t="n">
        <v>4.382777988571735</v>
      </c>
      <c r="AF50" s="10" t="n">
        <v>4.385199391166464</v>
      </c>
      <c r="AG50" s="10" t="n">
        <v>4.386586379315126</v>
      </c>
      <c r="AH50" s="10" t="n">
        <v>4.387013369651225</v>
      </c>
      <c r="AI50" s="10" t="n">
        <v>4.386549963605932</v>
      </c>
      <c r="AJ50" s="10" t="n">
        <v>4.385261549293106</v>
      </c>
      <c r="AK50" s="10" t="n">
        <v>4.383210824539586</v>
      </c>
    </row>
    <row r="51">
      <c r="A51" s="9" t="n">
        <v>-74</v>
      </c>
      <c r="B51" s="7" t="n">
        <v>40367</v>
      </c>
      <c r="C51" s="10" t="n">
        <v>0.9637306941964802</v>
      </c>
      <c r="D51" s="10" t="n">
        <v>1.178763305559235</v>
      </c>
      <c r="E51" s="10" t="n">
        <v>1.397994222238275</v>
      </c>
      <c r="F51" s="10" t="n">
        <v>1.614580212575898</v>
      </c>
      <c r="G51" s="10" t="n">
        <v>1.824967250357491</v>
      </c>
      <c r="H51" s="10" t="n">
        <v>2.0271882156479</v>
      </c>
      <c r="I51" s="10" t="n">
        <v>2.220177685933866</v>
      </c>
      <c r="J51" s="10" t="n">
        <v>2.403361139975809</v>
      </c>
      <c r="K51" s="10" t="n">
        <v>2.576435670448581</v>
      </c>
      <c r="L51" s="10" t="n">
        <v>2.7392606130621</v>
      </c>
      <c r="M51" s="10" t="n">
        <v>4.018315005514783</v>
      </c>
      <c r="N51" s="10" t="n">
        <v>4.066970098220484</v>
      </c>
      <c r="O51" s="10" t="n">
        <v>4.110788939533353</v>
      </c>
      <c r="P51" s="10" t="n">
        <v>4.150159900824759</v>
      </c>
      <c r="Q51" s="10" t="n">
        <v>4.185456494015773</v>
      </c>
      <c r="R51" s="10" t="n">
        <v>4.217030161409069</v>
      </c>
      <c r="S51" s="10" t="n">
        <v>4.24520206626852</v>
      </c>
      <c r="T51" s="10" t="n">
        <v>4.270266304067273</v>
      </c>
      <c r="U51" s="10" t="n">
        <v>4.292493882942617</v>
      </c>
      <c r="V51" s="10" t="n">
        <v>4.312136019610274</v>
      </c>
      <c r="W51" s="10" t="n">
        <v>4.329425440627311</v>
      </c>
      <c r="X51" s="10" t="n">
        <v>4.344570970439131</v>
      </c>
      <c r="Y51" s="10" t="n">
        <v>4.357756408969454</v>
      </c>
      <c r="Z51" s="10" t="n">
        <v>4.369144842873501</v>
      </c>
      <c r="AA51" s="10" t="n">
        <v>4.3788819661983</v>
      </c>
      <c r="AB51" s="10" t="n">
        <v>4.387098230701684</v>
      </c>
      <c r="AC51" s="10" t="n">
        <v>4.393910577865255</v>
      </c>
      <c r="AD51" s="10" t="n">
        <v>4.399423556989596</v>
      </c>
      <c r="AE51" s="10" t="n">
        <v>4.403730475372595</v>
      </c>
      <c r="AF51" s="10" t="n">
        <v>4.406914971071613</v>
      </c>
      <c r="AG51" s="10" t="n">
        <v>4.409053824040677</v>
      </c>
      <c r="AH51" s="10" t="n">
        <v>4.410218656927692</v>
      </c>
      <c r="AI51" s="10" t="n">
        <v>4.410476509171451</v>
      </c>
      <c r="AJ51" s="10" t="n">
        <v>4.409890419061266</v>
      </c>
      <c r="AK51" s="10" t="n">
        <v>4.408520946309069</v>
      </c>
    </row>
    <row r="52">
      <c r="A52" s="9" t="n">
        <v>-73</v>
      </c>
      <c r="B52" s="7" t="n">
        <v>40368</v>
      </c>
      <c r="C52" s="10" t="n">
        <v>0.9282733838555718</v>
      </c>
      <c r="D52" s="10" t="n">
        <v>1.140274849125216</v>
      </c>
      <c r="E52" s="10" t="n">
        <v>1.358045951894198</v>
      </c>
      <c r="F52" s="10" t="n">
        <v>1.573971069304829</v>
      </c>
      <c r="G52" s="10" t="n">
        <v>1.784085183667828</v>
      </c>
      <c r="H52" s="10" t="n">
        <v>1.986213417723504</v>
      </c>
      <c r="I52" s="10" t="n">
        <v>2.17918476563228</v>
      </c>
      <c r="J52" s="10" t="n">
        <v>2.362378016477292</v>
      </c>
      <c r="K52" s="10" t="n">
        <v>2.535474845063044</v>
      </c>
      <c r="L52" s="10" t="n">
        <v>2.698335645010637</v>
      </c>
      <c r="M52" s="10" t="n">
        <v>3.982312082889796</v>
      </c>
      <c r="N52" s="10" t="n">
        <v>4.031742516045209</v>
      </c>
      <c r="O52" s="10" t="n">
        <v>4.076372488577471</v>
      </c>
      <c r="P52" s="10" t="n">
        <v>4.116583246139227</v>
      </c>
      <c r="Q52" s="10" t="n">
        <v>4.152740944293178</v>
      </c>
      <c r="R52" s="10" t="n">
        <v>4.185189725165067</v>
      </c>
      <c r="S52" s="10" t="n">
        <v>4.214244198850878</v>
      </c>
      <c r="T52" s="10" t="n">
        <v>4.24019268117915</v>
      </c>
      <c r="U52" s="10" t="n">
        <v>4.263301060465834</v>
      </c>
      <c r="V52" s="10" t="n">
        <v>4.283815998614159</v>
      </c>
      <c r="W52" s="10" t="n">
        <v>4.301966139129124</v>
      </c>
      <c r="X52" s="10" t="n">
        <v>4.317956879519017</v>
      </c>
      <c r="Y52" s="10" t="n">
        <v>4.331969460586995</v>
      </c>
      <c r="Z52" s="10" t="n">
        <v>4.344165148942366</v>
      </c>
      <c r="AA52" s="10" t="n">
        <v>4.354688417822908</v>
      </c>
      <c r="AB52" s="10" t="n">
        <v>4.363669020760303</v>
      </c>
      <c r="AC52" s="10" t="n">
        <v>4.371223647438238</v>
      </c>
      <c r="AD52" s="10" t="n">
        <v>4.377456935161019</v>
      </c>
      <c r="AE52" s="10" t="n">
        <v>4.382462559535747</v>
      </c>
      <c r="AF52" s="10" t="n">
        <v>4.386324765184295</v>
      </c>
      <c r="AG52" s="10" t="n">
        <v>4.389121024947348</v>
      </c>
      <c r="AH52" s="10" t="n">
        <v>4.39092362999147</v>
      </c>
      <c r="AI52" s="10" t="n">
        <v>4.391800260613215</v>
      </c>
      <c r="AJ52" s="10" t="n">
        <v>4.391814571905186</v>
      </c>
      <c r="AK52" s="10" t="n">
        <v>4.391027675207328</v>
      </c>
    </row>
    <row r="53">
      <c r="A53" s="9" t="n">
        <v>-72</v>
      </c>
      <c r="B53" s="7" t="n">
        <v>40371</v>
      </c>
      <c r="C53" s="10" t="n">
        <v>0.936406033017221</v>
      </c>
      <c r="D53" s="10" t="n">
        <v>1.148619503385802</v>
      </c>
      <c r="E53" s="10" t="n">
        <v>1.366236583201999</v>
      </c>
      <c r="F53" s="10" t="n">
        <v>1.581825187264123</v>
      </c>
      <c r="G53" s="10" t="n">
        <v>1.791529056041968</v>
      </c>
      <c r="H53" s="10" t="n">
        <v>1.993233765846639</v>
      </c>
      <c r="I53" s="10" t="n">
        <v>2.185800467251645</v>
      </c>
      <c r="J53" s="10" t="n">
        <v>2.368626221818634</v>
      </c>
      <c r="K53" s="10" t="n">
        <v>2.541402423520454</v>
      </c>
      <c r="L53" s="10" t="n">
        <v>2.703995235309316</v>
      </c>
      <c r="M53" s="10" t="n">
        <v>3.989916858439094</v>
      </c>
      <c r="N53" s="10" t="n">
        <v>4.039840570892252</v>
      </c>
      <c r="O53" s="10" t="n">
        <v>4.084993527859742</v>
      </c>
      <c r="P53" s="10" t="n">
        <v>4.125752350944518</v>
      </c>
      <c r="Q53" s="10" t="n">
        <v>4.162478493783704</v>
      </c>
      <c r="R53" s="10" t="n">
        <v>4.195511395118082</v>
      </c>
      <c r="S53" s="10" t="n">
        <v>4.225161163451592</v>
      </c>
      <c r="T53" s="10" t="n">
        <v>4.251711825372808</v>
      </c>
      <c r="U53" s="10" t="n">
        <v>4.275425161093265</v>
      </c>
      <c r="V53" s="10" t="n">
        <v>4.296543879502048</v>
      </c>
      <c r="W53" s="10" t="n">
        <v>4.31529281615126</v>
      </c>
      <c r="X53" s="10" t="n">
        <v>4.331873851623983</v>
      </c>
      <c r="Y53" s="10" t="n">
        <v>4.346465123386853</v>
      </c>
      <c r="Z53" s="10" t="n">
        <v>4.359225254210671</v>
      </c>
      <c r="AA53" s="10" t="n">
        <v>4.370296516550778</v>
      </c>
      <c r="AB53" s="10" t="n">
        <v>4.379806853208128</v>
      </c>
      <c r="AC53" s="10" t="n">
        <v>4.387871507661174</v>
      </c>
      <c r="AD53" s="10" t="n">
        <v>4.394594108638926</v>
      </c>
      <c r="AE53" s="10" t="n">
        <v>4.400067777307047</v>
      </c>
      <c r="AF53" s="10" t="n">
        <v>4.404376599339646</v>
      </c>
      <c r="AG53" s="10" t="n">
        <v>4.407598164596714</v>
      </c>
      <c r="AH53" s="10" t="n">
        <v>4.409805077211211</v>
      </c>
      <c r="AI53" s="10" t="n">
        <v>4.411065503569339</v>
      </c>
      <c r="AJ53" s="10" t="n">
        <v>4.411443737088388</v>
      </c>
      <c r="AK53" s="10" t="n">
        <v>4.4110016182565</v>
      </c>
    </row>
    <row r="54">
      <c r="A54" s="9" t="n">
        <v>-71</v>
      </c>
      <c r="B54" s="7" t="n">
        <v>40372</v>
      </c>
      <c r="C54" s="10" t="n">
        <v>0.9669316379411751</v>
      </c>
      <c r="D54" s="10" t="n">
        <v>1.18298871782171</v>
      </c>
      <c r="E54" s="10" t="n">
        <v>1.403928024112661</v>
      </c>
      <c r="F54" s="10" t="n">
        <v>1.622242498245014</v>
      </c>
      <c r="G54" s="10" t="n">
        <v>1.834006377966411</v>
      </c>
      <c r="H54" s="10" t="n">
        <v>2.037107922307051</v>
      </c>
      <c r="I54" s="10" t="n">
        <v>2.230486367392893</v>
      </c>
      <c r="J54" s="10" t="n">
        <v>2.413668995144429</v>
      </c>
      <c r="K54" s="10" t="n">
        <v>2.586480845445839</v>
      </c>
      <c r="L54" s="10" t="n">
        <v>2.748886973511115</v>
      </c>
      <c r="M54" s="10" t="n">
        <v>4.026011415002464</v>
      </c>
      <c r="N54" s="10" t="n">
        <v>4.074882265777109</v>
      </c>
      <c r="O54" s="10" t="n">
        <v>4.118944355460138</v>
      </c>
      <c r="P54" s="10" t="n">
        <v>4.158580596249031</v>
      </c>
      <c r="Q54" s="10" t="n">
        <v>4.194159010442738</v>
      </c>
      <c r="R54" s="10" t="n">
        <v>4.226025347571492</v>
      </c>
      <c r="S54" s="10" t="n">
        <v>4.254495374442786</v>
      </c>
      <c r="T54" s="10" t="n">
        <v>4.279858192697573</v>
      </c>
      <c r="U54" s="10" t="n">
        <v>4.302380160128557</v>
      </c>
      <c r="V54" s="10" t="n">
        <v>4.322308136345553</v>
      </c>
      <c r="W54" s="10" t="n">
        <v>4.339870623264988</v>
      </c>
      <c r="X54" s="10" t="n">
        <v>4.355272257342024</v>
      </c>
      <c r="Y54" s="10" t="n">
        <v>4.368692971750244</v>
      </c>
      <c r="Z54" s="10" t="n">
        <v>4.380292556517297</v>
      </c>
      <c r="AA54" s="10" t="n">
        <v>4.390214007275928</v>
      </c>
      <c r="AB54" s="10" t="n">
        <v>4.398585603423457</v>
      </c>
      <c r="AC54" s="10" t="n">
        <v>4.405522610882438</v>
      </c>
      <c r="AD54" s="10" t="n">
        <v>4.411128543719169</v>
      </c>
      <c r="AE54" s="10" t="n">
        <v>4.415496365272844</v>
      </c>
      <c r="AF54" s="10" t="n">
        <v>4.418710037532551</v>
      </c>
      <c r="AG54" s="10" t="n">
        <v>4.42084737745877</v>
      </c>
      <c r="AH54" s="10" t="n">
        <v>4.421981686378917</v>
      </c>
      <c r="AI54" s="10" t="n">
        <v>4.422182253764952</v>
      </c>
      <c r="AJ54" s="10" t="n">
        <v>4.421514899124675</v>
      </c>
      <c r="AK54" s="10" t="n">
        <v>4.420043522925174</v>
      </c>
    </row>
    <row r="55">
      <c r="A55" s="9" t="n">
        <v>-70</v>
      </c>
      <c r="B55" s="7" t="n">
        <v>40373</v>
      </c>
      <c r="C55" s="10" t="n">
        <v>0.9886215452371737</v>
      </c>
      <c r="D55" s="10" t="n">
        <v>1.207041186354504</v>
      </c>
      <c r="E55" s="10" t="n">
        <v>1.429505713608341</v>
      </c>
      <c r="F55" s="10" t="n">
        <v>1.648787841677532</v>
      </c>
      <c r="G55" s="10" t="n">
        <v>1.861106295764279</v>
      </c>
      <c r="H55" s="10" t="n">
        <v>2.06444076188761</v>
      </c>
      <c r="I55" s="10" t="n">
        <v>2.257802933961513</v>
      </c>
      <c r="J55" s="10" t="n">
        <v>2.440786085715615</v>
      </c>
      <c r="K55" s="10" t="n">
        <v>2.613276163852488</v>
      </c>
      <c r="L55" s="10" t="n">
        <v>2.775298642404571</v>
      </c>
      <c r="M55" s="10" t="n">
        <v>4.053075925186151</v>
      </c>
      <c r="N55" s="10" t="n">
        <v>4.102292879426876</v>
      </c>
      <c r="O55" s="10" t="n">
        <v>4.146673189341226</v>
      </c>
      <c r="P55" s="10" t="n">
        <v>4.186588510141035</v>
      </c>
      <c r="Q55" s="10" t="n">
        <v>4.22239677988131</v>
      </c>
      <c r="R55" s="10" t="n">
        <v>4.254435295076782</v>
      </c>
      <c r="S55" s="10" t="n">
        <v>4.28301360967599</v>
      </c>
      <c r="T55" s="10" t="n">
        <v>4.308416624846468</v>
      </c>
      <c r="U55" s="10" t="n">
        <v>4.330908214363225</v>
      </c>
      <c r="V55" s="10" t="n">
        <v>4.350734224778915</v>
      </c>
      <c r="W55" s="10" t="n">
        <v>4.368123384615547</v>
      </c>
      <c r="X55" s="10" t="n">
        <v>4.383281603334351</v>
      </c>
      <c r="Y55" s="10" t="n">
        <v>4.396391015633859</v>
      </c>
      <c r="Z55" s="10" t="n">
        <v>4.407614316165255</v>
      </c>
      <c r="AA55" s="10" t="n">
        <v>4.417097951653746</v>
      </c>
      <c r="AB55" s="10" t="n">
        <v>4.424974129276264</v>
      </c>
      <c r="AC55" s="10" t="n">
        <v>4.431362433509814</v>
      </c>
      <c r="AD55" s="10" t="n">
        <v>4.436370898618007</v>
      </c>
      <c r="AE55" s="10" t="n">
        <v>4.440097112153008</v>
      </c>
      <c r="AF55" s="10" t="n">
        <v>4.442629739593703</v>
      </c>
      <c r="AG55" s="10" t="n">
        <v>4.444051294912148</v>
      </c>
      <c r="AH55" s="10" t="n">
        <v>4.44443971936247</v>
      </c>
      <c r="AI55" s="10" t="n">
        <v>4.443868888785092</v>
      </c>
      <c r="AJ55" s="10" t="n">
        <v>4.442409156319039</v>
      </c>
      <c r="AK55" s="10" t="n">
        <v>4.440128848780298</v>
      </c>
    </row>
    <row r="56">
      <c r="A56" s="9" t="n">
        <v>-69</v>
      </c>
      <c r="B56" s="7" t="n">
        <v>40374</v>
      </c>
      <c r="C56" s="10" t="n">
        <v>0.9745516924845107</v>
      </c>
      <c r="D56" s="10" t="n">
        <v>1.191407445271038</v>
      </c>
      <c r="E56" s="10" t="n">
        <v>1.412963320255315</v>
      </c>
      <c r="F56" s="10" t="n">
        <v>1.631551525361077</v>
      </c>
      <c r="G56" s="10" t="n">
        <v>1.843221030561264</v>
      </c>
      <c r="H56" s="10" t="n">
        <v>2.045901018337589</v>
      </c>
      <c r="I56" s="10" t="n">
        <v>2.238605285574498</v>
      </c>
      <c r="J56" s="10" t="n">
        <v>2.42095367141912</v>
      </c>
      <c r="K56" s="10" t="n">
        <v>2.592867950022337</v>
      </c>
      <c r="L56" s="10" t="n">
        <v>2.754413702971692</v>
      </c>
      <c r="M56" s="10" t="n">
        <v>4.038953570306268</v>
      </c>
      <c r="N56" s="10" t="n">
        <v>4.089113497821701</v>
      </c>
      <c r="O56" s="10" t="n">
        <v>4.134373649528565</v>
      </c>
      <c r="P56" s="10" t="n">
        <v>4.175087030383599</v>
      </c>
      <c r="Q56" s="10" t="n">
        <v>4.211594952889561</v>
      </c>
      <c r="R56" s="10" t="n">
        <v>4.244221102253721</v>
      </c>
      <c r="S56" s="10" t="n">
        <v>4.27326555597917</v>
      </c>
      <c r="T56" s="10" t="n">
        <v>4.299007433053809</v>
      </c>
      <c r="U56" s="10" t="n">
        <v>4.321707976072267</v>
      </c>
      <c r="V56" s="10" t="n">
        <v>4.341613100962271</v>
      </c>
      <c r="W56" s="10" t="n">
        <v>4.358953905340981</v>
      </c>
      <c r="X56" s="10" t="n">
        <v>4.373940638964592</v>
      </c>
      <c r="Y56" s="10" t="n">
        <v>4.386761477790518</v>
      </c>
      <c r="Z56" s="10" t="n">
        <v>4.397586365093594</v>
      </c>
      <c r="AA56" s="10" t="n">
        <v>4.406569896816195</v>
      </c>
      <c r="AB56" s="10" t="n">
        <v>4.413853213922547</v>
      </c>
      <c r="AC56" s="10" t="n">
        <v>4.419565447696328</v>
      </c>
      <c r="AD56" s="10" t="n">
        <v>4.423824337457119</v>
      </c>
      <c r="AE56" s="10" t="n">
        <v>4.42673711713714</v>
      </c>
      <c r="AF56" s="10" t="n">
        <v>4.428401985506915</v>
      </c>
      <c r="AG56" s="10" t="n">
        <v>4.428910605531339</v>
      </c>
      <c r="AH56" s="10" t="n">
        <v>4.42834956916751</v>
      </c>
      <c r="AI56" s="10" t="n">
        <v>4.42680095083873</v>
      </c>
      <c r="AJ56" s="10" t="n">
        <v>4.424342876931849</v>
      </c>
      <c r="AK56" s="10" t="n">
        <v>4.421050876894971</v>
      </c>
    </row>
    <row r="57">
      <c r="A57" s="9" t="n">
        <v>-68</v>
      </c>
      <c r="B57" s="7" t="n">
        <v>40375</v>
      </c>
      <c r="C57" s="10" t="n">
        <v>0.9538734688514424</v>
      </c>
      <c r="D57" s="10" t="n">
        <v>1.168422338209399</v>
      </c>
      <c r="E57" s="10" t="n">
        <v>1.387549254548871</v>
      </c>
      <c r="F57" s="10" t="n">
        <v>1.60383520340681</v>
      </c>
      <c r="G57" s="10" t="n">
        <v>1.813402391161563</v>
      </c>
      <c r="H57" s="10" t="n">
        <v>2.01420597159525</v>
      </c>
      <c r="I57" s="10" t="n">
        <v>2.205274317196822</v>
      </c>
      <c r="J57" s="10" t="n">
        <v>2.386237698728918</v>
      </c>
      <c r="K57" s="10" t="n">
        <v>2.557020011866858</v>
      </c>
      <c r="L57" s="10" t="n">
        <v>2.717688099349289</v>
      </c>
      <c r="M57" s="10" t="n">
        <v>4.005753376928452</v>
      </c>
      <c r="N57" s="10" t="n">
        <v>4.056575938647825</v>
      </c>
      <c r="O57" s="10" t="n">
        <v>4.102457798305356</v>
      </c>
      <c r="P57" s="10" t="n">
        <v>4.143740294878923</v>
      </c>
      <c r="Q57" s="10" t="n">
        <v>4.180754895946659</v>
      </c>
      <c r="R57" s="10" t="n">
        <v>4.213818052712173</v>
      </c>
      <c r="S57" s="10" t="n">
        <v>4.243226284745793</v>
      </c>
      <c r="T57" s="10" t="n">
        <v>4.269258463324305</v>
      </c>
      <c r="U57" s="10" t="n">
        <v>4.292178406764855</v>
      </c>
      <c r="V57" s="10" t="n">
        <v>4.312237026123759</v>
      </c>
      <c r="W57" s="10" t="n">
        <v>4.329672530451445</v>
      </c>
      <c r="X57" s="10" t="n">
        <v>4.34470459227454</v>
      </c>
      <c r="Y57" s="10" t="n">
        <v>4.357533070082235</v>
      </c>
      <c r="Z57" s="10" t="n">
        <v>4.368340869424467</v>
      </c>
      <c r="AA57" s="10" t="n">
        <v>4.377296286959089</v>
      </c>
      <c r="AB57" s="10" t="n">
        <v>4.384554798237859</v>
      </c>
      <c r="AC57" s="10" t="n">
        <v>4.390260200157623</v>
      </c>
      <c r="AD57" s="10" t="n">
        <v>4.394544135809423</v>
      </c>
      <c r="AE57" s="10" t="n">
        <v>4.397526547545457</v>
      </c>
      <c r="AF57" s="10" t="n">
        <v>4.399317022828736</v>
      </c>
      <c r="AG57" s="10" t="n">
        <v>4.40001626948007</v>
      </c>
      <c r="AH57" s="10" t="n">
        <v>4.399717231363609</v>
      </c>
      <c r="AI57" s="10" t="n">
        <v>4.398505902388941</v>
      </c>
      <c r="AJ57" s="10" t="n">
        <v>4.396462035690131</v>
      </c>
      <c r="AK57" s="10" t="n">
        <v>4.393659767703268</v>
      </c>
    </row>
    <row r="58">
      <c r="A58" s="9" t="n">
        <v>-67</v>
      </c>
      <c r="B58" s="7" t="n">
        <v>40378</v>
      </c>
      <c r="C58" s="10" t="n">
        <v>0.9771360670998088</v>
      </c>
      <c r="D58" s="10" t="n">
        <v>1.191303470948829</v>
      </c>
      <c r="E58" s="10" t="n">
        <v>1.409714139281406</v>
      </c>
      <c r="F58" s="10" t="n">
        <v>1.625157172637144</v>
      </c>
      <c r="G58" s="10" t="n">
        <v>1.833825850140698</v>
      </c>
      <c r="H58" s="10" t="n">
        <v>2.033710419575448</v>
      </c>
      <c r="I58" s="10" t="n">
        <v>2.223870678902249</v>
      </c>
      <c r="J58" s="10" t="n">
        <v>2.403971886901094</v>
      </c>
      <c r="K58" s="10" t="n">
        <v>2.573974002314253</v>
      </c>
      <c r="L58" s="10" t="n">
        <v>2.733979018147629</v>
      </c>
      <c r="M58" s="10" t="n">
        <v>4.027299379689496</v>
      </c>
      <c r="N58" s="10" t="n">
        <v>4.079172420190708</v>
      </c>
      <c r="O58" s="10" t="n">
        <v>4.126108502662231</v>
      </c>
      <c r="P58" s="10" t="n">
        <v>4.168435748905245</v>
      </c>
      <c r="Q58" s="10" t="n">
        <v>4.206473767611803</v>
      </c>
      <c r="R58" s="10" t="n">
        <v>4.240528866852102</v>
      </c>
      <c r="S58" s="10" t="n">
        <v>4.27088957040467</v>
      </c>
      <c r="T58" s="10" t="n">
        <v>4.297828656897927</v>
      </c>
      <c r="U58" s="10" t="n">
        <v>4.321605475271517</v>
      </c>
      <c r="V58" s="10" t="n">
        <v>4.342467858249701</v>
      </c>
      <c r="W58" s="10" t="n">
        <v>4.360652116315387</v>
      </c>
      <c r="X58" s="10" t="n">
        <v>4.376377061528673</v>
      </c>
      <c r="Y58" s="10" t="n">
        <v>4.389842633113855</v>
      </c>
      <c r="Z58" s="10" t="n">
        <v>4.401232566057232</v>
      </c>
      <c r="AA58" s="10" t="n">
        <v>4.41071660081343</v>
      </c>
      <c r="AB58" s="10" t="n">
        <v>4.418452194544161</v>
      </c>
      <c r="AC58" s="10" t="n">
        <v>4.424585567842566</v>
      </c>
      <c r="AD58" s="10" t="n">
        <v>4.42925105376273</v>
      </c>
      <c r="AE58" s="10" t="n">
        <v>4.432571469447788</v>
      </c>
      <c r="AF58" s="10" t="n">
        <v>4.434659414165933</v>
      </c>
      <c r="AG58" s="10" t="n">
        <v>4.435618605891164</v>
      </c>
      <c r="AH58" s="10" t="n">
        <v>4.435544935297701</v>
      </c>
      <c r="AI58" s="10" t="n">
        <v>4.434527284385678</v>
      </c>
      <c r="AJ58" s="10" t="n">
        <v>4.432648241651956</v>
      </c>
      <c r="AK58" s="10" t="n">
        <v>4.429984731440461</v>
      </c>
    </row>
    <row r="59">
      <c r="A59" s="9" t="n">
        <v>-66</v>
      </c>
      <c r="B59" s="7" t="n">
        <v>40379</v>
      </c>
      <c r="C59" s="10" t="n">
        <v>0.9901942845349889</v>
      </c>
      <c r="D59" s="10" t="n">
        <v>1.206682995982093</v>
      </c>
      <c r="E59" s="10" t="n">
        <v>1.426258761117975</v>
      </c>
      <c r="F59" s="10" t="n">
        <v>1.641873647992484</v>
      </c>
      <c r="G59" s="10" t="n">
        <v>1.849909007686432</v>
      </c>
      <c r="H59" s="10" t="n">
        <v>2.048548768501268</v>
      </c>
      <c r="I59" s="10" t="n">
        <v>2.237039765406466</v>
      </c>
      <c r="J59" s="10" t="n">
        <v>2.415218079492916</v>
      </c>
      <c r="K59" s="10" t="n">
        <v>2.583194055911935</v>
      </c>
      <c r="L59" s="10" t="n">
        <v>2.741199512016234</v>
      </c>
      <c r="M59" s="10" t="n">
        <v>4.030597298120359</v>
      </c>
      <c r="N59" s="10" t="n">
        <v>4.083596389190332</v>
      </c>
      <c r="O59" s="10" t="n">
        <v>4.13173574797027</v>
      </c>
      <c r="P59" s="10" t="n">
        <v>4.175319629738223</v>
      </c>
      <c r="Q59" s="10" t="n">
        <v>4.214645072767819</v>
      </c>
      <c r="R59" s="10" t="n">
        <v>4.249998130400036</v>
      </c>
      <c r="S59" s="10" t="n">
        <v>4.281650396125</v>
      </c>
      <c r="T59" s="10" t="n">
        <v>4.309860683878012</v>
      </c>
      <c r="U59" s="10" t="n">
        <v>4.334876907384952</v>
      </c>
      <c r="V59" s="10" t="n">
        <v>4.356937632252263</v>
      </c>
      <c r="W59" s="10" t="n">
        <v>4.376271845874212</v>
      </c>
      <c r="X59" s="10" t="n">
        <v>4.393093177201494</v>
      </c>
      <c r="Y59" s="10" t="n">
        <v>4.407598460603699</v>
      </c>
      <c r="Z59" s="10" t="n">
        <v>4.41996990651969</v>
      </c>
      <c r="AA59" s="10" t="n">
        <v>4.430376991791759</v>
      </c>
      <c r="AB59" s="10" t="n">
        <v>4.4389780129852</v>
      </c>
      <c r="AC59" s="10" t="n">
        <v>4.445920961647821</v>
      </c>
      <c r="AD59" s="10" t="n">
        <v>4.451342604981871</v>
      </c>
      <c r="AE59" s="10" t="n">
        <v>4.455368714537865</v>
      </c>
      <c r="AF59" s="10" t="n">
        <v>4.458115241910245</v>
      </c>
      <c r="AG59" s="10" t="n">
        <v>4.459689327110305</v>
      </c>
      <c r="AH59" s="10" t="n">
        <v>4.460190207796665</v>
      </c>
      <c r="AI59" s="10" t="n">
        <v>4.459710041608798</v>
      </c>
      <c r="AJ59" s="10" t="n">
        <v>4.458334628617964</v>
      </c>
      <c r="AK59" s="10" t="n">
        <v>4.456144047084035</v>
      </c>
    </row>
    <row r="60">
      <c r="A60" s="9" t="n">
        <v>-65</v>
      </c>
      <c r="B60" s="7" t="n">
        <v>40380</v>
      </c>
      <c r="C60" s="10" t="n">
        <v>0.9949034118135858</v>
      </c>
      <c r="D60" s="10" t="n">
        <v>1.211020459356628</v>
      </c>
      <c r="E60" s="10" t="n">
        <v>1.429979218197716</v>
      </c>
      <c r="F60" s="10" t="n">
        <v>1.644832141522169</v>
      </c>
      <c r="G60" s="10" t="n">
        <v>1.852005719569404</v>
      </c>
      <c r="H60" s="10" t="n">
        <v>2.049719903737131</v>
      </c>
      <c r="I60" s="10" t="n">
        <v>2.237257217597933</v>
      </c>
      <c r="J60" s="10" t="n">
        <v>2.414490703929349</v>
      </c>
      <c r="K60" s="10" t="n">
        <v>2.581571778500349</v>
      </c>
      <c r="L60" s="10" t="n">
        <v>2.738777487854226</v>
      </c>
      <c r="M60" s="10" t="n">
        <v>4.03740569258523</v>
      </c>
      <c r="N60" s="10" t="n">
        <v>4.092510273062329</v>
      </c>
      <c r="O60" s="10" t="n">
        <v>4.142837898961696</v>
      </c>
      <c r="P60" s="10" t="n">
        <v>4.188662359601749</v>
      </c>
      <c r="Q60" s="10" t="n">
        <v>4.230250209442986</v>
      </c>
      <c r="R60" s="10" t="n">
        <v>4.267858966701417</v>
      </c>
      <c r="S60" s="10" t="n">
        <v>4.301735437695213</v>
      </c>
      <c r="T60" s="10" t="n">
        <v>4.332117040854302</v>
      </c>
      <c r="U60" s="10" t="n">
        <v>4.359233187291881</v>
      </c>
      <c r="V60" s="10" t="n">
        <v>4.38330642044068</v>
      </c>
      <c r="W60" s="10" t="n">
        <v>4.404552154248488</v>
      </c>
      <c r="X60" s="10" t="n">
        <v>4.423174085582603</v>
      </c>
      <c r="Y60" s="10" t="n">
        <v>4.439362953233117</v>
      </c>
      <c r="Z60" s="10" t="n">
        <v>4.453297742237579</v>
      </c>
      <c r="AA60" s="10" t="n">
        <v>4.465146970695611</v>
      </c>
      <c r="AB60" s="10" t="n">
        <v>4.475069958836621</v>
      </c>
      <c r="AC60" s="10" t="n">
        <v>4.483217408232536</v>
      </c>
      <c r="AD60" s="10" t="n">
        <v>4.489730039782925</v>
      </c>
      <c r="AE60" s="10" t="n">
        <v>4.494738572798205</v>
      </c>
      <c r="AF60" s="10" t="n">
        <v>4.498364678954061</v>
      </c>
      <c r="AG60" s="10" t="n">
        <v>4.500721428392752</v>
      </c>
      <c r="AH60" s="10" t="n">
        <v>4.501913951359831</v>
      </c>
      <c r="AI60" s="10" t="n">
        <v>4.502040257991889</v>
      </c>
      <c r="AJ60" s="10" t="n">
        <v>4.501191964858279</v>
      </c>
      <c r="AK60" s="10" t="n">
        <v>4.499454934317843</v>
      </c>
    </row>
    <row r="61">
      <c r="A61" s="9" t="n">
        <v>-64</v>
      </c>
      <c r="B61" s="7" t="n">
        <v>40381</v>
      </c>
      <c r="C61" s="10" t="n">
        <v>0.9988380801527464</v>
      </c>
      <c r="D61" s="10" t="n">
        <v>1.216023694723679</v>
      </c>
      <c r="E61" s="10" t="n">
        <v>1.435640396374849</v>
      </c>
      <c r="F61" s="10" t="n">
        <v>1.65094491446299</v>
      </c>
      <c r="G61" s="10" t="n">
        <v>1.858510115893803</v>
      </c>
      <c r="H61" s="10" t="n">
        <v>2.0566438539486</v>
      </c>
      <c r="I61" s="10" t="n">
        <v>2.244669658175022</v>
      </c>
      <c r="J61" s="10" t="n">
        <v>2.422465668009845</v>
      </c>
      <c r="K61" s="10" t="n">
        <v>2.590166031674618</v>
      </c>
      <c r="L61" s="10" t="n">
        <v>2.748015413903356</v>
      </c>
      <c r="M61" s="10" t="n">
        <v>4.046431581864022</v>
      </c>
      <c r="N61" s="10" t="n">
        <v>4.100779699880544</v>
      </c>
      <c r="O61" s="10" t="n">
        <v>4.150301389486566</v>
      </c>
      <c r="P61" s="10" t="n">
        <v>4.195285221777745</v>
      </c>
      <c r="Q61" s="10" t="n">
        <v>4.236012384314038</v>
      </c>
      <c r="R61" s="10" t="n">
        <v>4.272753983266508</v>
      </c>
      <c r="S61" s="10" t="n">
        <v>4.305768621312664</v>
      </c>
      <c r="T61" s="10" t="n">
        <v>4.335303910969927</v>
      </c>
      <c r="U61" s="10" t="n">
        <v>4.361598090795467</v>
      </c>
      <c r="V61" s="10" t="n">
        <v>4.384881359568362</v>
      </c>
      <c r="W61" s="10" t="n">
        <v>4.40537565348377</v>
      </c>
      <c r="X61" s="10" t="n">
        <v>4.423289728993978</v>
      </c>
      <c r="Y61" s="10" t="n">
        <v>4.438817932404238</v>
      </c>
      <c r="Z61" s="10" t="n">
        <v>4.45214167098563</v>
      </c>
      <c r="AA61" s="10" t="n">
        <v>4.463430890960741</v>
      </c>
      <c r="AB61" s="10" t="n">
        <v>4.47284546906825</v>
      </c>
      <c r="AC61" s="10" t="n">
        <v>4.480535882274729</v>
      </c>
      <c r="AD61" s="10" t="n">
        <v>4.486641908501968</v>
      </c>
      <c r="AE61" s="10" t="n">
        <v>4.491292687891765</v>
      </c>
      <c r="AF61" s="10" t="n">
        <v>4.494607800393218</v>
      </c>
      <c r="AG61" s="10" t="n">
        <v>4.496698001618456</v>
      </c>
      <c r="AH61" s="10" t="n">
        <v>4.497666020287886</v>
      </c>
      <c r="AI61" s="10" t="n">
        <v>4.497607390393529</v>
      </c>
      <c r="AJ61" s="10" t="n">
        <v>4.496611185354977</v>
      </c>
      <c r="AK61" s="10" t="n">
        <v>4.494760664076637</v>
      </c>
    </row>
    <row r="62">
      <c r="A62" s="9" t="n">
        <v>-63</v>
      </c>
      <c r="B62" s="7" t="n">
        <v>40382</v>
      </c>
      <c r="C62" s="10" t="n">
        <v>1.07603844151504</v>
      </c>
      <c r="D62" s="10" t="n">
        <v>1.298391188773941</v>
      </c>
      <c r="E62" s="10" t="n">
        <v>1.520567124047446</v>
      </c>
      <c r="F62" s="10" t="n">
        <v>1.736914688936515</v>
      </c>
      <c r="G62" s="10" t="n">
        <v>1.944605370038622</v>
      </c>
      <c r="H62" s="10" t="n">
        <v>2.142296366766563</v>
      </c>
      <c r="I62" s="10" t="n">
        <v>2.329525842416583</v>
      </c>
      <c r="J62" s="10" t="n">
        <v>2.506305404654216</v>
      </c>
      <c r="K62" s="10" t="n">
        <v>2.672858421703824</v>
      </c>
      <c r="L62" s="10" t="n">
        <v>2.829481744406006</v>
      </c>
      <c r="M62" s="10" t="n">
        <v>4.109313483183138</v>
      </c>
      <c r="N62" s="10" t="n">
        <v>4.162283639339332</v>
      </c>
      <c r="O62" s="10" t="n">
        <v>4.210492257174171</v>
      </c>
      <c r="P62" s="10" t="n">
        <v>4.254237814623817</v>
      </c>
      <c r="Q62" s="10" t="n">
        <v>4.293810295974927</v>
      </c>
      <c r="R62" s="10" t="n">
        <v>4.329487173254147</v>
      </c>
      <c r="S62" s="10" t="n">
        <v>4.361530015829948</v>
      </c>
      <c r="T62" s="10" t="n">
        <v>4.390186413593163</v>
      </c>
      <c r="U62" s="10" t="n">
        <v>4.415692032762526</v>
      </c>
      <c r="V62" s="10" t="n">
        <v>4.438272312725975</v>
      </c>
      <c r="W62" s="10" t="n">
        <v>4.458142367728601</v>
      </c>
      <c r="X62" s="10" t="n">
        <v>4.475501813390034</v>
      </c>
      <c r="Y62" s="10" t="n">
        <v>4.490533841406739</v>
      </c>
      <c r="Z62" s="10" t="n">
        <v>4.503407588237414</v>
      </c>
      <c r="AA62" s="10" t="n">
        <v>4.514280053628515</v>
      </c>
      <c r="AB62" s="10" t="n">
        <v>4.523297583665439</v>
      </c>
      <c r="AC62" s="10" t="n">
        <v>4.530596775075377</v>
      </c>
      <c r="AD62" s="10" t="n">
        <v>4.536304028341865</v>
      </c>
      <c r="AE62" s="10" t="n">
        <v>4.540535972184628</v>
      </c>
      <c r="AF62" s="10" t="n">
        <v>4.543400758953059</v>
      </c>
      <c r="AG62" s="10" t="n">
        <v>4.544999947922838</v>
      </c>
      <c r="AH62" s="10" t="n">
        <v>4.545429638818282</v>
      </c>
      <c r="AI62" s="10" t="n">
        <v>4.544781051862918</v>
      </c>
      <c r="AJ62" s="10" t="n">
        <v>4.543141123271635</v>
      </c>
      <c r="AK62" s="10" t="n">
        <v>4.540593673591441</v>
      </c>
    </row>
    <row r="63">
      <c r="A63" s="9" t="n">
        <v>-62</v>
      </c>
      <c r="B63" s="7" t="n">
        <v>40385</v>
      </c>
      <c r="C63" s="10" t="n">
        <v>1.110287103023011</v>
      </c>
      <c r="D63" s="10" t="n">
        <v>1.333629842042514</v>
      </c>
      <c r="E63" s="10" t="n">
        <v>1.555461739263126</v>
      </c>
      <c r="F63" s="10" t="n">
        <v>1.770782021174805</v>
      </c>
      <c r="G63" s="10" t="n">
        <v>1.977096987416159</v>
      </c>
      <c r="H63" s="10" t="n">
        <v>2.173243995442906</v>
      </c>
      <c r="I63" s="10" t="n">
        <v>2.358866604303346</v>
      </c>
      <c r="J63" s="10" t="n">
        <v>2.534043208943195</v>
      </c>
      <c r="K63" s="10" t="n">
        <v>2.699048382354353</v>
      </c>
      <c r="L63" s="10" t="n">
        <v>2.854221165137886</v>
      </c>
      <c r="M63" s="10" t="n">
        <v>4.130323316268056</v>
      </c>
      <c r="N63" s="10" t="n">
        <v>4.184071769792781</v>
      </c>
      <c r="O63" s="10" t="n">
        <v>4.233160835340672</v>
      </c>
      <c r="P63" s="10" t="n">
        <v>4.277876328560821</v>
      </c>
      <c r="Q63" s="10" t="n">
        <v>4.318495392458968</v>
      </c>
      <c r="R63" s="10" t="n">
        <v>4.355282902095465</v>
      </c>
      <c r="S63" s="10" t="n">
        <v>4.388488485692952</v>
      </c>
      <c r="T63" s="10" t="n">
        <v>4.418348396314594</v>
      </c>
      <c r="U63" s="10" t="n">
        <v>4.445087478799287</v>
      </c>
      <c r="V63" s="10" t="n">
        <v>4.468920792866157</v>
      </c>
      <c r="W63" s="10" t="n">
        <v>4.490053503268752</v>
      </c>
      <c r="X63" s="10" t="n">
        <v>4.508675948774801</v>
      </c>
      <c r="Y63" s="10" t="n">
        <v>4.524962848856637</v>
      </c>
      <c r="Z63" s="10" t="n">
        <v>4.539075768489273</v>
      </c>
      <c r="AA63" s="10" t="n">
        <v>4.551165010437798</v>
      </c>
      <c r="AB63" s="10" t="n">
        <v>4.561370994011789</v>
      </c>
      <c r="AC63" s="10" t="n">
        <v>4.569825104741208</v>
      </c>
      <c r="AD63" s="10" t="n">
        <v>4.576649344193719</v>
      </c>
      <c r="AE63" s="10" t="n">
        <v>4.581956753719354</v>
      </c>
      <c r="AF63" s="10" t="n">
        <v>4.58585261124389</v>
      </c>
      <c r="AG63" s="10" t="n">
        <v>4.588436177292117</v>
      </c>
      <c r="AH63" s="10" t="n">
        <v>4.589801735501651</v>
      </c>
      <c r="AI63" s="10" t="n">
        <v>4.590039121321387</v>
      </c>
      <c r="AJ63" s="10" t="n">
        <v>4.589234271036458</v>
      </c>
      <c r="AK63" s="10" t="n">
        <v>4.587470322402512</v>
      </c>
    </row>
    <row r="64">
      <c r="A64" s="9" t="n">
        <v>-61</v>
      </c>
      <c r="B64" s="7" t="n">
        <v>40386</v>
      </c>
      <c r="C64" s="10" t="n">
        <v>1.151615766399197</v>
      </c>
      <c r="D64" s="10" t="n">
        <v>1.381705980811544</v>
      </c>
      <c r="E64" s="10" t="n">
        <v>1.607671349935383</v>
      </c>
      <c r="F64" s="10" t="n">
        <v>1.825514052186765</v>
      </c>
      <c r="G64" s="10" t="n">
        <v>2.033310764147132</v>
      </c>
      <c r="H64" s="10" t="n">
        <v>2.230233196125196</v>
      </c>
      <c r="I64" s="10" t="n">
        <v>2.416138509961267</v>
      </c>
      <c r="J64" s="10" t="n">
        <v>2.591247350256422</v>
      </c>
      <c r="K64" s="10" t="n">
        <v>2.755934070917438</v>
      </c>
      <c r="L64" s="10" t="n">
        <v>2.910609440209697</v>
      </c>
      <c r="M64" s="10" t="n">
        <v>4.178983283663253</v>
      </c>
      <c r="N64" s="10" t="n">
        <v>4.232596242992325</v>
      </c>
      <c r="O64" s="10" t="n">
        <v>4.281639061656699</v>
      </c>
      <c r="P64" s="10" t="n">
        <v>4.326392003468239</v>
      </c>
      <c r="Q64" s="10" t="n">
        <v>4.367124955490349</v>
      </c>
      <c r="R64" s="10" t="n">
        <v>4.404094305311483</v>
      </c>
      <c r="S64" s="10" t="n">
        <v>4.437540403830044</v>
      </c>
      <c r="T64" s="10" t="n">
        <v>4.467689585446332</v>
      </c>
      <c r="U64" s="10" t="n">
        <v>4.494756229312274</v>
      </c>
      <c r="V64" s="10" t="n">
        <v>4.518944461294293</v>
      </c>
      <c r="W64" s="10" t="n">
        <v>4.540448327870807</v>
      </c>
      <c r="X64" s="10" t="n">
        <v>4.55944789479128</v>
      </c>
      <c r="Y64" s="10" t="n">
        <v>4.576108870202728</v>
      </c>
      <c r="Z64" s="10" t="n">
        <v>4.590585077618006</v>
      </c>
      <c r="AA64" s="10" t="n">
        <v>4.603020256718316</v>
      </c>
      <c r="AB64" s="10" t="n">
        <v>4.613549300356651</v>
      </c>
      <c r="AC64" s="10" t="n">
        <v>4.622299061699932</v>
      </c>
      <c r="AD64" s="10" t="n">
        <v>4.629388248988714</v>
      </c>
      <c r="AE64" s="10" t="n">
        <v>4.634927879923786</v>
      </c>
      <c r="AF64" s="10" t="n">
        <v>4.639022323745846</v>
      </c>
      <c r="AG64" s="10" t="n">
        <v>4.641770838320161</v>
      </c>
      <c r="AH64" s="10" t="n">
        <v>4.64326847093847</v>
      </c>
      <c r="AI64" s="10" t="n">
        <v>4.643606505869096</v>
      </c>
      <c r="AJ64" s="10" t="n">
        <v>4.642872929735023</v>
      </c>
      <c r="AK64" s="10" t="n">
        <v>4.641153360488184</v>
      </c>
    </row>
    <row r="65">
      <c r="A65" s="9" t="n">
        <v>-60</v>
      </c>
      <c r="B65" s="7" t="n">
        <v>40387</v>
      </c>
      <c r="C65" s="10" t="n">
        <v>1.117788105885986</v>
      </c>
      <c r="D65" s="10" t="n">
        <v>1.34730348835395</v>
      </c>
      <c r="E65" s="10" t="n">
        <v>1.572798933369064</v>
      </c>
      <c r="F65" s="10" t="n">
        <v>1.790388482293579</v>
      </c>
      <c r="G65" s="10" t="n">
        <v>1.998176885916388</v>
      </c>
      <c r="H65" s="10" t="n">
        <v>2.195325065235668</v>
      </c>
      <c r="I65" s="10" t="n">
        <v>2.381664873833671</v>
      </c>
      <c r="J65" s="10" t="n">
        <v>2.557385459390834</v>
      </c>
      <c r="K65" s="10" t="n">
        <v>2.72282850855708</v>
      </c>
      <c r="L65" s="10" t="n">
        <v>2.878373550462888</v>
      </c>
      <c r="M65" s="10" t="n">
        <v>4.164562783890128</v>
      </c>
      <c r="N65" s="10" t="n">
        <v>4.220080431119601</v>
      </c>
      <c r="O65" s="10" t="n">
        <v>4.271097285119472</v>
      </c>
      <c r="P65" s="10" t="n">
        <v>4.317885397476964</v>
      </c>
      <c r="Q65" s="10" t="n">
        <v>4.360705167337143</v>
      </c>
      <c r="R65" s="10" t="n">
        <v>4.39980260568123</v>
      </c>
      <c r="S65" s="10" t="n">
        <v>4.435407165254566</v>
      </c>
      <c r="T65" s="10" t="n">
        <v>4.467733866024285</v>
      </c>
      <c r="U65" s="10" t="n">
        <v>4.496985417646694</v>
      </c>
      <c r="V65" s="10" t="n">
        <v>4.523353972917972</v>
      </c>
      <c r="W65" s="10" t="n">
        <v>4.547021554981376</v>
      </c>
      <c r="X65" s="10" t="n">
        <v>4.568157110428974</v>
      </c>
      <c r="Y65" s="10" t="n">
        <v>4.586916533376924</v>
      </c>
      <c r="Z65" s="10" t="n">
        <v>4.60344525694674</v>
      </c>
      <c r="AA65" s="10" t="n">
        <v>4.617879994277057</v>
      </c>
      <c r="AB65" s="10" t="n">
        <v>4.630349812425966</v>
      </c>
      <c r="AC65" s="10" t="n">
        <v>4.640976874174037</v>
      </c>
      <c r="AD65" s="10" t="n">
        <v>4.6498765382823</v>
      </c>
      <c r="AE65" s="10" t="n">
        <v>4.657157818360887</v>
      </c>
      <c r="AF65" s="10" t="n">
        <v>4.662924225423362</v>
      </c>
      <c r="AG65" s="10" t="n">
        <v>4.66727495114865</v>
      </c>
      <c r="AH65" s="10" t="n">
        <v>4.670305580795769</v>
      </c>
      <c r="AI65" s="10" t="n">
        <v>4.672108475077735</v>
      </c>
      <c r="AJ65" s="10" t="n">
        <v>4.672773164456399</v>
      </c>
      <c r="AK65" s="10" t="n">
        <v>4.672387105562882</v>
      </c>
    </row>
    <row r="66">
      <c r="A66" s="9" t="n">
        <v>-59</v>
      </c>
      <c r="B66" s="7" t="n">
        <v>40388</v>
      </c>
      <c r="C66" s="10" t="n">
        <v>1.054253222902577</v>
      </c>
      <c r="D66" s="10" t="n">
        <v>1.280164729415784</v>
      </c>
      <c r="E66" s="10" t="n">
        <v>1.504215368392321</v>
      </c>
      <c r="F66" s="10" t="n">
        <v>1.721418065550004</v>
      </c>
      <c r="G66" s="10" t="n">
        <v>1.929357631551879</v>
      </c>
      <c r="H66" s="10" t="n">
        <v>2.126938664177753</v>
      </c>
      <c r="I66" s="10" t="n">
        <v>2.313858959396453</v>
      </c>
      <c r="J66" s="10" t="n">
        <v>2.490233625052805</v>
      </c>
      <c r="K66" s="10" t="n">
        <v>2.656364949641924</v>
      </c>
      <c r="L66" s="10" t="n">
        <v>2.812613377084209</v>
      </c>
      <c r="M66" s="10" t="n">
        <v>4.112365290958104</v>
      </c>
      <c r="N66" s="10" t="n">
        <v>4.169440506861478</v>
      </c>
      <c r="O66" s="10" t="n">
        <v>4.222065495744721</v>
      </c>
      <c r="P66" s="10" t="n">
        <v>4.270500701275109</v>
      </c>
      <c r="Q66" s="10" t="n">
        <v>4.314994141601223</v>
      </c>
      <c r="R66" s="10" t="n">
        <v>4.35577945649595</v>
      </c>
      <c r="S66" s="10" t="n">
        <v>4.393074410498919</v>
      </c>
      <c r="T66" s="10" t="n">
        <v>4.427082978555907</v>
      </c>
      <c r="U66" s="10" t="n">
        <v>4.457997373900288</v>
      </c>
      <c r="V66" s="10" t="n">
        <v>4.485999724078189</v>
      </c>
      <c r="W66" s="10" t="n">
        <v>4.511262661161954</v>
      </c>
      <c r="X66" s="10" t="n">
        <v>4.533947282967242</v>
      </c>
      <c r="Y66" s="10" t="n">
        <v>4.554203422765262</v>
      </c>
      <c r="Z66" s="10" t="n">
        <v>4.572171955865813</v>
      </c>
      <c r="AA66" s="10" t="n">
        <v>4.587986317158006</v>
      </c>
      <c r="AB66" s="10" t="n">
        <v>4.601773417878789</v>
      </c>
      <c r="AC66" s="10" t="n">
        <v>4.613654277060513</v>
      </c>
      <c r="AD66" s="10" t="n">
        <v>4.62374410918392</v>
      </c>
      <c r="AE66" s="10" t="n">
        <v>4.63215271957965</v>
      </c>
      <c r="AF66" s="10" t="n">
        <v>4.638985191982468</v>
      </c>
      <c r="AG66" s="10" t="n">
        <v>4.644342771328961</v>
      </c>
      <c r="AH66" s="10" t="n">
        <v>4.64832343024705</v>
      </c>
      <c r="AI66" s="10" t="n">
        <v>4.651022213704197</v>
      </c>
      <c r="AJ66" s="10" t="n">
        <v>4.652531585197842</v>
      </c>
      <c r="AK66" s="10" t="n">
        <v>4.652942024085063</v>
      </c>
    </row>
    <row r="67">
      <c r="A67" s="9" t="n">
        <v>-58</v>
      </c>
      <c r="B67" s="7" t="n">
        <v>40389</v>
      </c>
      <c r="C67" s="10" t="n">
        <v>0.9920984360690868</v>
      </c>
      <c r="D67" s="10" t="n">
        <v>1.208571156772406</v>
      </c>
      <c r="E67" s="10" t="n">
        <v>1.426777651822847</v>
      </c>
      <c r="F67" s="10" t="n">
        <v>1.640328992898536</v>
      </c>
      <c r="G67" s="10" t="n">
        <v>1.845975789775031</v>
      </c>
      <c r="H67" s="10" t="n">
        <v>2.042109882188714</v>
      </c>
      <c r="I67" s="10" t="n">
        <v>2.228097412806826</v>
      </c>
      <c r="J67" s="10" t="n">
        <v>2.403839389808311</v>
      </c>
      <c r="K67" s="10" t="n">
        <v>2.569493582828737</v>
      </c>
      <c r="L67" s="10" t="n">
        <v>2.725327208476966</v>
      </c>
      <c r="M67" s="10" t="n">
        <v>4.019272882407958</v>
      </c>
      <c r="N67" s="10" t="n">
        <v>4.076081219121177</v>
      </c>
      <c r="O67" s="10" t="n">
        <v>4.128497294349461</v>
      </c>
      <c r="P67" s="10" t="n">
        <v>4.176782369818664</v>
      </c>
      <c r="Q67" s="10" t="n">
        <v>4.221184030700915</v>
      </c>
      <c r="R67" s="10" t="n">
        <v>4.261934120754312</v>
      </c>
      <c r="S67" s="10" t="n">
        <v>4.299247302780162</v>
      </c>
      <c r="T67" s="10" t="n">
        <v>4.333323344408801</v>
      </c>
      <c r="U67" s="10" t="n">
        <v>4.364349308565904</v>
      </c>
      <c r="V67" s="10" t="n">
        <v>4.392501364342844</v>
      </c>
      <c r="W67" s="10" t="n">
        <v>4.417945612894509</v>
      </c>
      <c r="X67" s="10" t="n">
        <v>4.440836742549965</v>
      </c>
      <c r="Y67" s="10" t="n">
        <v>4.461318624736026</v>
      </c>
      <c r="Z67" s="10" t="n">
        <v>4.479526645005387</v>
      </c>
      <c r="AA67" s="10" t="n">
        <v>4.495589177831894</v>
      </c>
      <c r="AB67" s="10" t="n">
        <v>4.50962845094964</v>
      </c>
      <c r="AC67" s="10" t="n">
        <v>4.521761191589486</v>
      </c>
      <c r="AD67" s="10" t="n">
        <v>4.532098927877866</v>
      </c>
      <c r="AE67" s="10" t="n">
        <v>4.540748435880446</v>
      </c>
      <c r="AF67" s="10" t="n">
        <v>4.547812368746528</v>
      </c>
      <c r="AG67" s="10" t="n">
        <v>4.553390102973447</v>
      </c>
      <c r="AH67" s="10" t="n">
        <v>4.557578251150345</v>
      </c>
      <c r="AI67" s="10" t="n">
        <v>4.560470953520523</v>
      </c>
      <c r="AJ67" s="10" t="n">
        <v>4.562160180229019</v>
      </c>
      <c r="AK67" s="10" t="n">
        <v>4.562736290196034</v>
      </c>
    </row>
    <row r="68">
      <c r="A68" s="9" t="n">
        <v>-57</v>
      </c>
      <c r="B68" s="7" t="n">
        <v>40392</v>
      </c>
      <c r="C68" s="10" t="n">
        <v>1.017125359551567</v>
      </c>
      <c r="D68" s="10" t="n">
        <v>1.236546228667817</v>
      </c>
      <c r="E68" s="10" t="n">
        <v>1.456661498467669</v>
      </c>
      <c r="F68" s="10" t="n">
        <v>1.671383260213302</v>
      </c>
      <c r="G68" s="10" t="n">
        <v>1.877659109634667</v>
      </c>
      <c r="H68" s="10" t="n">
        <v>2.074006169180816</v>
      </c>
      <c r="I68" s="10" t="n">
        <v>2.25987360253864</v>
      </c>
      <c r="J68" s="10" t="n">
        <v>2.435226379433885</v>
      </c>
      <c r="K68" s="10" t="n">
        <v>2.600271760830811</v>
      </c>
      <c r="L68" s="10" t="n">
        <v>2.755318033327151</v>
      </c>
      <c r="M68" s="10" t="n">
        <v>4.033557097295839</v>
      </c>
      <c r="N68" s="10" t="n">
        <v>4.089054139051761</v>
      </c>
      <c r="O68" s="10" t="n">
        <v>4.140156497810636</v>
      </c>
      <c r="P68" s="10" t="n">
        <v>4.187127365092223</v>
      </c>
      <c r="Q68" s="10" t="n">
        <v>4.23021639430728</v>
      </c>
      <c r="R68" s="10" t="n">
        <v>4.269657585809544</v>
      </c>
      <c r="S68" s="10" t="n">
        <v>4.305667854459813</v>
      </c>
      <c r="T68" s="10" t="n">
        <v>4.338449307694935</v>
      </c>
      <c r="U68" s="10" t="n">
        <v>4.368191423090147</v>
      </c>
      <c r="V68" s="10" t="n">
        <v>4.395072848263156</v>
      </c>
      <c r="W68" s="10" t="n">
        <v>4.419262202581995</v>
      </c>
      <c r="X68" s="10" t="n">
        <v>4.440916702890116</v>
      </c>
      <c r="Y68" s="10" t="n">
        <v>4.460182742486843</v>
      </c>
      <c r="Z68" s="10" t="n">
        <v>4.477198134914501</v>
      </c>
      <c r="AA68" s="10" t="n">
        <v>4.492093558046106</v>
      </c>
      <c r="AB68" s="10" t="n">
        <v>4.504993432255363</v>
      </c>
      <c r="AC68" s="10" t="n">
        <v>4.516016560388492</v>
      </c>
      <c r="AD68" s="10" t="n">
        <v>4.525276371308667</v>
      </c>
      <c r="AE68" s="10" t="n">
        <v>4.532881358502436</v>
      </c>
      <c r="AF68" s="10" t="n">
        <v>4.538935737037582</v>
      </c>
      <c r="AG68" s="10" t="n">
        <v>4.543540331672074</v>
      </c>
      <c r="AH68" s="10" t="n">
        <v>4.546793109842043</v>
      </c>
      <c r="AI68" s="10" t="n">
        <v>4.548789483040674</v>
      </c>
      <c r="AJ68" s="10" t="n">
        <v>4.549622612097152</v>
      </c>
      <c r="AK68" s="10" t="n">
        <v>4.549383932094838</v>
      </c>
    </row>
    <row r="69">
      <c r="A69" s="9" t="n">
        <v>-56</v>
      </c>
      <c r="B69" s="7" t="n">
        <v>40393</v>
      </c>
      <c r="C69" s="10" t="n">
        <v>0.9919612541848039</v>
      </c>
      <c r="D69" s="10" t="n">
        <v>1.205599172919499</v>
      </c>
      <c r="E69" s="10" t="n">
        <v>1.420665896323166</v>
      </c>
      <c r="F69" s="10" t="n">
        <v>1.63086548239488</v>
      </c>
      <c r="G69" s="10" t="n">
        <v>1.833037544864024</v>
      </c>
      <c r="H69" s="10" t="n">
        <v>2.025639768085551</v>
      </c>
      <c r="I69" s="10" t="n">
        <v>2.208086040571866</v>
      </c>
      <c r="J69" s="10" t="n">
        <v>2.380320288277078</v>
      </c>
      <c r="K69" s="10" t="n">
        <v>2.542538509340489</v>
      </c>
      <c r="L69" s="10" t="n">
        <v>2.695047131497058</v>
      </c>
      <c r="M69" s="10" t="n">
        <v>3.964627606453368</v>
      </c>
      <c r="N69" s="10" t="n">
        <v>4.02069382530719</v>
      </c>
      <c r="O69" s="10" t="n">
        <v>4.072419593697548</v>
      </c>
      <c r="P69" s="10" t="n">
        <v>4.120048122044006</v>
      </c>
      <c r="Q69" s="10" t="n">
        <v>4.163810612660202</v>
      </c>
      <c r="R69" s="10" t="n">
        <v>4.203924994279213</v>
      </c>
      <c r="S69" s="10" t="n">
        <v>4.240595140938421</v>
      </c>
      <c r="T69" s="10" t="n">
        <v>4.274012776455264</v>
      </c>
      <c r="U69" s="10" t="n">
        <v>4.304359261224278</v>
      </c>
      <c r="V69" s="10" t="n">
        <v>4.331807068477385</v>
      </c>
      <c r="W69" s="10" t="n">
        <v>4.356520365769102</v>
      </c>
      <c r="X69" s="10" t="n">
        <v>4.378653633835405</v>
      </c>
      <c r="Y69" s="10" t="n">
        <v>4.398352081364874</v>
      </c>
      <c r="Z69" s="10" t="n">
        <v>4.41575350321376</v>
      </c>
      <c r="AA69" s="10" t="n">
        <v>4.430989495316817</v>
      </c>
      <c r="AB69" s="10" t="n">
        <v>4.444186216095933</v>
      </c>
      <c r="AC69" s="10" t="n">
        <v>4.455464866965609</v>
      </c>
      <c r="AD69" s="10" t="n">
        <v>4.464941626236782</v>
      </c>
      <c r="AE69" s="10" t="n">
        <v>4.472727952680663</v>
      </c>
      <c r="AF69" s="10" t="n">
        <v>4.478931180989366</v>
      </c>
      <c r="AG69" s="10" t="n">
        <v>4.483655256098132</v>
      </c>
      <c r="AH69" s="10" t="n">
        <v>4.487001208883597</v>
      </c>
      <c r="AI69" s="10" t="n">
        <v>4.489067462150144</v>
      </c>
      <c r="AJ69" s="10" t="n">
        <v>4.489950127817345</v>
      </c>
      <c r="AK69" s="10" t="n">
        <v>4.489743444417605</v>
      </c>
    </row>
    <row r="70">
      <c r="A70" s="9" t="n">
        <v>-55</v>
      </c>
      <c r="B70" s="7" t="n">
        <v>40394</v>
      </c>
      <c r="C70" s="10" t="n">
        <v>1.009580987053986</v>
      </c>
      <c r="D70" s="10" t="n">
        <v>1.223904230972638</v>
      </c>
      <c r="E70" s="10" t="n">
        <v>1.438871585889027</v>
      </c>
      <c r="F70" s="10" t="n">
        <v>1.648694735623436</v>
      </c>
      <c r="G70" s="10" t="n">
        <v>1.850427322873283</v>
      </c>
      <c r="H70" s="10" t="n">
        <v>2.042616587383057</v>
      </c>
      <c r="I70" s="10" t="n">
        <v>2.224710069223638</v>
      </c>
      <c r="J70" s="10" t="n">
        <v>2.396656640448789</v>
      </c>
      <c r="K70" s="10" t="n">
        <v>2.558639787174528</v>
      </c>
      <c r="L70" s="10" t="n">
        <v>2.710945493236042</v>
      </c>
      <c r="M70" s="10" t="n">
        <v>3.973592397378494</v>
      </c>
      <c r="N70" s="10" t="n">
        <v>4.028638401139731</v>
      </c>
      <c r="O70" s="10" t="n">
        <v>4.079294990426991</v>
      </c>
      <c r="P70" s="10" t="n">
        <v>4.125814245795479</v>
      </c>
      <c r="Q70" s="10" t="n">
        <v>4.168436748197953</v>
      </c>
      <c r="R70" s="10" t="n">
        <v>4.207389775110269</v>
      </c>
      <c r="S70" s="10" t="n">
        <v>4.242886155624976</v>
      </c>
      <c r="T70" s="10" t="n">
        <v>4.275126209626782</v>
      </c>
      <c r="U70" s="10" t="n">
        <v>4.304299587381935</v>
      </c>
      <c r="V70" s="10" t="n">
        <v>4.330586788230797</v>
      </c>
      <c r="W70" s="10" t="n">
        <v>4.354159611253589</v>
      </c>
      <c r="X70" s="10" t="n">
        <v>4.375179226321245</v>
      </c>
      <c r="Y70" s="10" t="n">
        <v>4.393796491285586</v>
      </c>
      <c r="Z70" s="10" t="n">
        <v>4.410153976806997</v>
      </c>
      <c r="AA70" s="10" t="n">
        <v>4.424387302471107</v>
      </c>
      <c r="AB70" s="10" t="n">
        <v>4.436625989741009</v>
      </c>
      <c r="AC70" s="10" t="n">
        <v>4.446993985084033</v>
      </c>
      <c r="AD70" s="10" t="n">
        <v>4.455609537218435</v>
      </c>
      <c r="AE70" s="10" t="n">
        <v>4.462585527713792</v>
      </c>
      <c r="AF70" s="10" t="n">
        <v>4.468030136938709</v>
      </c>
      <c r="AG70" s="10" t="n">
        <v>4.472047635488671</v>
      </c>
      <c r="AH70" s="10" t="n">
        <v>4.474738911559822</v>
      </c>
      <c r="AI70" s="10" t="n">
        <v>4.47620182558941</v>
      </c>
      <c r="AJ70" s="10" t="n">
        <v>4.47653155562786</v>
      </c>
      <c r="AK70" s="10" t="n">
        <v>4.475821104131598</v>
      </c>
    </row>
    <row r="71">
      <c r="A71" s="9" t="n">
        <v>-54</v>
      </c>
      <c r="B71" s="7" t="n">
        <v>40395</v>
      </c>
      <c r="C71" s="10" t="n">
        <v>0.9938296132776021</v>
      </c>
      <c r="D71" s="10" t="n">
        <v>1.200582637853152</v>
      </c>
      <c r="E71" s="10" t="n">
        <v>1.409154981410721</v>
      </c>
      <c r="F71" s="10" t="n">
        <v>1.613687952230878</v>
      </c>
      <c r="G71" s="10" t="n">
        <v>1.811067027712118</v>
      </c>
      <c r="H71" s="10" t="n">
        <v>1.999672476149849</v>
      </c>
      <c r="I71" s="10" t="n">
        <v>2.178810918894565</v>
      </c>
      <c r="J71" s="10" t="n">
        <v>2.348318673635704</v>
      </c>
      <c r="K71" s="10" t="n">
        <v>2.508290245903754</v>
      </c>
      <c r="L71" s="10" t="n">
        <v>2.658943208618355</v>
      </c>
      <c r="M71" s="10" t="n">
        <v>3.915571398221148</v>
      </c>
      <c r="N71" s="10" t="n">
        <v>3.970584505830675</v>
      </c>
      <c r="O71" s="10" t="n">
        <v>4.021215328865281</v>
      </c>
      <c r="P71" s="10" t="n">
        <v>4.067713238390803</v>
      </c>
      <c r="Q71" s="10" t="n">
        <v>4.110317307615968</v>
      </c>
      <c r="R71" s="10" t="n">
        <v>4.149254160684648</v>
      </c>
      <c r="S71" s="10" t="n">
        <v>4.184736598602499</v>
      </c>
      <c r="T71" s="10" t="n">
        <v>4.216965440419393</v>
      </c>
      <c r="U71" s="10" t="n">
        <v>4.246131285281726</v>
      </c>
      <c r="V71" s="10" t="n">
        <v>4.272415965319044</v>
      </c>
      <c r="W71" s="10" t="n">
        <v>4.295992753878659</v>
      </c>
      <c r="X71" s="10" t="n">
        <v>4.31702375192841</v>
      </c>
      <c r="Y71" s="10" t="n">
        <v>4.33566010092902</v>
      </c>
      <c r="Z71" s="10" t="n">
        <v>4.3520443703786</v>
      </c>
      <c r="AA71" s="10" t="n">
        <v>4.366312041285247</v>
      </c>
      <c r="AB71" s="10" t="n">
        <v>4.378592378159587</v>
      </c>
      <c r="AC71" s="10" t="n">
        <v>4.389008980281791</v>
      </c>
      <c r="AD71" s="10" t="n">
        <v>4.397679732208894</v>
      </c>
      <c r="AE71" s="10" t="n">
        <v>4.404717165727315</v>
      </c>
      <c r="AF71" s="10" t="n">
        <v>4.410229124100682</v>
      </c>
      <c r="AG71" s="10" t="n">
        <v>4.414319545192497</v>
      </c>
      <c r="AH71" s="10" t="n">
        <v>4.417088984288725</v>
      </c>
      <c r="AI71" s="10" t="n">
        <v>4.418634968620196</v>
      </c>
      <c r="AJ71" s="10" t="n">
        <v>4.419052345142922</v>
      </c>
      <c r="AK71" s="10" t="n">
        <v>4.418433799059425</v>
      </c>
    </row>
    <row r="72">
      <c r="A72" s="9" t="n">
        <v>-53</v>
      </c>
      <c r="B72" s="7" t="n">
        <v>40396</v>
      </c>
      <c r="C72" s="10" t="n">
        <v>0.9791577722267951</v>
      </c>
      <c r="D72" s="10" t="n">
        <v>1.182850179261248</v>
      </c>
      <c r="E72" s="10" t="n">
        <v>1.389744262706636</v>
      </c>
      <c r="F72" s="10" t="n">
        <v>1.593544983094436</v>
      </c>
      <c r="G72" s="10" t="n">
        <v>1.790845738688416</v>
      </c>
      <c r="H72" s="10" t="n">
        <v>1.979826125551189</v>
      </c>
      <c r="I72" s="10" t="n">
        <v>2.159647973027862</v>
      </c>
      <c r="J72" s="10" t="n">
        <v>2.330035514762627</v>
      </c>
      <c r="K72" s="10" t="n">
        <v>2.490994081225165</v>
      </c>
      <c r="L72" s="10" t="n">
        <v>2.642676329154606</v>
      </c>
      <c r="M72" s="10" t="n">
        <v>3.910224235468701</v>
      </c>
      <c r="N72" s="10" t="n">
        <v>3.966099515644363</v>
      </c>
      <c r="O72" s="10" t="n">
        <v>4.017615441339984</v>
      </c>
      <c r="P72" s="10" t="n">
        <v>4.065019077508222</v>
      </c>
      <c r="Q72" s="10" t="n">
        <v>4.108546292677061</v>
      </c>
      <c r="R72" s="10" t="n">
        <v>4.148419842440568</v>
      </c>
      <c r="S72" s="10" t="n">
        <v>4.184848290513217</v>
      </c>
      <c r="T72" s="10" t="n">
        <v>4.218027931855344</v>
      </c>
      <c r="U72" s="10" t="n">
        <v>4.248144596901692</v>
      </c>
      <c r="V72" s="10" t="n">
        <v>4.275375138457837</v>
      </c>
      <c r="W72" s="10" t="n">
        <v>4.299887663902901</v>
      </c>
      <c r="X72" s="10" t="n">
        <v>4.321839074046304</v>
      </c>
      <c r="Y72" s="10" t="n">
        <v>4.341375479839045</v>
      </c>
      <c r="Z72" s="10" t="n">
        <v>4.358634873798332</v>
      </c>
      <c r="AA72" s="10" t="n">
        <v>4.373748659576266</v>
      </c>
      <c r="AB72" s="10" t="n">
        <v>4.386842464640923</v>
      </c>
      <c r="AC72" s="10" t="n">
        <v>4.398036688836074</v>
      </c>
      <c r="AD72" s="10" t="n">
        <v>4.407446610579158</v>
      </c>
      <c r="AE72" s="10" t="n">
        <v>4.415182772923935</v>
      </c>
      <c r="AF72" s="10" t="n">
        <v>4.421351585632976</v>
      </c>
      <c r="AG72" s="10" t="n">
        <v>4.426056051870179</v>
      </c>
      <c r="AH72" s="10" t="n">
        <v>4.429396235529285</v>
      </c>
      <c r="AI72" s="10" t="n">
        <v>4.431469569378684</v>
      </c>
      <c r="AJ72" s="10" t="n">
        <v>4.432371163557679</v>
      </c>
      <c r="AK72" s="10" t="n">
        <v>4.432194285322634</v>
      </c>
    </row>
    <row r="73">
      <c r="A73" s="9" t="n">
        <v>-52</v>
      </c>
      <c r="B73" s="7" t="n">
        <v>40399</v>
      </c>
      <c r="C73" s="10" t="n">
        <v>0.9910092219325521</v>
      </c>
      <c r="D73" s="10" t="n">
        <v>1.196185418519129</v>
      </c>
      <c r="E73" s="10" t="n">
        <v>1.404052393220964</v>
      </c>
      <c r="F73" s="10" t="n">
        <v>1.608553174485735</v>
      </c>
      <c r="G73" s="10" t="n">
        <v>1.806390299804927</v>
      </c>
      <c r="H73" s="10" t="n">
        <v>1.99580484098005</v>
      </c>
      <c r="I73" s="10" t="n">
        <v>2.175996005556351</v>
      </c>
      <c r="J73" s="10" t="n">
        <v>2.346708196045776</v>
      </c>
      <c r="K73" s="10" t="n">
        <v>2.507956663030245</v>
      </c>
      <c r="L73" s="10" t="n">
        <v>2.659898664629222</v>
      </c>
      <c r="M73" s="10" t="n">
        <v>3.929926083113211</v>
      </c>
      <c r="N73" s="10" t="n">
        <v>3.986084374941051</v>
      </c>
      <c r="O73" s="10" t="n">
        <v>4.037904925609896</v>
      </c>
      <c r="P73" s="10" t="n">
        <v>4.085634004559109</v>
      </c>
      <c r="Q73" s="10" t="n">
        <v>4.129506409534538</v>
      </c>
      <c r="R73" s="10" t="n">
        <v>4.169743540746272</v>
      </c>
      <c r="S73" s="10" t="n">
        <v>4.206552358632434</v>
      </c>
      <c r="T73" s="10" t="n">
        <v>4.24012734771954</v>
      </c>
      <c r="U73" s="10" t="n">
        <v>4.270652351315372</v>
      </c>
      <c r="V73" s="10" t="n">
        <v>4.2983020826852</v>
      </c>
      <c r="W73" s="10" t="n">
        <v>4.323242299652402</v>
      </c>
      <c r="X73" s="10" t="n">
        <v>4.345627140552335</v>
      </c>
      <c r="Y73" s="10" t="n">
        <v>4.365599616567411</v>
      </c>
      <c r="Z73" s="10" t="n">
        <v>4.383294640226461</v>
      </c>
      <c r="AA73" s="10" t="n">
        <v>4.398840667643997</v>
      </c>
      <c r="AB73" s="10" t="n">
        <v>4.4123604973517</v>
      </c>
      <c r="AC73" s="10" t="n">
        <v>4.423971850498567</v>
      </c>
      <c r="AD73" s="10" t="n">
        <v>4.433787628991801</v>
      </c>
      <c r="AE73" s="10" t="n">
        <v>4.441916335303206</v>
      </c>
      <c r="AF73" s="10" t="n">
        <v>4.448462644936273</v>
      </c>
      <c r="AG73" s="10" t="n">
        <v>4.453528117845234</v>
      </c>
      <c r="AH73" s="10" t="n">
        <v>4.45721164023841</v>
      </c>
      <c r="AI73" s="10" t="n">
        <v>4.459609705116596</v>
      </c>
      <c r="AJ73" s="10" t="n">
        <v>4.460816699907686</v>
      </c>
      <c r="AK73" s="10" t="n">
        <v>4.460925381828116</v>
      </c>
    </row>
    <row r="74">
      <c r="A74" s="9" t="n">
        <v>-51</v>
      </c>
      <c r="B74" s="7" t="n">
        <v>40400</v>
      </c>
      <c r="C74" s="10" t="n">
        <v>0.9786761933072785</v>
      </c>
      <c r="D74" s="10" t="n">
        <v>1.183140064567018</v>
      </c>
      <c r="E74" s="10" t="n">
        <v>1.391169921065478</v>
      </c>
      <c r="F74" s="10" t="n">
        <v>1.596520394730291</v>
      </c>
      <c r="G74" s="10" t="n">
        <v>1.795778275319371</v>
      </c>
      <c r="H74" s="10" t="n">
        <v>1.987094101948885</v>
      </c>
      <c r="I74" s="10" t="n">
        <v>2.169576015153239</v>
      </c>
      <c r="J74" s="10" t="n">
        <v>2.342866818175779</v>
      </c>
      <c r="K74" s="10" t="n">
        <v>2.506874695944482</v>
      </c>
      <c r="L74" s="10" t="n">
        <v>2.661650966205864</v>
      </c>
      <c r="M74" s="10" t="n">
        <v>3.954092587740288</v>
      </c>
      <c r="N74" s="10" t="n">
        <v>4.010817415270472</v>
      </c>
      <c r="O74" s="10" t="n">
        <v>4.063116968383392</v>
      </c>
      <c r="P74" s="10" t="n">
        <v>4.111254156661843</v>
      </c>
      <c r="Q74" s="10" t="n">
        <v>4.155479831636669</v>
      </c>
      <c r="R74" s="10" t="n">
        <v>4.196029969910436</v>
      </c>
      <c r="S74" s="10" t="n">
        <v>4.233124089929674</v>
      </c>
      <c r="T74" s="10" t="n">
        <v>4.266967471128868</v>
      </c>
      <c r="U74" s="10" t="n">
        <v>4.29775324790283</v>
      </c>
      <c r="V74" s="10" t="n">
        <v>4.325664134309383</v>
      </c>
      <c r="W74" s="10" t="n">
        <v>4.350872665648035</v>
      </c>
      <c r="X74" s="10" t="n">
        <v>4.37353835741842</v>
      </c>
      <c r="Y74" s="10" t="n">
        <v>4.393808308551798</v>
      </c>
      <c r="Z74" s="10" t="n">
        <v>4.411820508923059</v>
      </c>
      <c r="AA74" s="10" t="n">
        <v>4.427705644036437</v>
      </c>
      <c r="AB74" s="10" t="n">
        <v>4.441587997519771</v>
      </c>
      <c r="AC74" s="10" t="n">
        <v>4.453586110336417</v>
      </c>
      <c r="AD74" s="10" t="n">
        <v>4.463813086858167</v>
      </c>
      <c r="AE74" s="10" t="n">
        <v>4.472377075261477</v>
      </c>
      <c r="AF74" s="10" t="n">
        <v>4.479381909861146</v>
      </c>
      <c r="AG74" s="10" t="n">
        <v>4.484927899158913</v>
      </c>
      <c r="AH74" s="10" t="n">
        <v>4.489112318674956</v>
      </c>
      <c r="AI74" s="10" t="n">
        <v>4.492029728993038</v>
      </c>
      <c r="AJ74" s="10" t="n">
        <v>4.493772303859528</v>
      </c>
      <c r="AK74" s="10" t="n">
        <v>4.494430375825011</v>
      </c>
    </row>
    <row r="75">
      <c r="A75" s="9" t="n">
        <v>-50</v>
      </c>
      <c r="B75" s="7" t="n">
        <v>40401</v>
      </c>
      <c r="C75" s="10" t="n">
        <v>0.9103443483314989</v>
      </c>
      <c r="D75" s="10" t="n">
        <v>1.097543218431144</v>
      </c>
      <c r="E75" s="10" t="n">
        <v>1.291764611590037</v>
      </c>
      <c r="F75" s="10" t="n">
        <v>1.486433712940532</v>
      </c>
      <c r="G75" s="10" t="n">
        <v>1.677733710814204</v>
      </c>
      <c r="H75" s="10" t="n">
        <v>1.863422927098778</v>
      </c>
      <c r="I75" s="10" t="n">
        <v>2.042244978580892</v>
      </c>
      <c r="J75" s="10" t="n">
        <v>2.213514605134645</v>
      </c>
      <c r="K75" s="10" t="n">
        <v>2.376851414704669</v>
      </c>
      <c r="L75" s="10" t="n">
        <v>2.532058112331121</v>
      </c>
      <c r="M75" s="10" t="n">
        <v>3.875173616100706</v>
      </c>
      <c r="N75" s="10" t="n">
        <v>3.93717441988045</v>
      </c>
      <c r="O75" s="10" t="n">
        <v>3.99475892802827</v>
      </c>
      <c r="P75" s="10" t="n">
        <v>4.048166102605905</v>
      </c>
      <c r="Q75" s="10" t="n">
        <v>4.097625322266499</v>
      </c>
      <c r="R75" s="10" t="n">
        <v>4.143353629830064</v>
      </c>
      <c r="S75" s="10" t="n">
        <v>4.185554174299199</v>
      </c>
      <c r="T75" s="10" t="n">
        <v>4.224418075167288</v>
      </c>
      <c r="U75" s="10" t="n">
        <v>4.260126191463975</v>
      </c>
      <c r="V75" s="10" t="n">
        <v>4.292850574354492</v>
      </c>
      <c r="W75" s="10" t="n">
        <v>4.322754204232387</v>
      </c>
      <c r="X75" s="10" t="n">
        <v>4.349987087814424</v>
      </c>
      <c r="Y75" s="10" t="n">
        <v>4.374686834851952</v>
      </c>
      <c r="Z75" s="10" t="n">
        <v>4.396982987524266</v>
      </c>
      <c r="AA75" s="10" t="n">
        <v>4.416999074645558</v>
      </c>
      <c r="AB75" s="10" t="n">
        <v>4.434853364453137</v>
      </c>
      <c r="AC75" s="10" t="n">
        <v>4.450659513453191</v>
      </c>
      <c r="AD75" s="10" t="n">
        <v>4.464527181021043</v>
      </c>
      <c r="AE75" s="10" t="n">
        <v>4.476562513625692</v>
      </c>
      <c r="AF75" s="10" t="n">
        <v>4.486868577967528</v>
      </c>
      <c r="AG75" s="10" t="n">
        <v>4.495545837009245</v>
      </c>
      <c r="AH75" s="10" t="n">
        <v>4.502692478444797</v>
      </c>
      <c r="AI75" s="10" t="n">
        <v>4.508404652621662</v>
      </c>
      <c r="AJ75" s="10" t="n">
        <v>4.512776717635139</v>
      </c>
      <c r="AK75" s="10" t="n">
        <v>4.515901639028569</v>
      </c>
    </row>
    <row r="76">
      <c r="A76" s="9" t="n">
        <v>-49</v>
      </c>
      <c r="B76" s="7" t="n">
        <v>40402</v>
      </c>
      <c r="C76" s="10" t="n">
        <v>0.8934967458578501</v>
      </c>
      <c r="D76" s="10" t="n">
        <v>1.074029442341505</v>
      </c>
      <c r="E76" s="10" t="n">
        <v>1.262722391629529</v>
      </c>
      <c r="F76" s="10" t="n">
        <v>1.453361632181072</v>
      </c>
      <c r="G76" s="10" t="n">
        <v>1.64210152126739</v>
      </c>
      <c r="H76" s="10" t="n">
        <v>1.826507755008086</v>
      </c>
      <c r="I76" s="10" t="n">
        <v>2.005071388650144</v>
      </c>
      <c r="J76" s="10" t="n">
        <v>2.176851657519693</v>
      </c>
      <c r="K76" s="10" t="n">
        <v>2.341232259227861</v>
      </c>
      <c r="L76" s="10" t="n">
        <v>2.49780628155373</v>
      </c>
      <c r="M76" s="10" t="n">
        <v>3.841241783162748</v>
      </c>
      <c r="N76" s="10" t="n">
        <v>3.901088105543925</v>
      </c>
      <c r="O76" s="10" t="n">
        <v>3.956317825521021</v>
      </c>
      <c r="P76" s="10" t="n">
        <v>4.007207561847525</v>
      </c>
      <c r="Q76" s="10" t="n">
        <v>4.054024653068408</v>
      </c>
      <c r="R76" s="10" t="n">
        <v>4.097021945356968</v>
      </c>
      <c r="S76" s="10" t="n">
        <v>4.136434680594112</v>
      </c>
      <c r="T76" s="10" t="n">
        <v>4.17248279840198</v>
      </c>
      <c r="U76" s="10" t="n">
        <v>4.205373186476104</v>
      </c>
      <c r="V76" s="10" t="n">
        <v>4.23530152965428</v>
      </c>
      <c r="W76" s="10" t="n">
        <v>4.262452181887142</v>
      </c>
      <c r="X76" s="10" t="n">
        <v>4.286993959104277</v>
      </c>
      <c r="Y76" s="10" t="n">
        <v>4.309080698303128</v>
      </c>
      <c r="Z76" s="10" t="n">
        <v>4.32885535783057</v>
      </c>
      <c r="AA76" s="10" t="n">
        <v>4.34645220262963</v>
      </c>
      <c r="AB76" s="10" t="n">
        <v>4.361997878481112</v>
      </c>
      <c r="AC76" s="10" t="n">
        <v>4.375612240426087</v>
      </c>
      <c r="AD76" s="10" t="n">
        <v>4.387408873161283</v>
      </c>
      <c r="AE76" s="10" t="n">
        <v>4.397495704738145</v>
      </c>
      <c r="AF76" s="10" t="n">
        <v>4.405975788443384</v>
      </c>
      <c r="AG76" s="10" t="n">
        <v>4.412948344643938</v>
      </c>
      <c r="AH76" s="10" t="n">
        <v>4.418509352781665</v>
      </c>
      <c r="AI76" s="10" t="n">
        <v>4.422751892107311</v>
      </c>
      <c r="AJ76" s="10" t="n">
        <v>4.425766514778467</v>
      </c>
      <c r="AK76" s="10" t="n">
        <v>4.427641949426747</v>
      </c>
    </row>
    <row r="77">
      <c r="A77" s="9" t="n">
        <v>-48</v>
      </c>
      <c r="B77" s="7" t="n">
        <v>40403</v>
      </c>
      <c r="C77" s="10" t="n">
        <v>0.9107433182941496</v>
      </c>
      <c r="D77" s="10" t="n">
        <v>1.093151639774884</v>
      </c>
      <c r="E77" s="10" t="n">
        <v>1.282814663193321</v>
      </c>
      <c r="F77" s="10" t="n">
        <v>1.473742280547778</v>
      </c>
      <c r="G77" s="10" t="n">
        <v>1.662229604035264</v>
      </c>
      <c r="H77" s="10" t="n">
        <v>1.845952500021115</v>
      </c>
      <c r="I77" s="10" t="n">
        <v>2.02350021260085</v>
      </c>
      <c r="J77" s="10" t="n">
        <v>2.194021872556747</v>
      </c>
      <c r="K77" s="10" t="n">
        <v>2.356990053613884</v>
      </c>
      <c r="L77" s="10" t="n">
        <v>2.512075326593017</v>
      </c>
      <c r="M77" s="10" t="n">
        <v>3.844000409858943</v>
      </c>
      <c r="N77" s="10" t="n">
        <v>3.903648242077371</v>
      </c>
      <c r="O77" s="10" t="n">
        <v>3.958716173165095</v>
      </c>
      <c r="P77" s="10" t="n">
        <v>4.009466261765854</v>
      </c>
      <c r="Q77" s="10" t="n">
        <v>4.056151943259822</v>
      </c>
      <c r="R77" s="10" t="n">
        <v>4.099014446113827</v>
      </c>
      <c r="S77" s="10" t="n">
        <v>4.138280852076929</v>
      </c>
      <c r="T77" s="10" t="n">
        <v>4.174165991175173</v>
      </c>
      <c r="U77" s="10" t="n">
        <v>4.206874243435568</v>
      </c>
      <c r="V77" s="10" t="n">
        <v>4.236601014487078</v>
      </c>
      <c r="W77" s="10" t="n">
        <v>4.263532296102888</v>
      </c>
      <c r="X77" s="10" t="n">
        <v>4.287840409953477</v>
      </c>
      <c r="Y77" s="10" t="n">
        <v>4.309684237376439</v>
      </c>
      <c r="Z77" s="10" t="n">
        <v>4.329212263002459</v>
      </c>
      <c r="AA77" s="10" t="n">
        <v>4.346564359421873</v>
      </c>
      <c r="AB77" s="10" t="n">
        <v>4.361872842149129</v>
      </c>
      <c r="AC77" s="10" t="n">
        <v>4.375263046901003</v>
      </c>
      <c r="AD77" s="10" t="n">
        <v>4.386853079172046</v>
      </c>
      <c r="AE77" s="10" t="n">
        <v>4.39675425605722</v>
      </c>
      <c r="AF77" s="10" t="n">
        <v>4.405072015157807</v>
      </c>
      <c r="AG77" s="10" t="n">
        <v>4.411907064671482</v>
      </c>
      <c r="AH77" s="10" t="n">
        <v>4.417356063638512</v>
      </c>
      <c r="AI77" s="10" t="n">
        <v>4.421512046549915</v>
      </c>
      <c r="AJ77" s="10" t="n">
        <v>4.424464883737254</v>
      </c>
      <c r="AK77" s="10" t="n">
        <v>4.426302104932267</v>
      </c>
    </row>
    <row r="78">
      <c r="A78" s="9" t="n">
        <v>-47</v>
      </c>
      <c r="B78" s="7" t="n">
        <v>40406</v>
      </c>
      <c r="C78" s="10" t="n">
        <v>0.8581720265522019</v>
      </c>
      <c r="D78" s="10" t="n">
        <v>1.035118134444851</v>
      </c>
      <c r="E78" s="10" t="n">
        <v>1.222063311982388</v>
      </c>
      <c r="F78" s="10" t="n">
        <v>1.411996804766675</v>
      </c>
      <c r="G78" s="10" t="n">
        <v>1.600523247410804</v>
      </c>
      <c r="H78" s="10" t="n">
        <v>1.784833243653111</v>
      </c>
      <c r="I78" s="10" t="n">
        <v>1.963155417676205</v>
      </c>
      <c r="J78" s="10" t="n">
        <v>2.134362475821727</v>
      </c>
      <c r="K78" s="10" t="n">
        <v>2.297714877511773</v>
      </c>
      <c r="L78" s="10" t="n">
        <v>2.45272975203645</v>
      </c>
      <c r="M78" s="10" t="n">
        <v>3.75360326580532</v>
      </c>
      <c r="N78" s="10" t="n">
        <v>3.810501015081737</v>
      </c>
      <c r="O78" s="10" t="n">
        <v>3.862916382192773</v>
      </c>
      <c r="P78" s="10" t="n">
        <v>3.911120122608355</v>
      </c>
      <c r="Q78" s="10" t="n">
        <v>3.955372008307946</v>
      </c>
      <c r="R78" s="10" t="n">
        <v>3.995917998566455</v>
      </c>
      <c r="S78" s="10" t="n">
        <v>4.032988882034558</v>
      </c>
      <c r="T78" s="10" t="n">
        <v>4.066802352090301</v>
      </c>
      <c r="U78" s="10" t="n">
        <v>4.097564932614484</v>
      </c>
      <c r="V78" s="10" t="n">
        <v>4.125473554074532</v>
      </c>
      <c r="W78" s="10" t="n">
        <v>4.150715039992779</v>
      </c>
      <c r="X78" s="10" t="n">
        <v>4.173461495963679</v>
      </c>
      <c r="Y78" s="10" t="n">
        <v>4.193870483647427</v>
      </c>
      <c r="Z78" s="10" t="n">
        <v>4.212087993151997</v>
      </c>
      <c r="AA78" s="10" t="n">
        <v>4.228250293658697</v>
      </c>
      <c r="AB78" s="10" t="n">
        <v>4.242485122054065</v>
      </c>
      <c r="AC78" s="10" t="n">
        <v>4.254912383229646</v>
      </c>
      <c r="AD78" s="10" t="n">
        <v>4.265644034823996</v>
      </c>
      <c r="AE78" s="10" t="n">
        <v>4.274784629209202</v>
      </c>
      <c r="AF78" s="10" t="n">
        <v>4.282432384531075</v>
      </c>
      <c r="AG78" s="10" t="n">
        <v>4.288680669699453</v>
      </c>
      <c r="AH78" s="10" t="n">
        <v>4.2936187928858</v>
      </c>
      <c r="AI78" s="10" t="n">
        <v>4.297332428742982</v>
      </c>
      <c r="AJ78" s="10" t="n">
        <v>4.299904121135238</v>
      </c>
      <c r="AK78" s="10" t="n">
        <v>4.301414325118712</v>
      </c>
    </row>
    <row r="79">
      <c r="A79" s="9" t="n">
        <v>-46</v>
      </c>
      <c r="B79" s="7" t="n">
        <v>40407</v>
      </c>
      <c r="C79" s="10" t="n">
        <v>0.8747815285363691</v>
      </c>
      <c r="D79" s="10" t="n">
        <v>1.05170593097033</v>
      </c>
      <c r="E79" s="10" t="n">
        <v>1.23845085906662</v>
      </c>
      <c r="F79" s="10" t="n">
        <v>1.428193679471617</v>
      </c>
      <c r="G79" s="10" t="n">
        <v>1.616595488195666</v>
      </c>
      <c r="H79" s="10" t="n">
        <v>1.800864563903058</v>
      </c>
      <c r="I79" s="10" t="n">
        <v>1.979233092252447</v>
      </c>
      <c r="J79" s="10" t="n">
        <v>2.150566482709525</v>
      </c>
      <c r="K79" s="10" t="n">
        <v>2.314103641279479</v>
      </c>
      <c r="L79" s="10" t="n">
        <v>2.469329715989602</v>
      </c>
      <c r="M79" s="10" t="n">
        <v>3.76660881862551</v>
      </c>
      <c r="N79" s="10" t="n">
        <v>3.822754594580148</v>
      </c>
      <c r="O79" s="10" t="n">
        <v>3.874409232360858</v>
      </c>
      <c r="P79" s="10" t="n">
        <v>3.921855834772669</v>
      </c>
      <c r="Q79" s="10" t="n">
        <v>3.965365817387265</v>
      </c>
      <c r="R79" s="10" t="n">
        <v>4.005195371081006</v>
      </c>
      <c r="S79" s="10" t="n">
        <v>4.041583745545053</v>
      </c>
      <c r="T79" s="10" t="n">
        <v>4.074755560555985</v>
      </c>
      <c r="U79" s="10" t="n">
        <v>4.104922957433821</v>
      </c>
      <c r="V79" s="10" t="n">
        <v>4.132287359789109</v>
      </c>
      <c r="W79" s="10" t="n">
        <v>4.157038965374291</v>
      </c>
      <c r="X79" s="10" t="n">
        <v>4.179351880757872</v>
      </c>
      <c r="Y79" s="10" t="n">
        <v>4.199384395357685</v>
      </c>
      <c r="Z79" s="10" t="n">
        <v>4.21728221329019</v>
      </c>
      <c r="AA79" s="10" t="n">
        <v>4.233180459633438</v>
      </c>
      <c r="AB79" s="10" t="n">
        <v>4.247204974261027</v>
      </c>
      <c r="AC79" s="10" t="n">
        <v>4.259473138525588</v>
      </c>
      <c r="AD79" s="10" t="n">
        <v>4.27009396392867</v>
      </c>
      <c r="AE79" s="10" t="n">
        <v>4.279168733392258</v>
      </c>
      <c r="AF79" s="10" t="n">
        <v>4.28679216757389</v>
      </c>
      <c r="AG79" s="10" t="n">
        <v>4.293054105300357</v>
      </c>
      <c r="AH79" s="10" t="n">
        <v>4.298040349810691</v>
      </c>
      <c r="AI79" s="10" t="n">
        <v>4.301833094070203</v>
      </c>
      <c r="AJ79" s="10" t="n">
        <v>4.304511444621561</v>
      </c>
      <c r="AK79" s="10" t="n">
        <v>4.306152576979794</v>
      </c>
    </row>
    <row r="80">
      <c r="A80" s="9" t="n">
        <v>-45</v>
      </c>
      <c r="B80" s="7" t="n">
        <v>40408</v>
      </c>
      <c r="C80" s="10" t="n">
        <v>0.8554036998022317</v>
      </c>
      <c r="D80" s="10" t="n">
        <v>1.030944401087286</v>
      </c>
      <c r="E80" s="10" t="n">
        <v>1.216181692683245</v>
      </c>
      <c r="F80" s="10" t="n">
        <v>1.404341978416262</v>
      </c>
      <c r="G80" s="10" t="n">
        <v>1.59111943877528</v>
      </c>
      <c r="H80" s="10" t="n">
        <v>1.773763550283864</v>
      </c>
      <c r="I80" s="10" t="n">
        <v>1.950550497584388</v>
      </c>
      <c r="J80" s="10" t="n">
        <v>2.120390904781494</v>
      </c>
      <c r="K80" s="10" t="n">
        <v>2.282566473826869</v>
      </c>
      <c r="L80" s="10" t="n">
        <v>2.436601053721455</v>
      </c>
      <c r="M80" s="10" t="n">
        <v>3.739446826611025</v>
      </c>
      <c r="N80" s="10" t="n">
        <v>3.797341333878014</v>
      </c>
      <c r="O80" s="10" t="n">
        <v>3.850835883115668</v>
      </c>
      <c r="P80" s="10" t="n">
        <v>3.9001919757571</v>
      </c>
      <c r="Q80" s="10" t="n">
        <v>3.94565982621251</v>
      </c>
      <c r="R80" s="10" t="n">
        <v>3.987476099071952</v>
      </c>
      <c r="S80" s="10" t="n">
        <v>4.025862978705143</v>
      </c>
      <c r="T80" s="10" t="n">
        <v>4.061030176298264</v>
      </c>
      <c r="U80" s="10" t="n">
        <v>4.093176764145654</v>
      </c>
      <c r="V80" s="10" t="n">
        <v>4.122492674887814</v>
      </c>
      <c r="W80" s="10" t="n">
        <v>4.149158153614776</v>
      </c>
      <c r="X80" s="10" t="n">
        <v>4.173339332323653</v>
      </c>
      <c r="Y80" s="10" t="n">
        <v>4.195188469704877</v>
      </c>
      <c r="Z80" s="10" t="n">
        <v>4.21484684342692</v>
      </c>
      <c r="AA80" s="10" t="n">
        <v>4.23244651762283</v>
      </c>
      <c r="AB80" s="10" t="n">
        <v>4.248111468994368</v>
      </c>
      <c r="AC80" s="10" t="n">
        <v>4.261958241694985</v>
      </c>
      <c r="AD80" s="10" t="n">
        <v>4.274095835484079</v>
      </c>
      <c r="AE80" s="10" t="n">
        <v>4.284626228152334</v>
      </c>
      <c r="AF80" s="10" t="n">
        <v>4.293645385604432</v>
      </c>
      <c r="AG80" s="10" t="n">
        <v>4.301244633432967</v>
      </c>
      <c r="AH80" s="10" t="n">
        <v>4.30751139025605</v>
      </c>
      <c r="AI80" s="10" t="n">
        <v>4.312529578263422</v>
      </c>
      <c r="AJ80" s="10" t="n">
        <v>4.316380113833524</v>
      </c>
      <c r="AK80" s="10" t="n">
        <v>4.319141927031964</v>
      </c>
    </row>
    <row r="81">
      <c r="A81" s="9" t="n">
        <v>-44</v>
      </c>
      <c r="B81" s="7" t="n">
        <v>40409</v>
      </c>
      <c r="C81" s="10" t="n">
        <v>0.8296746682478738</v>
      </c>
      <c r="D81" s="10" t="n">
        <v>1.002329304591296</v>
      </c>
      <c r="E81" s="10" t="n">
        <v>1.186491288630122</v>
      </c>
      <c r="F81" s="10" t="n">
        <v>1.374694230737776</v>
      </c>
      <c r="G81" s="10" t="n">
        <v>1.56221471183969</v>
      </c>
      <c r="H81" s="10" t="n">
        <v>1.746053691384743</v>
      </c>
      <c r="I81" s="10" t="n">
        <v>1.924323505104167</v>
      </c>
      <c r="J81" s="10" t="n">
        <v>2.095806567176476</v>
      </c>
      <c r="K81" s="10" t="n">
        <v>2.259668505360731</v>
      </c>
      <c r="L81" s="10" t="n">
        <v>2.415329766448628</v>
      </c>
      <c r="M81" s="10" t="n">
        <v>3.719803171295719</v>
      </c>
      <c r="N81" s="10" t="n">
        <v>3.776789120063174</v>
      </c>
      <c r="O81" s="10" t="n">
        <v>3.829364204468554</v>
      </c>
      <c r="P81" s="10" t="n">
        <v>3.877811833289094</v>
      </c>
      <c r="Q81" s="10" t="n">
        <v>3.922401952788981</v>
      </c>
      <c r="R81" s="10" t="n">
        <v>3.963387492285342</v>
      </c>
      <c r="S81" s="10" t="n">
        <v>4.001002799958718</v>
      </c>
      <c r="T81" s="10" t="n">
        <v>4.035466203584048</v>
      </c>
      <c r="U81" s="10" t="n">
        <v>4.066982366472677</v>
      </c>
      <c r="V81" s="10" t="n">
        <v>4.09574421919304</v>
      </c>
      <c r="W81" s="10" t="n">
        <v>4.121932853112551</v>
      </c>
      <c r="X81" s="10" t="n">
        <v>4.145713712452128</v>
      </c>
      <c r="Y81" s="10" t="n">
        <v>4.167237208767889</v>
      </c>
      <c r="Z81" s="10" t="n">
        <v>4.186641865970039</v>
      </c>
      <c r="AA81" s="10" t="n">
        <v>4.204056230735209</v>
      </c>
      <c r="AB81" s="10" t="n">
        <v>4.21960009287288</v>
      </c>
      <c r="AC81" s="10" t="n">
        <v>4.233385304059464</v>
      </c>
      <c r="AD81" s="10" t="n">
        <v>4.245516000567246</v>
      </c>
      <c r="AE81" s="10" t="n">
        <v>4.25608924450932</v>
      </c>
      <c r="AF81" s="10" t="n">
        <v>4.265196105494459</v>
      </c>
      <c r="AG81" s="10" t="n">
        <v>4.272923214667038</v>
      </c>
      <c r="AH81" s="10" t="n">
        <v>4.279353534401683</v>
      </c>
      <c r="AI81" s="10" t="n">
        <v>4.284566744802782</v>
      </c>
      <c r="AJ81" s="10" t="n">
        <v>4.288639749067364</v>
      </c>
      <c r="AK81" s="10" t="n">
        <v>4.291647854046817</v>
      </c>
    </row>
    <row r="82">
      <c r="A82" s="9" t="n">
        <v>-43</v>
      </c>
      <c r="B82" s="7" t="n">
        <v>40410</v>
      </c>
      <c r="C82" s="10" t="n">
        <v>0.8020533051927133</v>
      </c>
      <c r="D82" s="10" t="n">
        <v>0.9681430487047674</v>
      </c>
      <c r="E82" s="10" t="n">
        <v>1.148052288656692</v>
      </c>
      <c r="F82" s="10" t="n">
        <v>1.33376982256994</v>
      </c>
      <c r="G82" s="10" t="n">
        <v>1.520063537543692</v>
      </c>
      <c r="H82" s="10" t="n">
        <v>1.703547433596518</v>
      </c>
      <c r="I82" s="10" t="n">
        <v>1.882054902913661</v>
      </c>
      <c r="J82" s="10" t="n">
        <v>2.054178552497083</v>
      </c>
      <c r="K82" s="10" t="n">
        <v>2.218940999157799</v>
      </c>
      <c r="L82" s="10" t="n">
        <v>2.375659504822208</v>
      </c>
      <c r="M82" s="10" t="n">
        <v>3.692490240845955</v>
      </c>
      <c r="N82" s="10" t="n">
        <v>3.75016765628607</v>
      </c>
      <c r="O82" s="10" t="n">
        <v>3.803427151196156</v>
      </c>
      <c r="P82" s="10" t="n">
        <v>3.852558157142907</v>
      </c>
      <c r="Q82" s="10" t="n">
        <v>3.897836008750188</v>
      </c>
      <c r="R82" s="10" t="n">
        <v>3.939517714198578</v>
      </c>
      <c r="S82" s="10" t="n">
        <v>3.977840189914716</v>
      </c>
      <c r="T82" s="10" t="n">
        <v>4.013023039998029</v>
      </c>
      <c r="U82" s="10" t="n">
        <v>4.0452711021512</v>
      </c>
      <c r="V82" s="10" t="n">
        <v>4.074776533854285</v>
      </c>
      <c r="W82" s="10" t="n">
        <v>4.101718768118726</v>
      </c>
      <c r="X82" s="10" t="n">
        <v>4.126260821224146</v>
      </c>
      <c r="Y82" s="10" t="n">
        <v>4.148550159557263</v>
      </c>
      <c r="Z82" s="10" t="n">
        <v>4.16872212177218</v>
      </c>
      <c r="AA82" s="10" t="n">
        <v>4.186901911649382</v>
      </c>
      <c r="AB82" s="10" t="n">
        <v>4.203205838475234</v>
      </c>
      <c r="AC82" s="10" t="n">
        <v>4.217742221024173</v>
      </c>
      <c r="AD82" s="10" t="n">
        <v>4.230611850069233</v>
      </c>
      <c r="AE82" s="10" t="n">
        <v>4.24190869522129</v>
      </c>
      <c r="AF82" s="10" t="n">
        <v>4.251721012088215</v>
      </c>
      <c r="AG82" s="10" t="n">
        <v>4.260132983926678</v>
      </c>
      <c r="AH82" s="10" t="n">
        <v>4.267225478711677</v>
      </c>
      <c r="AI82" s="10" t="n">
        <v>4.273076398907152</v>
      </c>
      <c r="AJ82" s="10" t="n">
        <v>4.277761179806401</v>
      </c>
      <c r="AK82" s="10" t="n">
        <v>4.281354031006879</v>
      </c>
    </row>
    <row r="83">
      <c r="A83" s="9" t="n">
        <v>-42</v>
      </c>
      <c r="B83" s="7" t="n">
        <v>40413</v>
      </c>
      <c r="C83" s="10" t="n">
        <v>0.7984785821200215</v>
      </c>
      <c r="D83" s="10" t="n">
        <v>0.9642824462663077</v>
      </c>
      <c r="E83" s="10" t="n">
        <v>1.144397937891475</v>
      </c>
      <c r="F83" s="10" t="n">
        <v>1.33042279438518</v>
      </c>
      <c r="G83" s="10" t="n">
        <v>1.516975215701433</v>
      </c>
      <c r="H83" s="10" t="n">
        <v>1.700622902476726</v>
      </c>
      <c r="I83" s="10" t="n">
        <v>1.879197984367858</v>
      </c>
      <c r="J83" s="10" t="n">
        <v>2.051306384176075</v>
      </c>
      <c r="K83" s="10" t="n">
        <v>2.215987689201377</v>
      </c>
      <c r="L83" s="10" t="n">
        <v>2.37257683505653</v>
      </c>
      <c r="M83" s="10" t="n">
        <v>3.686527391349558</v>
      </c>
      <c r="N83" s="10" t="n">
        <v>3.743951391044501</v>
      </c>
      <c r="O83" s="10" t="n">
        <v>3.796961311085993</v>
      </c>
      <c r="P83" s="10" t="n">
        <v>3.8458495881409</v>
      </c>
      <c r="Q83" s="10" t="n">
        <v>3.890894649661939</v>
      </c>
      <c r="R83" s="10" t="n">
        <v>3.932356251062313</v>
      </c>
      <c r="S83" s="10" t="n">
        <v>3.9704735241448</v>
      </c>
      <c r="T83" s="10" t="n">
        <v>4.00546782825162</v>
      </c>
      <c r="U83" s="10" t="n">
        <v>4.037545363861573</v>
      </c>
      <c r="V83" s="10" t="n">
        <v>4.066899313234718</v>
      </c>
      <c r="W83" s="10" t="n">
        <v>4.093709779233301</v>
      </c>
      <c r="X83" s="10" t="n">
        <v>4.11814002051818</v>
      </c>
      <c r="Y83" s="10" t="n">
        <v>4.140337382323477</v>
      </c>
      <c r="Z83" s="10" t="n">
        <v>4.16043682035492</v>
      </c>
      <c r="AA83" s="10" t="n">
        <v>4.178562938099085</v>
      </c>
      <c r="AB83" s="10" t="n">
        <v>4.194831253773239</v>
      </c>
      <c r="AC83" s="10" t="n">
        <v>4.209349139774718</v>
      </c>
      <c r="AD83" s="10" t="n">
        <v>4.222216347073286</v>
      </c>
      <c r="AE83" s="10" t="n">
        <v>4.233525739339519</v>
      </c>
      <c r="AF83" s="10" t="n">
        <v>4.243364431913354</v>
      </c>
      <c r="AG83" s="10" t="n">
        <v>4.251815493779516</v>
      </c>
      <c r="AH83" s="10" t="n">
        <v>4.258958715515772</v>
      </c>
      <c r="AI83" s="10" t="n">
        <v>4.264870955311402</v>
      </c>
      <c r="AJ83" s="10" t="n">
        <v>4.269626643368016</v>
      </c>
      <c r="AK83" s="10" t="n">
        <v>4.273299053184418</v>
      </c>
    </row>
    <row r="84">
      <c r="A84" s="9" t="n">
        <v>-41</v>
      </c>
      <c r="B84" s="7" t="n">
        <v>40414</v>
      </c>
      <c r="C84" s="10" t="n">
        <v>0.7383966405305138</v>
      </c>
      <c r="D84" s="10" t="n">
        <v>0.8935895076194479</v>
      </c>
      <c r="E84" s="10" t="n">
        <v>1.066265719480297</v>
      </c>
      <c r="F84" s="10" t="n">
        <v>1.247137516682738</v>
      </c>
      <c r="G84" s="10" t="n">
        <v>1.430145254708526</v>
      </c>
      <c r="H84" s="10" t="n">
        <v>1.611381956260499</v>
      </c>
      <c r="I84" s="10" t="n">
        <v>1.788351709252496</v>
      </c>
      <c r="J84" s="10" t="n">
        <v>1.959427014048551</v>
      </c>
      <c r="K84" s="10" t="n">
        <v>2.123473442303134</v>
      </c>
      <c r="L84" s="10" t="n">
        <v>2.279689742901647</v>
      </c>
      <c r="M84" s="10" t="n">
        <v>3.583127021009354</v>
      </c>
      <c r="N84" s="10" t="n">
        <v>3.638788177769026</v>
      </c>
      <c r="O84" s="10" t="n">
        <v>3.689978626370842</v>
      </c>
      <c r="P84" s="10" t="n">
        <v>3.737017217973644</v>
      </c>
      <c r="Q84" s="10" t="n">
        <v>3.780208790537808</v>
      </c>
      <c r="R84" s="10" t="n">
        <v>3.819837043624672</v>
      </c>
      <c r="S84" s="10" t="n">
        <v>3.856161317604373</v>
      </c>
      <c r="T84" s="10" t="n">
        <v>3.889419924276254</v>
      </c>
      <c r="U84" s="10" t="n">
        <v>3.919833239305749</v>
      </c>
      <c r="V84" s="10" t="n">
        <v>3.947606232941178</v>
      </c>
      <c r="W84" s="10" t="n">
        <v>3.972928311508776</v>
      </c>
      <c r="X84" s="10" t="n">
        <v>3.995968705314096</v>
      </c>
      <c r="Y84" s="10" t="n">
        <v>4.016877625832776</v>
      </c>
      <c r="Z84" s="10" t="n">
        <v>4.035790588105396</v>
      </c>
      <c r="AA84" s="10" t="n">
        <v>4.052830859651428</v>
      </c>
      <c r="AB84" s="10" t="n">
        <v>4.068110960955414</v>
      </c>
      <c r="AC84" s="10" t="n">
        <v>4.081733883006924</v>
      </c>
      <c r="AD84" s="10" t="n">
        <v>4.093794013653788</v>
      </c>
      <c r="AE84" s="10" t="n">
        <v>4.104378064572752</v>
      </c>
      <c r="AF84" s="10" t="n">
        <v>4.11356643488477</v>
      </c>
      <c r="AG84" s="10" t="n">
        <v>4.121435346046471</v>
      </c>
      <c r="AH84" s="10" t="n">
        <v>4.128057734450975</v>
      </c>
      <c r="AI84" s="10" t="n">
        <v>4.133503599452735</v>
      </c>
      <c r="AJ84" s="10" t="n">
        <v>4.13784055997505</v>
      </c>
      <c r="AK84" s="10" t="n">
        <v>4.141135362802997</v>
      </c>
    </row>
    <row r="85">
      <c r="A85" s="9" t="n">
        <v>-40</v>
      </c>
      <c r="B85" s="7" t="n">
        <v>40415</v>
      </c>
      <c r="C85" s="10" t="n">
        <v>0.7568244439029448</v>
      </c>
      <c r="D85" s="10" t="n">
        <v>0.9018800084803597</v>
      </c>
      <c r="E85" s="10" t="n">
        <v>1.066055841126542</v>
      </c>
      <c r="F85" s="10" t="n">
        <v>1.240128912298257</v>
      </c>
      <c r="G85" s="10" t="n">
        <v>1.417719860410217</v>
      </c>
      <c r="H85" s="10" t="n">
        <v>1.594596817470482</v>
      </c>
      <c r="I85" s="10" t="n">
        <v>1.768009198603631</v>
      </c>
      <c r="J85" s="10" t="n">
        <v>1.936143961371828</v>
      </c>
      <c r="K85" s="10" t="n">
        <v>2.097735297897577</v>
      </c>
      <c r="L85" s="10" t="n">
        <v>2.251886026174515</v>
      </c>
      <c r="M85" s="10" t="n">
        <v>3.538126185531395</v>
      </c>
      <c r="N85" s="10" t="n">
        <v>3.592359599784111</v>
      </c>
      <c r="O85" s="10" t="n">
        <v>3.642125901845773</v>
      </c>
      <c r="P85" s="10" t="n">
        <v>3.68776079631876</v>
      </c>
      <c r="Q85" s="10" t="n">
        <v>3.729586613979715</v>
      </c>
      <c r="R85" s="10" t="n">
        <v>3.76790298743493</v>
      </c>
      <c r="S85" s="10" t="n">
        <v>3.802982511258675</v>
      </c>
      <c r="T85" s="10" t="n">
        <v>3.835074410974159</v>
      </c>
      <c r="U85" s="10" t="n">
        <v>3.864407979678671</v>
      </c>
      <c r="V85" s="10" t="n">
        <v>3.891195387817749</v>
      </c>
      <c r="W85" s="10" t="n">
        <v>3.915631400291458</v>
      </c>
      <c r="X85" s="10" t="n">
        <v>3.937888050618763</v>
      </c>
      <c r="Y85" s="10" t="n">
        <v>3.958115941139824</v>
      </c>
      <c r="Z85" s="10" t="n">
        <v>3.97644909129565</v>
      </c>
      <c r="AA85" s="10" t="n">
        <v>3.993007683920573</v>
      </c>
      <c r="AB85" s="10" t="n">
        <v>4.007899760702269</v>
      </c>
      <c r="AC85" s="10" t="n">
        <v>4.021222654899886</v>
      </c>
      <c r="AD85" s="10" t="n">
        <v>4.033064199801175</v>
      </c>
      <c r="AE85" s="10" t="n">
        <v>4.043503806603572</v>
      </c>
      <c r="AF85" s="10" t="n">
        <v>4.052614046764065</v>
      </c>
      <c r="AG85" s="10" t="n">
        <v>4.060463204454396</v>
      </c>
      <c r="AH85" s="10" t="n">
        <v>4.067116285182157</v>
      </c>
      <c r="AI85" s="10" t="n">
        <v>4.072635364373613</v>
      </c>
      <c r="AJ85" s="10" t="n">
        <v>4.077080211258558</v>
      </c>
      <c r="AK85" s="10" t="n">
        <v>4.080510104052104</v>
      </c>
    </row>
    <row r="86">
      <c r="A86" s="9" t="n">
        <v>-39</v>
      </c>
      <c r="B86" s="7" t="n">
        <v>40416</v>
      </c>
      <c r="C86" s="10" t="n">
        <v>0.7741945286403181</v>
      </c>
      <c r="D86" s="10" t="n">
        <v>0.9218080921787694</v>
      </c>
      <c r="E86" s="10" t="n">
        <v>1.086711879236983</v>
      </c>
      <c r="F86" s="10" t="n">
        <v>1.260199122762871</v>
      </c>
      <c r="G86" s="10" t="n">
        <v>1.436191457772614</v>
      </c>
      <c r="H86" s="10" t="n">
        <v>1.610655152323982</v>
      </c>
      <c r="I86" s="10" t="n">
        <v>1.781011810897044</v>
      </c>
      <c r="J86" s="10" t="n">
        <v>1.945619944967466</v>
      </c>
      <c r="K86" s="10" t="n">
        <v>2.10339963548047</v>
      </c>
      <c r="L86" s="10" t="n">
        <v>2.253636328635129</v>
      </c>
      <c r="M86" s="10" t="n">
        <v>3.519513884806975</v>
      </c>
      <c r="N86" s="10" t="n">
        <v>3.574477180041282</v>
      </c>
      <c r="O86" s="10" t="n">
        <v>3.625104693656069</v>
      </c>
      <c r="P86" s="10" t="n">
        <v>3.67167470510279</v>
      </c>
      <c r="Q86" s="10" t="n">
        <v>3.714449529735818</v>
      </c>
      <c r="R86" s="10" t="n">
        <v>3.753674768412067</v>
      </c>
      <c r="S86" s="10" t="n">
        <v>3.789575501705206</v>
      </c>
      <c r="T86" s="10" t="n">
        <v>3.822358079669254</v>
      </c>
      <c r="U86" s="10" t="n">
        <v>3.852212872043288</v>
      </c>
      <c r="V86" s="10" t="n">
        <v>3.879316566957595</v>
      </c>
      <c r="W86" s="10" t="n">
        <v>3.903835152954827</v>
      </c>
      <c r="X86" s="10" t="n">
        <v>3.92592844651978</v>
      </c>
      <c r="Y86" s="10" t="n">
        <v>3.945751540229641</v>
      </c>
      <c r="Z86" s="10" t="n">
        <v>3.963454488414713</v>
      </c>
      <c r="AA86" s="10" t="n">
        <v>3.979182646242372</v>
      </c>
      <c r="AB86" s="10" t="n">
        <v>3.993077234774125</v>
      </c>
      <c r="AC86" s="10" t="n">
        <v>4.005275519507612</v>
      </c>
      <c r="AD86" s="10" t="n">
        <v>4.015910372110928</v>
      </c>
      <c r="AE86" s="10" t="n">
        <v>4.025110468924648</v>
      </c>
      <c r="AF86" s="10" t="n">
        <v>4.032999506823765</v>
      </c>
      <c r="AG86" s="10" t="n">
        <v>4.039693299920129</v>
      </c>
      <c r="AH86" s="10" t="n">
        <v>4.045299579433036</v>
      </c>
      <c r="AI86" s="10" t="n">
        <v>4.049918824446299</v>
      </c>
      <c r="AJ86" s="10" t="n">
        <v>4.053644989570758</v>
      </c>
      <c r="AK86" s="10" t="n">
        <v>4.056565279406435</v>
      </c>
    </row>
    <row r="87">
      <c r="A87" s="9" t="n">
        <v>-38</v>
      </c>
      <c r="B87" s="7" t="n">
        <v>40417</v>
      </c>
      <c r="C87" s="10" t="n">
        <v>0.7893359743631145</v>
      </c>
      <c r="D87" s="10" t="n">
        <v>0.9414346069029884</v>
      </c>
      <c r="E87" s="10" t="n">
        <v>1.109158852485661</v>
      </c>
      <c r="F87" s="10" t="n">
        <v>1.284063077889004</v>
      </c>
      <c r="G87" s="10" t="n">
        <v>1.460369677030329</v>
      </c>
      <c r="H87" s="10" t="n">
        <v>1.634314806979301</v>
      </c>
      <c r="I87" s="10" t="n">
        <v>1.803557415591634</v>
      </c>
      <c r="J87" s="10" t="n">
        <v>1.966659167755731</v>
      </c>
      <c r="K87" s="10" t="n">
        <v>2.122704316748929</v>
      </c>
      <c r="L87" s="10" t="n">
        <v>2.271108824983871</v>
      </c>
      <c r="M87" s="10" t="n">
        <v>3.52572772874856</v>
      </c>
      <c r="N87" s="10" t="n">
        <v>3.581006533769418</v>
      </c>
      <c r="O87" s="10" t="n">
        <v>3.63207386332424</v>
      </c>
      <c r="P87" s="10" t="n">
        <v>3.6791954062627</v>
      </c>
      <c r="Q87" s="10" t="n">
        <v>3.722620693129685</v>
      </c>
      <c r="R87" s="10" t="n">
        <v>3.76258238053095</v>
      </c>
      <c r="S87" s="10" t="n">
        <v>3.799292782658133</v>
      </c>
      <c r="T87" s="10" t="n">
        <v>3.832945765888755</v>
      </c>
      <c r="U87" s="10" t="n">
        <v>3.863719458626161</v>
      </c>
      <c r="V87" s="10" t="n">
        <v>3.891778520816408</v>
      </c>
      <c r="W87" s="10" t="n">
        <v>3.917277306863442</v>
      </c>
      <c r="X87" s="10" t="n">
        <v>3.940364760608298</v>
      </c>
      <c r="Y87" s="10" t="n">
        <v>3.961185922716926</v>
      </c>
      <c r="Z87" s="10" t="n">
        <v>3.979881781442859</v>
      </c>
      <c r="AA87" s="10" t="n">
        <v>3.996589583302725</v>
      </c>
      <c r="AB87" s="10" t="n">
        <v>4.011443283256052</v>
      </c>
      <c r="AC87" s="10" t="n">
        <v>4.024573686466546</v>
      </c>
      <c r="AD87" s="10" t="n">
        <v>4.036108133367797</v>
      </c>
      <c r="AE87" s="10" t="n">
        <v>4.046170667814728</v>
      </c>
      <c r="AF87" s="10" t="n">
        <v>4.054881104224506</v>
      </c>
      <c r="AG87" s="10" t="n">
        <v>4.062352079087231</v>
      </c>
      <c r="AH87" s="10" t="n">
        <v>4.068688838236008</v>
      </c>
      <c r="AI87" s="10" t="n">
        <v>4.073989997521456</v>
      </c>
      <c r="AJ87" s="10" t="n">
        <v>4.078348205185176</v>
      </c>
      <c r="AK87" s="10" t="n">
        <v>4.081849846408488</v>
      </c>
    </row>
    <row r="88">
      <c r="A88" s="9" t="n">
        <v>-37</v>
      </c>
      <c r="B88" s="7" t="n">
        <v>40421</v>
      </c>
      <c r="C88" s="10" t="n">
        <v>0.7706974731130793</v>
      </c>
      <c r="D88" s="10" t="n">
        <v>0.9176657096272928</v>
      </c>
      <c r="E88" s="10" t="n">
        <v>1.080443380901637</v>
      </c>
      <c r="F88" s="10" t="n">
        <v>1.250604988589958</v>
      </c>
      <c r="G88" s="10" t="n">
        <v>1.422413219722377</v>
      </c>
      <c r="H88" s="10" t="n">
        <v>1.592138312693407</v>
      </c>
      <c r="I88" s="10" t="n">
        <v>1.757465425143333</v>
      </c>
      <c r="J88" s="10" t="n">
        <v>1.91697885510474</v>
      </c>
      <c r="K88" s="10" t="n">
        <v>2.069784624582578</v>
      </c>
      <c r="L88" s="10" t="n">
        <v>2.215314873150163</v>
      </c>
      <c r="M88" s="10" t="n">
        <v>3.460017663937919</v>
      </c>
      <c r="N88" s="10" t="n">
        <v>3.515832995807706</v>
      </c>
      <c r="O88" s="10" t="n">
        <v>3.567520117945502</v>
      </c>
      <c r="P88" s="10" t="n">
        <v>3.615329671997283</v>
      </c>
      <c r="Q88" s="10" t="n">
        <v>3.659497048116561</v>
      </c>
      <c r="R88" s="10" t="n">
        <v>3.700241710987829</v>
      </c>
      <c r="S88" s="10" t="n">
        <v>3.737763998322877</v>
      </c>
      <c r="T88" s="10" t="n">
        <v>3.772246927364765</v>
      </c>
      <c r="U88" s="10" t="n">
        <v>3.803858739354368</v>
      </c>
      <c r="V88" s="10" t="n">
        <v>3.832755034375697</v>
      </c>
      <c r="W88" s="10" t="n">
        <v>3.859081945835726</v>
      </c>
      <c r="X88" s="10" t="n">
        <v>3.882981217945443</v>
      </c>
      <c r="Y88" s="10" t="n">
        <v>3.904591692364893</v>
      </c>
      <c r="Z88" s="10" t="n">
        <v>3.92404914801354</v>
      </c>
      <c r="AA88" s="10" t="n">
        <v>3.941486524779136</v>
      </c>
      <c r="AB88" s="10" t="n">
        <v>3.957034264926479</v>
      </c>
      <c r="AC88" s="10" t="n">
        <v>3.970820419482541</v>
      </c>
      <c r="AD88" s="10" t="n">
        <v>3.982970412645723</v>
      </c>
      <c r="AE88" s="10" t="n">
        <v>3.993607164710211</v>
      </c>
      <c r="AF88" s="10" t="n">
        <v>4.002850010458485</v>
      </c>
      <c r="AG88" s="10" t="n">
        <v>4.010811563850933</v>
      </c>
      <c r="AH88" s="10" t="n">
        <v>4.01759743613947</v>
      </c>
      <c r="AI88" s="10" t="n">
        <v>4.023306956265263</v>
      </c>
      <c r="AJ88" s="10" t="n">
        <v>4.028033796617795</v>
      </c>
      <c r="AK88" s="10" t="n">
        <v>4.031865602483964</v>
      </c>
    </row>
    <row r="89">
      <c r="A89" s="9" t="n">
        <v>-36</v>
      </c>
      <c r="B89" s="7" t="n">
        <v>40422</v>
      </c>
      <c r="C89" s="10" t="n">
        <v>0.8269867224438238</v>
      </c>
      <c r="D89" s="10" t="n">
        <v>0.9840211269102761</v>
      </c>
      <c r="E89" s="10" t="n">
        <v>1.154464681918644</v>
      </c>
      <c r="F89" s="10" t="n">
        <v>1.33064486188232</v>
      </c>
      <c r="G89" s="10" t="n">
        <v>1.507264993658027</v>
      </c>
      <c r="H89" s="10" t="n">
        <v>1.680872252509112</v>
      </c>
      <c r="I89" s="10" t="n">
        <v>1.849337798961534</v>
      </c>
      <c r="J89" s="10" t="n">
        <v>2.011377189821442</v>
      </c>
      <c r="K89" s="10" t="n">
        <v>2.166196822837917</v>
      </c>
      <c r="L89" s="10" t="n">
        <v>2.313309218607448</v>
      </c>
      <c r="M89" s="10" t="n">
        <v>3.562478684910711</v>
      </c>
      <c r="N89" s="10" t="n">
        <v>3.618418594282701</v>
      </c>
      <c r="O89" s="10" t="n">
        <v>3.670259564662426</v>
      </c>
      <c r="P89" s="10" t="n">
        <v>3.718253902142468</v>
      </c>
      <c r="Q89" s="10" t="n">
        <v>3.762637354024887</v>
      </c>
      <c r="R89" s="10" t="n">
        <v>3.803628608570835</v>
      </c>
      <c r="S89" s="10" t="n">
        <v>3.84142627293079</v>
      </c>
      <c r="T89" s="10" t="n">
        <v>3.876210839780106</v>
      </c>
      <c r="U89" s="10" t="n">
        <v>3.908147348744904</v>
      </c>
      <c r="V89" s="10" t="n">
        <v>3.937387619773551</v>
      </c>
      <c r="W89" s="10" t="n">
        <v>3.964073572290778</v>
      </c>
      <c r="X89" s="10" t="n">
        <v>3.988342485585036</v>
      </c>
      <c r="Y89" s="10" t="n">
        <v>4.010328616554882</v>
      </c>
      <c r="Z89" s="10" t="n">
        <v>4.030163264847327</v>
      </c>
      <c r="AA89" s="10" t="n">
        <v>4.047975046156497</v>
      </c>
      <c r="AB89" s="10" t="n">
        <v>4.063890216463144</v>
      </c>
      <c r="AC89" s="10" t="n">
        <v>4.078032829615706</v>
      </c>
      <c r="AD89" s="10" t="n">
        <v>4.090524665742361</v>
      </c>
      <c r="AE89" s="10" t="n">
        <v>4.101485370058862</v>
      </c>
      <c r="AF89" s="10" t="n">
        <v>4.111031377780896</v>
      </c>
      <c r="AG89" s="10" t="n">
        <v>4.119272901816709</v>
      </c>
      <c r="AH89" s="10" t="n">
        <v>4.126313656379303</v>
      </c>
      <c r="AI89" s="10" t="n">
        <v>4.132251525716131</v>
      </c>
      <c r="AJ89" s="10" t="n">
        <v>4.137179144044913</v>
      </c>
      <c r="AK89" s="10" t="n">
        <v>4.141183530845169</v>
      </c>
    </row>
    <row r="90">
      <c r="A90" s="9" t="n">
        <v>-35</v>
      </c>
      <c r="B90" s="7" t="n">
        <v>40423</v>
      </c>
      <c r="C90" s="10" t="n">
        <v>0.8535274601179894</v>
      </c>
      <c r="D90" s="10" t="n">
        <v>1.013755996337142</v>
      </c>
      <c r="E90" s="10" t="n">
        <v>1.185951324751747</v>
      </c>
      <c r="F90" s="10" t="n">
        <v>1.362961416786967</v>
      </c>
      <c r="G90" s="10" t="n">
        <v>1.539811078822898</v>
      </c>
      <c r="H90" s="10" t="n">
        <v>1.713261665304655</v>
      </c>
      <c r="I90" s="10" t="n">
        <v>1.881341793099081</v>
      </c>
      <c r="J90" s="10" t="n">
        <v>2.042885376204774</v>
      </c>
      <c r="K90" s="10" t="n">
        <v>2.197186209623363</v>
      </c>
      <c r="L90" s="10" t="n">
        <v>2.343818745596151</v>
      </c>
      <c r="M90" s="10" t="n">
        <v>3.599492733086969</v>
      </c>
      <c r="N90" s="10" t="n">
        <v>3.656821370149936</v>
      </c>
      <c r="O90" s="10" t="n">
        <v>3.710102403626288</v>
      </c>
      <c r="P90" s="10" t="n">
        <v>3.759570392636435</v>
      </c>
      <c r="Q90" s="10" t="n">
        <v>3.805443683503764</v>
      </c>
      <c r="R90" s="10" t="n">
        <v>3.847924546367263</v>
      </c>
      <c r="S90" s="10" t="n">
        <v>3.887197295705694</v>
      </c>
      <c r="T90" s="10" t="n">
        <v>3.923430191683848</v>
      </c>
      <c r="U90" s="10" t="n">
        <v>3.956777799316439</v>
      </c>
      <c r="V90" s="10" t="n">
        <v>3.987382973317535</v>
      </c>
      <c r="W90" s="10" t="n">
        <v>4.015380072567684</v>
      </c>
      <c r="X90" s="10" t="n">
        <v>4.040900257327244</v>
      </c>
      <c r="Y90" s="10" t="n">
        <v>4.064073026339622</v>
      </c>
      <c r="Z90" s="10" t="n">
        <v>4.085026266681395</v>
      </c>
      <c r="AA90" s="10" t="n">
        <v>4.103886405497121</v>
      </c>
      <c r="AB90" s="10" t="n">
        <v>4.120778585876579</v>
      </c>
      <c r="AC90" s="10" t="n">
        <v>4.135826724433689</v>
      </c>
      <c r="AD90" s="10" t="n">
        <v>4.149153403928995</v>
      </c>
      <c r="AE90" s="10" t="n">
        <v>4.160879926472409</v>
      </c>
      <c r="AF90" s="10" t="n">
        <v>4.171125063134824</v>
      </c>
      <c r="AG90" s="10" t="n">
        <v>4.180001805176387</v>
      </c>
      <c r="AH90" s="10" t="n">
        <v>4.187617007831092</v>
      </c>
      <c r="AI90" s="10" t="n">
        <v>4.194072021277356</v>
      </c>
      <c r="AJ90" s="10" t="n">
        <v>4.199463236107403</v>
      </c>
      <c r="AK90" s="10" t="n">
        <v>4.203881638709701</v>
      </c>
    </row>
    <row r="91">
      <c r="A91" s="9" t="n">
        <v>-34</v>
      </c>
      <c r="B91" s="7" t="n">
        <v>40424</v>
      </c>
      <c r="C91" s="10" t="n">
        <v>0.8616932850533534</v>
      </c>
      <c r="D91" s="10" t="n">
        <v>1.025864744021827</v>
      </c>
      <c r="E91" s="10" t="n">
        <v>1.201781396506084</v>
      </c>
      <c r="F91" s="10" t="n">
        <v>1.38229028256588</v>
      </c>
      <c r="G91" s="10" t="n">
        <v>1.562457968624785</v>
      </c>
      <c r="H91" s="10" t="n">
        <v>1.739076925952819</v>
      </c>
      <c r="I91" s="10" t="n">
        <v>1.910178195405267</v>
      </c>
      <c r="J91" s="10" t="n">
        <v>2.07458712510095</v>
      </c>
      <c r="K91" s="10" t="n">
        <v>2.231580704544266</v>
      </c>
      <c r="L91" s="10" t="n">
        <v>2.380715972879345</v>
      </c>
      <c r="M91" s="10" t="n">
        <v>3.654415551522293</v>
      </c>
      <c r="N91" s="10" t="n">
        <v>3.712435323413473</v>
      </c>
      <c r="O91" s="10" t="n">
        <v>3.766351240382399</v>
      </c>
      <c r="P91" s="10" t="n">
        <v>3.816401905392538</v>
      </c>
      <c r="Q91" s="10" t="n">
        <v>3.862809041396957</v>
      </c>
      <c r="R91" s="10" t="n">
        <v>3.905777725881884</v>
      </c>
      <c r="S91" s="10" t="n">
        <v>3.945494741105025</v>
      </c>
      <c r="T91" s="10" t="n">
        <v>3.982130585913104</v>
      </c>
      <c r="U91" s="10" t="n">
        <v>4.015841869016654</v>
      </c>
      <c r="V91" s="10" t="n">
        <v>4.046773325736038</v>
      </c>
      <c r="W91" s="10" t="n">
        <v>4.075061138545075</v>
      </c>
      <c r="X91" s="10" t="n">
        <v>4.100838300529636</v>
      </c>
      <c r="Y91" s="10" t="n">
        <v>4.124236148794956</v>
      </c>
      <c r="Z91" s="10" t="n">
        <v>4.145384485574817</v>
      </c>
      <c r="AA91" s="10" t="n">
        <v>4.164411742393908</v>
      </c>
      <c r="AB91" s="10" t="n">
        <v>4.181445145393744</v>
      </c>
      <c r="AC91" s="10" t="n">
        <v>4.196610776025839</v>
      </c>
      <c r="AD91" s="10" t="n">
        <v>4.21003349485864</v>
      </c>
      <c r="AE91" s="10" t="n">
        <v>4.22183699187324</v>
      </c>
      <c r="AF91" s="10" t="n">
        <v>4.232142439253193</v>
      </c>
      <c r="AG91" s="10" t="n">
        <v>4.241065162825779</v>
      </c>
      <c r="AH91" s="10" t="n">
        <v>4.248714309314511</v>
      </c>
      <c r="AI91" s="10" t="n">
        <v>4.255193482798201</v>
      </c>
      <c r="AJ91" s="10" t="n">
        <v>4.260601291197929</v>
      </c>
      <c r="AK91" s="10" t="n">
        <v>4.2650308308815</v>
      </c>
    </row>
    <row r="92">
      <c r="A92" s="9" t="n">
        <v>-33</v>
      </c>
      <c r="B92" s="7" t="n">
        <v>40427</v>
      </c>
      <c r="C92" s="10" t="n">
        <v>0.8392781428429754</v>
      </c>
      <c r="D92" s="10" t="n">
        <v>1.002969218938842</v>
      </c>
      <c r="E92" s="10" t="n">
        <v>1.178928041217925</v>
      </c>
      <c r="F92" s="10" t="n">
        <v>1.359602653962874</v>
      </c>
      <c r="G92" s="10" t="n">
        <v>1.539893783002276</v>
      </c>
      <c r="H92" s="10" t="n">
        <v>1.716530804030178</v>
      </c>
      <c r="I92" s="10" t="n">
        <v>1.88752753202788</v>
      </c>
      <c r="J92" s="10" t="n">
        <v>2.051714786063273</v>
      </c>
      <c r="K92" s="10" t="n">
        <v>2.208387341471842</v>
      </c>
      <c r="L92" s="10" t="n">
        <v>2.357125717501877</v>
      </c>
      <c r="M92" s="10" t="n">
        <v>3.625416802411839</v>
      </c>
      <c r="N92" s="10" t="n">
        <v>3.683138670044924</v>
      </c>
      <c r="O92" s="10" t="n">
        <v>3.736768450005123</v>
      </c>
      <c r="P92" s="10" t="n">
        <v>3.786542628998086</v>
      </c>
      <c r="Q92" s="10" t="n">
        <v>3.832680822640497</v>
      </c>
      <c r="R92" s="10" t="n">
        <v>3.875386098947275</v>
      </c>
      <c r="S92" s="10" t="n">
        <v>3.914843517136783</v>
      </c>
      <c r="T92" s="10" t="n">
        <v>3.951222142668293</v>
      </c>
      <c r="U92" s="10" t="n">
        <v>3.984677398087577</v>
      </c>
      <c r="V92" s="10" t="n">
        <v>4.015353045932831</v>
      </c>
      <c r="W92" s="10" t="n">
        <v>4.043384509733637</v>
      </c>
      <c r="X92" s="10" t="n">
        <v>4.068904231951794</v>
      </c>
      <c r="Y92" s="10" t="n">
        <v>4.092043191797959</v>
      </c>
      <c r="Z92" s="10" t="n">
        <v>4.112931053434345</v>
      </c>
      <c r="AA92" s="10" t="n">
        <v>4.131696317168782</v>
      </c>
      <c r="AB92" s="10" t="n">
        <v>4.148466459684261</v>
      </c>
      <c r="AC92" s="10" t="n">
        <v>4.163367975456855</v>
      </c>
      <c r="AD92" s="10" t="n">
        <v>4.17652629014612</v>
      </c>
      <c r="AE92" s="10" t="n">
        <v>4.188065795048453</v>
      </c>
      <c r="AF92" s="10" t="n">
        <v>4.198108447536479</v>
      </c>
      <c r="AG92" s="10" t="n">
        <v>4.206770387809868</v>
      </c>
      <c r="AH92" s="10" t="n">
        <v>4.214161603507669</v>
      </c>
      <c r="AI92" s="10" t="n">
        <v>4.220386563680622</v>
      </c>
      <c r="AJ92" s="10" t="n">
        <v>4.225544761797663</v>
      </c>
      <c r="AK92" s="10" t="n">
        <v>4.229730172494796</v>
      </c>
    </row>
    <row r="93">
      <c r="A93" s="9" t="n">
        <v>-32</v>
      </c>
      <c r="B93" s="7" t="n">
        <v>40428</v>
      </c>
      <c r="C93" s="10" t="n">
        <v>0.7928428175973425</v>
      </c>
      <c r="D93" s="10" t="n">
        <v>0.9492153278226867</v>
      </c>
      <c r="E93" s="10" t="n">
        <v>1.11993882419075</v>
      </c>
      <c r="F93" s="10" t="n">
        <v>1.296857759468414</v>
      </c>
      <c r="G93" s="10" t="n">
        <v>1.474445581187274</v>
      </c>
      <c r="H93" s="10" t="n">
        <v>1.649143177651084</v>
      </c>
      <c r="I93" s="10" t="n">
        <v>1.818770926657138</v>
      </c>
      <c r="J93" s="10" t="n">
        <v>1.982027130218619</v>
      </c>
      <c r="K93" s="10" t="n">
        <v>2.138114510357695</v>
      </c>
      <c r="L93" s="10" t="n">
        <v>2.286548553620546</v>
      </c>
      <c r="M93" s="10" t="n">
        <v>3.563250854928499</v>
      </c>
      <c r="N93" s="10" t="n">
        <v>3.62193313749821</v>
      </c>
      <c r="O93" s="10" t="n">
        <v>3.676498368367489</v>
      </c>
      <c r="P93" s="10" t="n">
        <v>3.727174037239831</v>
      </c>
      <c r="Q93" s="10" t="n">
        <v>3.774171813812542</v>
      </c>
      <c r="R93" s="10" t="n">
        <v>3.817688067909302</v>
      </c>
      <c r="S93" s="10" t="n">
        <v>3.857902872722664</v>
      </c>
      <c r="T93" s="10" t="n">
        <v>3.894981885111429</v>
      </c>
      <c r="U93" s="10" t="n">
        <v>3.929078464744184</v>
      </c>
      <c r="V93" s="10" t="n">
        <v>3.96033546554489</v>
      </c>
      <c r="W93" s="10" t="n">
        <v>3.988888390416671</v>
      </c>
      <c r="X93" s="10" t="n">
        <v>4.014870548644197</v>
      </c>
      <c r="Y93" s="10" t="n">
        <v>4.038414421560795</v>
      </c>
      <c r="Z93" s="10" t="n">
        <v>4.059651690121589</v>
      </c>
      <c r="AA93" s="10" t="n">
        <v>4.078713311613655</v>
      </c>
      <c r="AB93" s="10" t="n">
        <v>4.095729605110848</v>
      </c>
      <c r="AC93" s="10" t="n">
        <v>4.110830199155644</v>
      </c>
      <c r="AD93" s="10" t="n">
        <v>4.124143795709081</v>
      </c>
      <c r="AE93" s="10" t="n">
        <v>4.135798156054318</v>
      </c>
      <c r="AF93" s="10" t="n">
        <v>4.14591863256357</v>
      </c>
      <c r="AG93" s="10" t="n">
        <v>4.154624689290416</v>
      </c>
      <c r="AH93" s="10" t="n">
        <v>4.162029562432349</v>
      </c>
      <c r="AI93" s="10" t="n">
        <v>4.168240902332975</v>
      </c>
      <c r="AJ93" s="10" t="n">
        <v>4.173361322062904</v>
      </c>
      <c r="AK93" s="10" t="n">
        <v>4.177487823065865</v>
      </c>
    </row>
    <row r="94">
      <c r="A94" s="9" t="n">
        <v>-31</v>
      </c>
      <c r="B94" s="7" t="n">
        <v>40429</v>
      </c>
      <c r="C94" s="10" t="n">
        <v>0.8139433494484292</v>
      </c>
      <c r="D94" s="10" t="n">
        <v>0.9786508920399188</v>
      </c>
      <c r="E94" s="10" t="n">
        <v>1.156703981502018</v>
      </c>
      <c r="F94" s="10" t="n">
        <v>1.339945231673707</v>
      </c>
      <c r="G94" s="10" t="n">
        <v>1.522989720043058</v>
      </c>
      <c r="H94" s="10" t="n">
        <v>1.702427851082696</v>
      </c>
      <c r="I94" s="10" t="n">
        <v>1.8762030519905</v>
      </c>
      <c r="J94" s="10" t="n">
        <v>2.043101706708579</v>
      </c>
      <c r="K94" s="10" t="n">
        <v>2.202388138554631</v>
      </c>
      <c r="L94" s="10" t="n">
        <v>2.353620004977917</v>
      </c>
      <c r="M94" s="10" t="n">
        <v>3.638258366055765</v>
      </c>
      <c r="N94" s="10" t="n">
        <v>3.69586551146369</v>
      </c>
      <c r="O94" s="10" t="n">
        <v>3.749203668035654</v>
      </c>
      <c r="P94" s="10" t="n">
        <v>3.798519545497769</v>
      </c>
      <c r="Q94" s="10" t="n">
        <v>3.844043892408026</v>
      </c>
      <c r="R94" s="10" t="n">
        <v>3.885991557678738</v>
      </c>
      <c r="S94" s="10" t="n">
        <v>3.924559835389801</v>
      </c>
      <c r="T94" s="10" t="n">
        <v>3.959930415119291</v>
      </c>
      <c r="U94" s="10" t="n">
        <v>3.99227167570864</v>
      </c>
      <c r="V94" s="10" t="n">
        <v>4.021740621303021</v>
      </c>
      <c r="W94" s="10" t="n">
        <v>4.048486103621991</v>
      </c>
      <c r="X94" s="10" t="n">
        <v>4.072653903372212</v>
      </c>
      <c r="Y94" s="10" t="n">
        <v>4.094387949896978</v>
      </c>
      <c r="Z94" s="10" t="n">
        <v>4.113829995357767</v>
      </c>
      <c r="AA94" s="10" t="n">
        <v>4.131119736111086</v>
      </c>
      <c r="AB94" s="10" t="n">
        <v>4.146395056981496</v>
      </c>
      <c r="AC94" s="10" t="n">
        <v>4.159791993509306</v>
      </c>
      <c r="AD94" s="10" t="n">
        <v>4.171444329814083</v>
      </c>
      <c r="AE94" s="10" t="n">
        <v>4.181483657628605</v>
      </c>
      <c r="AF94" s="10" t="n">
        <v>4.190038134329184</v>
      </c>
      <c r="AG94" s="10" t="n">
        <v>4.197229367038158</v>
      </c>
      <c r="AH94" s="10" t="n">
        <v>4.203172220320122</v>
      </c>
      <c r="AI94" s="10" t="n">
        <v>4.207975512578401</v>
      </c>
      <c r="AJ94" s="10" t="n">
        <v>4.211742611129617</v>
      </c>
      <c r="AK94" s="10" t="n">
        <v>4.214570904223171</v>
      </c>
    </row>
    <row r="95">
      <c r="A95" s="9" t="n">
        <v>-30</v>
      </c>
      <c r="B95" s="7" t="n">
        <v>40430</v>
      </c>
      <c r="C95" s="10" t="n">
        <v>0.8446777154901107</v>
      </c>
      <c r="D95" s="10" t="n">
        <v>1.012156498956684</v>
      </c>
      <c r="E95" s="10" t="n">
        <v>1.192711539825462</v>
      </c>
      <c r="F95" s="10" t="n">
        <v>1.378514114199163</v>
      </c>
      <c r="G95" s="10" t="n">
        <v>1.564254213283302</v>
      </c>
      <c r="H95" s="10" t="n">
        <v>1.746506724777204</v>
      </c>
      <c r="I95" s="10" t="n">
        <v>1.923159371742226</v>
      </c>
      <c r="J95" s="10" t="n">
        <v>2.092924771396403</v>
      </c>
      <c r="K95" s="10" t="n">
        <v>2.254991992914688</v>
      </c>
      <c r="L95" s="10" t="n">
        <v>2.408853746568827</v>
      </c>
      <c r="M95" s="10" t="n">
        <v>3.706304067214726</v>
      </c>
      <c r="N95" s="10" t="n">
        <v>3.7635306802554</v>
      </c>
      <c r="O95" s="10" t="n">
        <v>3.816371645059895</v>
      </c>
      <c r="P95" s="10" t="n">
        <v>3.865089223809908</v>
      </c>
      <c r="Q95" s="10" t="n">
        <v>3.90992926306422</v>
      </c>
      <c r="R95" s="10" t="n">
        <v>3.95112086692352</v>
      </c>
      <c r="S95" s="10" t="n">
        <v>3.988874172085372</v>
      </c>
      <c r="T95" s="10" t="n">
        <v>4.023382403715751</v>
      </c>
      <c r="U95" s="10" t="n">
        <v>4.054824361353531</v>
      </c>
      <c r="V95" s="10" t="n">
        <v>4.083366515271761</v>
      </c>
      <c r="W95" s="10" t="n">
        <v>4.109166368127696</v>
      </c>
      <c r="X95" s="10" t="n">
        <v>4.132377612585147</v>
      </c>
      <c r="Y95" s="10" t="n">
        <v>4.153151368648725</v>
      </c>
      <c r="Z95" s="10" t="n">
        <v>4.171635819028122</v>
      </c>
      <c r="AA95" s="10" t="n">
        <v>4.187976393391151</v>
      </c>
      <c r="AB95" s="10" t="n">
        <v>4.202316096951025</v>
      </c>
      <c r="AC95" s="10" t="n">
        <v>4.214795527671463</v>
      </c>
      <c r="AD95" s="10" t="n">
        <v>4.225552503257176</v>
      </c>
      <c r="AE95" s="10" t="n">
        <v>4.234722171793017</v>
      </c>
      <c r="AF95" s="10" t="n">
        <v>4.242435804657207</v>
      </c>
      <c r="AG95" s="10" t="n">
        <v>4.248817729228334</v>
      </c>
      <c r="AH95" s="10" t="n">
        <v>4.253985190211845</v>
      </c>
      <c r="AI95" s="10" t="n">
        <v>4.258049081778907</v>
      </c>
      <c r="AJ95" s="10" t="n">
        <v>4.261114572245556</v>
      </c>
      <c r="AK95" s="10" t="n">
        <v>4.263280562058292</v>
      </c>
    </row>
    <row r="96">
      <c r="A96" s="9" t="n">
        <v>-29</v>
      </c>
      <c r="B96" s="7" t="n">
        <v>40431</v>
      </c>
      <c r="C96" s="10" t="n">
        <v>0.9071263707040811</v>
      </c>
      <c r="D96" s="10" t="n">
        <v>1.081441469534793</v>
      </c>
      <c r="E96" s="10" t="n">
        <v>1.265897641231115</v>
      </c>
      <c r="F96" s="10" t="n">
        <v>1.453918782300249</v>
      </c>
      <c r="G96" s="10" t="n">
        <v>1.640842318427617</v>
      </c>
      <c r="H96" s="10" t="n">
        <v>1.82361346475184</v>
      </c>
      <c r="I96" s="10" t="n">
        <v>2.000351923757161</v>
      </c>
      <c r="J96" s="10" t="n">
        <v>2.169922270162907</v>
      </c>
      <c r="K96" s="10" t="n">
        <v>2.331621364706753</v>
      </c>
      <c r="L96" s="10" t="n">
        <v>2.485022076382959</v>
      </c>
      <c r="M96" s="10" t="n">
        <v>3.780569526076185</v>
      </c>
      <c r="N96" s="10" t="n">
        <v>3.83809879236431</v>
      </c>
      <c r="O96" s="10" t="n">
        <v>3.891279336507568</v>
      </c>
      <c r="P96" s="10" t="n">
        <v>3.940367315667218</v>
      </c>
      <c r="Q96" s="10" t="n">
        <v>3.985602867311475</v>
      </c>
      <c r="R96" s="10" t="n">
        <v>4.027209940376033</v>
      </c>
      <c r="S96" s="10" t="n">
        <v>4.065394504706315</v>
      </c>
      <c r="T96" s="10" t="n">
        <v>4.100346575915557</v>
      </c>
      <c r="U96" s="10" t="n">
        <v>4.132242560863159</v>
      </c>
      <c r="V96" s="10" t="n">
        <v>4.161247241252094</v>
      </c>
      <c r="W96" s="10" t="n">
        <v>4.187517085770435</v>
      </c>
      <c r="X96" s="10" t="n">
        <v>4.211205284810783</v>
      </c>
      <c r="Y96" s="10" t="n">
        <v>4.232462777422853</v>
      </c>
      <c r="Z96" s="10" t="n">
        <v>4.251437655205071</v>
      </c>
      <c r="AA96" s="10" t="n">
        <v>4.268275294999264</v>
      </c>
      <c r="AB96" s="10" t="n">
        <v>4.283118679991171</v>
      </c>
      <c r="AC96" s="10" t="n">
        <v>4.296108316166661</v>
      </c>
      <c r="AD96" s="10" t="n">
        <v>4.307381666039546</v>
      </c>
      <c r="AE96" s="10" t="n">
        <v>4.317073241429202</v>
      </c>
      <c r="AF96" s="10" t="n">
        <v>4.325313382727477</v>
      </c>
      <c r="AG96" s="10" t="n">
        <v>4.332225249554297</v>
      </c>
      <c r="AH96" s="10" t="n">
        <v>4.337924747611805</v>
      </c>
      <c r="AI96" s="10" t="n">
        <v>4.342521279560709</v>
      </c>
      <c r="AJ96" s="10" t="n">
        <v>4.346118383182585</v>
      </c>
      <c r="AK96" s="10" t="n">
        <v>4.348813194509257</v>
      </c>
    </row>
    <row r="97">
      <c r="A97" s="9" t="n">
        <v>-28</v>
      </c>
      <c r="B97" s="7" t="n">
        <v>40434</v>
      </c>
      <c r="C97" s="10" t="n">
        <v>0.8957553434824886</v>
      </c>
      <c r="D97" s="10" t="n">
        <v>1.073161214935724</v>
      </c>
      <c r="E97" s="10" t="n">
        <v>1.260406564066998</v>
      </c>
      <c r="F97" s="10" t="n">
        <v>1.450489554439387</v>
      </c>
      <c r="G97" s="10" t="n">
        <v>1.638708801105871</v>
      </c>
      <c r="H97" s="10" t="n">
        <v>1.822104285754845</v>
      </c>
      <c r="I97" s="10" t="n">
        <v>1.998930206527155</v>
      </c>
      <c r="J97" s="10" t="n">
        <v>2.168186153345872</v>
      </c>
      <c r="K97" s="10" t="n">
        <v>2.32929379937328</v>
      </c>
      <c r="L97" s="10" t="n">
        <v>2.481934975911863</v>
      </c>
      <c r="M97" s="10" t="n">
        <v>3.774286213001239</v>
      </c>
      <c r="N97" s="10" t="n">
        <v>3.832381844899241</v>
      </c>
      <c r="O97" s="10" t="n">
        <v>3.886191662685082</v>
      </c>
      <c r="P97" s="10" t="n">
        <v>3.935956590512086</v>
      </c>
      <c r="Q97" s="10" t="n">
        <v>3.981901639917479</v>
      </c>
      <c r="R97" s="10" t="n">
        <v>4.024236449498967</v>
      </c>
      <c r="S97" s="10" t="n">
        <v>4.063154544232683</v>
      </c>
      <c r="T97" s="10" t="n">
        <v>4.098835275520453</v>
      </c>
      <c r="U97" s="10" t="n">
        <v>4.131445905055966</v>
      </c>
      <c r="V97" s="10" t="n">
        <v>4.161143377575045</v>
      </c>
      <c r="W97" s="10" t="n">
        <v>4.18807766792172</v>
      </c>
      <c r="X97" s="10" t="n">
        <v>4.21239707927467</v>
      </c>
      <c r="Y97" s="10" t="n">
        <v>4.234249111040615</v>
      </c>
      <c r="Z97" s="10" t="n">
        <v>4.253779585507333</v>
      </c>
      <c r="AA97" s="10" t="n">
        <v>4.271132614421417</v>
      </c>
      <c r="AB97" s="10" t="n">
        <v>4.286450796281898</v>
      </c>
      <c r="AC97" s="10" t="n">
        <v>4.299874983217086</v>
      </c>
      <c r="AD97" s="10" t="n">
        <v>4.311543537636449</v>
      </c>
      <c r="AE97" s="10" t="n">
        <v>4.321592338907441</v>
      </c>
      <c r="AF97" s="10" t="n">
        <v>4.330153423734999</v>
      </c>
      <c r="AG97" s="10" t="n">
        <v>4.337351791162866</v>
      </c>
      <c r="AH97" s="10" t="n">
        <v>4.343305289469686</v>
      </c>
      <c r="AI97" s="10" t="n">
        <v>4.348125356368862</v>
      </c>
      <c r="AJ97" s="10" t="n">
        <v>4.351917645958814</v>
      </c>
      <c r="AK97" s="10" t="n">
        <v>4.354781435279117</v>
      </c>
    </row>
    <row r="98">
      <c r="A98" s="9" t="n">
        <v>-27</v>
      </c>
      <c r="B98" s="7" t="n">
        <v>40435</v>
      </c>
      <c r="C98" s="10" t="n">
        <v>0.8360277529187941</v>
      </c>
      <c r="D98" s="10" t="n">
        <v>1.006596360689987</v>
      </c>
      <c r="E98" s="10" t="n">
        <v>1.189868096016818</v>
      </c>
      <c r="F98" s="10" t="n">
        <v>1.377811399980149</v>
      </c>
      <c r="G98" s="10" t="n">
        <v>1.565109695887024</v>
      </c>
      <c r="H98" s="10" t="n">
        <v>1.748410204195882</v>
      </c>
      <c r="I98" s="10" t="n">
        <v>1.925705203749203</v>
      </c>
      <c r="J98" s="10" t="n">
        <v>2.095813268291694</v>
      </c>
      <c r="K98" s="10" t="n">
        <v>2.258028118845995</v>
      </c>
      <c r="L98" s="10" t="n">
        <v>2.411941396761743</v>
      </c>
      <c r="M98" s="10" t="n">
        <v>3.724164901902998</v>
      </c>
      <c r="N98" s="10" t="n">
        <v>3.783927366417723</v>
      </c>
      <c r="O98" s="10" t="n">
        <v>3.839412973367751</v>
      </c>
      <c r="P98" s="10" t="n">
        <v>3.890856130472364</v>
      </c>
      <c r="Q98" s="10" t="n">
        <v>3.938474601476569</v>
      </c>
      <c r="R98" s="10" t="n">
        <v>3.982470484473439</v>
      </c>
      <c r="S98" s="10" t="n">
        <v>4.023030045996526</v>
      </c>
      <c r="T98" s="10" t="n">
        <v>4.060325708715856</v>
      </c>
      <c r="U98" s="10" t="n">
        <v>4.09451808693693</v>
      </c>
      <c r="V98" s="10" t="n">
        <v>4.125757728855606</v>
      </c>
      <c r="W98" s="10" t="n">
        <v>4.154188778980196</v>
      </c>
      <c r="X98" s="10" t="n">
        <v>4.179954935060159</v>
      </c>
      <c r="Y98" s="10" t="n">
        <v>4.203200302263074</v>
      </c>
      <c r="Z98" s="10" t="n">
        <v>4.224068337208998</v>
      </c>
      <c r="AA98" s="10" t="n">
        <v>4.242701682323653</v>
      </c>
      <c r="AB98" s="10" t="n">
        <v>4.259242254254653</v>
      </c>
      <c r="AC98" s="10" t="n">
        <v>4.273830943192165</v>
      </c>
      <c r="AD98" s="10" t="n">
        <v>4.286606856592421</v>
      </c>
      <c r="AE98" s="10" t="n">
        <v>4.297707262653019</v>
      </c>
      <c r="AF98" s="10" t="n">
        <v>4.3072660735064</v>
      </c>
      <c r="AG98" s="10" t="n">
        <v>4.315410453754324</v>
      </c>
      <c r="AH98" s="10" t="n">
        <v>4.322260654082834</v>
      </c>
      <c r="AI98" s="10" t="n">
        <v>4.327930726877232</v>
      </c>
      <c r="AJ98" s="10" t="n">
        <v>4.332529129334993</v>
      </c>
      <c r="AK98" s="10" t="n">
        <v>4.336158048656723</v>
      </c>
    </row>
    <row r="99">
      <c r="A99" s="9" t="n">
        <v>-26</v>
      </c>
      <c r="B99" s="7" t="n">
        <v>40436</v>
      </c>
      <c r="C99" s="10" t="n">
        <v>0.8476502000816609</v>
      </c>
      <c r="D99" s="10" t="n">
        <v>1.017852381638503</v>
      </c>
      <c r="E99" s="10" t="n">
        <v>1.200927529229805</v>
      </c>
      <c r="F99" s="10" t="n">
        <v>1.389100642085584</v>
      </c>
      <c r="G99" s="10" t="n">
        <v>1.57708872715471</v>
      </c>
      <c r="H99" s="10" t="n">
        <v>1.761475184068197</v>
      </c>
      <c r="I99" s="10" t="n">
        <v>1.940153067437193</v>
      </c>
      <c r="J99" s="10" t="n">
        <v>2.111832014179009</v>
      </c>
      <c r="K99" s="10" t="n">
        <v>2.275696165530546</v>
      </c>
      <c r="L99" s="10" t="n">
        <v>2.431237597539509</v>
      </c>
      <c r="M99" s="10" t="n">
        <v>3.742985281916719</v>
      </c>
      <c r="N99" s="10" t="n">
        <v>3.801019751697294</v>
      </c>
      <c r="O99" s="10" t="n">
        <v>3.854648934941621</v>
      </c>
      <c r="P99" s="10" t="n">
        <v>3.904136964926876</v>
      </c>
      <c r="Q99" s="10" t="n">
        <v>3.949731399108941</v>
      </c>
      <c r="R99" s="10" t="n">
        <v>3.991662906590881</v>
      </c>
      <c r="S99" s="10" t="n">
        <v>4.030143387659792</v>
      </c>
      <c r="T99" s="10" t="n">
        <v>4.065368117063076</v>
      </c>
      <c r="U99" s="10" t="n">
        <v>4.097518188374226</v>
      </c>
      <c r="V99" s="10" t="n">
        <v>4.126762585971081</v>
      </c>
      <c r="W99" s="10" t="n">
        <v>4.153261707399428</v>
      </c>
      <c r="X99" s="10" t="n">
        <v>4.17717260902868</v>
      </c>
      <c r="Y99" s="10" t="n">
        <v>4.198649963469456</v>
      </c>
      <c r="Z99" s="10" t="n">
        <v>4.217845328666485</v>
      </c>
      <c r="AA99" s="10" t="n">
        <v>4.234907286289402</v>
      </c>
      <c r="AB99" s="10" t="n">
        <v>4.249981792579642</v>
      </c>
      <c r="AC99" s="10" t="n">
        <v>4.26321206202953</v>
      </c>
      <c r="AD99" s="10" t="n">
        <v>4.274737927834324</v>
      </c>
      <c r="AE99" s="10" t="n">
        <v>4.284695951746606</v>
      </c>
      <c r="AF99" s="10" t="n">
        <v>4.293218176744578</v>
      </c>
      <c r="AG99" s="10" t="n">
        <v>4.30042914568716</v>
      </c>
      <c r="AH99" s="10" t="n">
        <v>4.306445892602549</v>
      </c>
      <c r="AI99" s="10" t="n">
        <v>4.311378720860962</v>
      </c>
      <c r="AJ99" s="10" t="n">
        <v>4.315331861719963</v>
      </c>
      <c r="AK99" s="10" t="n">
        <v>4.318402922983488</v>
      </c>
    </row>
    <row r="100">
      <c r="A100" s="9" t="n">
        <v>-25</v>
      </c>
      <c r="B100" s="7" t="n">
        <v>40437</v>
      </c>
      <c r="C100" s="10" t="n">
        <v>0.884889208833383</v>
      </c>
      <c r="D100" s="10" t="n">
        <v>1.058150027033764</v>
      </c>
      <c r="E100" s="10" t="n">
        <v>1.243562339281833</v>
      </c>
      <c r="F100" s="10" t="n">
        <v>1.434014482625894</v>
      </c>
      <c r="G100" s="10" t="n">
        <v>1.624353693843991</v>
      </c>
      <c r="H100" s="10" t="n">
        <v>1.811119393741304</v>
      </c>
      <c r="I100" s="10" t="n">
        <v>1.992132406193788</v>
      </c>
      <c r="J100" s="10" t="n">
        <v>2.166038284827616</v>
      </c>
      <c r="K100" s="10" t="n">
        <v>2.331971389196366</v>
      </c>
      <c r="L100" s="10" t="n">
        <v>2.489391185342448</v>
      </c>
      <c r="M100" s="10" t="n">
        <v>3.80893191758629</v>
      </c>
      <c r="N100" s="10" t="n">
        <v>3.86686229144166</v>
      </c>
      <c r="O100" s="10" t="n">
        <v>3.920379044531492</v>
      </c>
      <c r="P100" s="10" t="n">
        <v>3.969759518924953</v>
      </c>
      <c r="Q100" s="10" t="n">
        <v>4.015263163793749</v>
      </c>
      <c r="R100" s="10" t="n">
        <v>4.057130763952278</v>
      </c>
      <c r="S100" s="10" t="n">
        <v>4.09558188733018</v>
      </c>
      <c r="T100" s="10" t="n">
        <v>4.130817264203978</v>
      </c>
      <c r="U100" s="10" t="n">
        <v>4.163021556823634</v>
      </c>
      <c r="V100" s="10" t="n">
        <v>4.192365700773408</v>
      </c>
      <c r="W100" s="10" t="n">
        <v>4.219010601547802</v>
      </c>
      <c r="X100" s="10" t="n">
        <v>4.243112417420228</v>
      </c>
      <c r="Y100" s="10" t="n">
        <v>4.264823775372431</v>
      </c>
      <c r="Z100" s="10" t="n">
        <v>4.284293473909016</v>
      </c>
      <c r="AA100" s="10" t="n">
        <v>4.301666782210732</v>
      </c>
      <c r="AB100" s="10" t="n">
        <v>4.317085862098829</v>
      </c>
      <c r="AC100" s="10" t="n">
        <v>4.33068984554247</v>
      </c>
      <c r="AD100" s="10" t="n">
        <v>4.342614541481367</v>
      </c>
      <c r="AE100" s="10" t="n">
        <v>4.352992616667852</v>
      </c>
      <c r="AF100" s="10" t="n">
        <v>4.361952373170295</v>
      </c>
      <c r="AG100" s="10" t="n">
        <v>4.369614874898286</v>
      </c>
      <c r="AH100" s="10" t="n">
        <v>4.376093950287027</v>
      </c>
      <c r="AI100" s="10" t="n">
        <v>4.38149694236132</v>
      </c>
      <c r="AJ100" s="10" t="n">
        <v>4.385925341898127</v>
      </c>
      <c r="AK100" s="10" t="n">
        <v>4.389474227928289</v>
      </c>
    </row>
    <row r="101">
      <c r="A101" s="9" t="n">
        <v>-24</v>
      </c>
      <c r="B101" s="7" t="n">
        <v>40438</v>
      </c>
      <c r="C101" s="10" t="n">
        <v>0.8759038319277916</v>
      </c>
      <c r="D101" s="10" t="n">
        <v>1.04880991656524</v>
      </c>
      <c r="E101" s="10" t="n">
        <v>1.234184595150885</v>
      </c>
      <c r="F101" s="10" t="n">
        <v>1.424594100289098</v>
      </c>
      <c r="G101" s="10" t="n">
        <v>1.614761397234616</v>
      </c>
      <c r="H101" s="10" t="n">
        <v>1.801200362345134</v>
      </c>
      <c r="I101" s="10" t="n">
        <v>1.98176076456546</v>
      </c>
      <c r="J101" s="10" t="n">
        <v>2.155137376115095</v>
      </c>
      <c r="K101" s="10" t="n">
        <v>2.320515316173747</v>
      </c>
      <c r="L101" s="10" t="n">
        <v>2.477396600851889</v>
      </c>
      <c r="M101" s="10" t="n">
        <v>3.795537001582973</v>
      </c>
      <c r="N101" s="10" t="n">
        <v>3.853655364290449</v>
      </c>
      <c r="O101" s="10" t="n">
        <v>3.90738268300883</v>
      </c>
      <c r="P101" s="10" t="n">
        <v>3.956994728829011</v>
      </c>
      <c r="Q101" s="10" t="n">
        <v>4.002749711171071</v>
      </c>
      <c r="R101" s="10" t="n">
        <v>4.044887231797298</v>
      </c>
      <c r="S101" s="10" t="n">
        <v>4.083625599236304</v>
      </c>
      <c r="T101" s="10" t="n">
        <v>4.119164237217957</v>
      </c>
      <c r="U101" s="10" t="n">
        <v>4.151686461399555</v>
      </c>
      <c r="V101" s="10" t="n">
        <v>4.181361829684866</v>
      </c>
      <c r="W101" s="10" t="n">
        <v>4.208349837817125</v>
      </c>
      <c r="X101" s="10" t="n">
        <v>4.232805054218497</v>
      </c>
      <c r="Y101" s="10" t="n">
        <v>4.254878327505173</v>
      </c>
      <c r="Z101" s="10" t="n">
        <v>4.274716623147346</v>
      </c>
      <c r="AA101" s="10" t="n">
        <v>4.292463361751593</v>
      </c>
      <c r="AB101" s="10" t="n">
        <v>4.308258843522303</v>
      </c>
      <c r="AC101" s="10" t="n">
        <v>4.322240359292964</v>
      </c>
      <c r="AD101" s="10" t="n">
        <v>4.334541986216784</v>
      </c>
      <c r="AE101" s="10" t="n">
        <v>4.345294778337888</v>
      </c>
      <c r="AF101" s="10" t="n">
        <v>4.354625474154621</v>
      </c>
      <c r="AG101" s="10" t="n">
        <v>4.362653620821867</v>
      </c>
      <c r="AH101" s="10" t="n">
        <v>4.369491602798151</v>
      </c>
      <c r="AI101" s="10" t="n">
        <v>4.375245384940814</v>
      </c>
      <c r="AJ101" s="10" t="n">
        <v>4.380015135939613</v>
      </c>
      <c r="AK101" s="10" t="n">
        <v>4.383894630958888</v>
      </c>
    </row>
    <row r="102">
      <c r="A102" s="9" t="n">
        <v>-23</v>
      </c>
      <c r="B102" s="7" t="n">
        <v>40441</v>
      </c>
      <c r="C102" s="10" t="n">
        <v>0.8986145429644907</v>
      </c>
      <c r="D102" s="10" t="n">
        <v>1.073303606166394</v>
      </c>
      <c r="E102" s="10" t="n">
        <v>1.259582169924733</v>
      </c>
      <c r="F102" s="10" t="n">
        <v>1.450477444467064</v>
      </c>
      <c r="G102" s="10" t="n">
        <v>1.640947260791019</v>
      </c>
      <c r="H102" s="10" t="n">
        <v>1.827617637058387</v>
      </c>
      <c r="I102" s="10" t="n">
        <v>2.008385131733747</v>
      </c>
      <c r="J102" s="10" t="n">
        <v>2.18196222164146</v>
      </c>
      <c r="K102" s="10" t="n">
        <v>2.347538615954145</v>
      </c>
      <c r="L102" s="10" t="n">
        <v>2.504613656507276</v>
      </c>
      <c r="M102" s="10" t="n">
        <v>3.82318383101095</v>
      </c>
      <c r="N102" s="10" t="n">
        <v>3.881146558591086</v>
      </c>
      <c r="O102" s="10" t="n">
        <v>3.93470196174288</v>
      </c>
      <c r="P102" s="10" t="n">
        <v>3.984129364107007</v>
      </c>
      <c r="Q102" s="10" t="n">
        <v>4.029690572527329</v>
      </c>
      <c r="R102" s="10" t="n">
        <v>4.071628550407841</v>
      </c>
      <c r="S102" s="10" t="n">
        <v>4.110164446548635</v>
      </c>
      <c r="T102" s="10" t="n">
        <v>4.145500048031216</v>
      </c>
      <c r="U102" s="10" t="n">
        <v>4.177820627107541</v>
      </c>
      <c r="V102" s="10" t="n">
        <v>4.207297351975066</v>
      </c>
      <c r="W102" s="10" t="n">
        <v>4.234091072696219</v>
      </c>
      <c r="X102" s="10" t="n">
        <v>4.258357533096975</v>
      </c>
      <c r="Y102" s="10" t="n">
        <v>4.280248601469631</v>
      </c>
      <c r="Z102" s="10" t="n">
        <v>4.299912138012444</v>
      </c>
      <c r="AA102" s="10" t="n">
        <v>4.31749235316718</v>
      </c>
      <c r="AB102" s="10" t="n">
        <v>4.333130245437164</v>
      </c>
      <c r="AC102" s="10" t="n">
        <v>4.346963747573143</v>
      </c>
      <c r="AD102" s="10" t="n">
        <v>4.359127586526868</v>
      </c>
      <c r="AE102" s="10" t="n">
        <v>4.369753484934363</v>
      </c>
      <c r="AF102" s="10" t="n">
        <v>4.378968806223348</v>
      </c>
      <c r="AG102" s="10" t="n">
        <v>4.386893601199146</v>
      </c>
      <c r="AH102" s="10" t="n">
        <v>4.39364064156716</v>
      </c>
      <c r="AI102" s="10" t="n">
        <v>4.399316175268434</v>
      </c>
      <c r="AJ102" s="10" t="n">
        <v>4.404020558469819</v>
      </c>
      <c r="AK102" s="10" t="n">
        <v>4.407847619989526</v>
      </c>
    </row>
    <row r="103">
      <c r="A103" s="9" t="n">
        <v>-22</v>
      </c>
      <c r="B103" s="7" t="n">
        <v>40442</v>
      </c>
      <c r="C103" s="10" t="n">
        <v>0.8718256001926891</v>
      </c>
      <c r="D103" s="10" t="n">
        <v>1.044033398765414</v>
      </c>
      <c r="E103" s="10" t="n">
        <v>1.228581051870401</v>
      </c>
      <c r="F103" s="10" t="n">
        <v>1.418179862283149</v>
      </c>
      <c r="G103" s="10" t="n">
        <v>1.607625152779174</v>
      </c>
      <c r="H103" s="10" t="n">
        <v>1.793458848526488</v>
      </c>
      <c r="I103" s="10" t="n">
        <v>1.973534311499561</v>
      </c>
      <c r="J103" s="10" t="n">
        <v>2.146543377296511</v>
      </c>
      <c r="K103" s="10" t="n">
        <v>2.311664065701586</v>
      </c>
      <c r="L103" s="10" t="n">
        <v>2.468383531692683</v>
      </c>
      <c r="M103" s="10" t="n">
        <v>3.78638508539446</v>
      </c>
      <c r="N103" s="10" t="n">
        <v>3.844460630572089</v>
      </c>
      <c r="O103" s="10" t="n">
        <v>3.898155070140062</v>
      </c>
      <c r="P103" s="10" t="n">
        <v>3.947749393415394</v>
      </c>
      <c r="Q103" s="10" t="n">
        <v>3.993506912265539</v>
      </c>
      <c r="R103" s="10" t="n">
        <v>4.035671725381612</v>
      </c>
      <c r="S103" s="10" t="n">
        <v>4.074465545068512</v>
      </c>
      <c r="T103" s="10" t="n">
        <v>4.110090212323747</v>
      </c>
      <c r="U103" s="10" t="n">
        <v>4.142730618698552</v>
      </c>
      <c r="V103" s="10" t="n">
        <v>4.172557181608147</v>
      </c>
      <c r="W103" s="10" t="n">
        <v>4.199729724822183</v>
      </c>
      <c r="X103" s="10" t="n">
        <v>4.22440276965204</v>
      </c>
      <c r="Y103" s="10" t="n">
        <v>4.2467267626624</v>
      </c>
      <c r="Z103" s="10" t="n">
        <v>4.266847920418184</v>
      </c>
      <c r="AA103" s="10" t="n">
        <v>4.284908606782597</v>
      </c>
      <c r="AB103" s="10" t="n">
        <v>4.301047795453074</v>
      </c>
      <c r="AC103" s="10" t="n">
        <v>4.315401241915993</v>
      </c>
      <c r="AD103" s="10" t="n">
        <v>4.328101376586877</v>
      </c>
      <c r="AE103" s="10" t="n">
        <v>4.339277523603497</v>
      </c>
      <c r="AF103" s="10" t="n">
        <v>4.349054556290525</v>
      </c>
      <c r="AG103" s="10" t="n">
        <v>4.357549993000781</v>
      </c>
      <c r="AH103" s="10" t="n">
        <v>4.364874053558665</v>
      </c>
      <c r="AI103" s="10" t="n">
        <v>4.371130416831227</v>
      </c>
      <c r="AJ103" s="10" t="n">
        <v>4.376416853640877</v>
      </c>
      <c r="AK103" s="10" t="n">
        <v>4.380824591680237</v>
      </c>
    </row>
    <row r="104">
      <c r="A104" s="9" t="n">
        <v>-21</v>
      </c>
      <c r="B104" s="7" t="n">
        <v>40443</v>
      </c>
      <c r="C104" s="10" t="n">
        <v>0.7964958962340437</v>
      </c>
      <c r="D104" s="10" t="n">
        <v>0.9537697317586302</v>
      </c>
      <c r="E104" s="10" t="n">
        <v>1.126441550386892</v>
      </c>
      <c r="F104" s="10" t="n">
        <v>1.306475528818839</v>
      </c>
      <c r="G104" s="10" t="n">
        <v>1.488146213267357</v>
      </c>
      <c r="H104" s="10" t="n">
        <v>1.667621731549595</v>
      </c>
      <c r="I104" s="10" t="n">
        <v>1.842475267034838</v>
      </c>
      <c r="J104" s="10" t="n">
        <v>2.011189740121734</v>
      </c>
      <c r="K104" s="10" t="n">
        <v>2.172784708032369</v>
      </c>
      <c r="L104" s="10" t="n">
        <v>2.326621697781297</v>
      </c>
      <c r="M104" s="10" t="n">
        <v>3.631907256223434</v>
      </c>
      <c r="N104" s="10" t="n">
        <v>3.689670011122636</v>
      </c>
      <c r="O104" s="10" t="n">
        <v>3.743109172759308</v>
      </c>
      <c r="P104" s="10" t="n">
        <v>3.792508159401295</v>
      </c>
      <c r="Q104" s="10" t="n">
        <v>3.838133056037724</v>
      </c>
      <c r="R104" s="10" t="n">
        <v>3.880230236451709</v>
      </c>
      <c r="S104" s="10" t="n">
        <v>3.919022247801501</v>
      </c>
      <c r="T104" s="10" t="n">
        <v>3.954710414050851</v>
      </c>
      <c r="U104" s="10" t="n">
        <v>3.98747795662692</v>
      </c>
      <c r="V104" s="10" t="n">
        <v>4.017492635111997</v>
      </c>
      <c r="W104" s="10" t="n">
        <v>4.044910744821096</v>
      </c>
      <c r="X104" s="10" t="n">
        <v>4.069882441376317</v>
      </c>
      <c r="Y104" s="10" t="n">
        <v>4.092553176104968</v>
      </c>
      <c r="Z104" s="10" t="n">
        <v>4.113063891895659</v>
      </c>
      <c r="AA104" s="10" t="n">
        <v>4.131551496693531</v>
      </c>
      <c r="AB104" s="10" t="n">
        <v>4.148149352027844</v>
      </c>
      <c r="AC104" s="10" t="n">
        <v>4.162987587357033</v>
      </c>
      <c r="AD104" s="10" t="n">
        <v>4.176193254616184</v>
      </c>
      <c r="AE104" s="10" t="n">
        <v>4.187890577245724</v>
      </c>
      <c r="AF104" s="10" t="n">
        <v>4.198199606640616</v>
      </c>
      <c r="AG104" s="10" t="n">
        <v>4.207233391106548</v>
      </c>
      <c r="AH104" s="10" t="n">
        <v>4.215098026502551</v>
      </c>
      <c r="AI104" s="10" t="n">
        <v>4.221893378008895</v>
      </c>
      <c r="AJ104" s="10" t="n">
        <v>4.227713681809269</v>
      </c>
      <c r="AK104" s="10" t="n">
        <v>4.232646925203103</v>
      </c>
    </row>
    <row r="105">
      <c r="A105" s="9" t="n">
        <v>-20</v>
      </c>
      <c r="B105" s="7" t="n">
        <v>40444</v>
      </c>
      <c r="C105" s="10" t="n">
        <v>0.7784910698660432</v>
      </c>
      <c r="D105" s="10" t="n">
        <v>0.9320223466191639</v>
      </c>
      <c r="E105" s="10" t="n">
        <v>1.10174427131911</v>
      </c>
      <c r="F105" s="10" t="n">
        <v>1.279655486765035</v>
      </c>
      <c r="G105" s="10" t="n">
        <v>1.460002332754875</v>
      </c>
      <c r="H105" s="10" t="n">
        <v>1.638876462424398</v>
      </c>
      <c r="I105" s="10" t="n">
        <v>1.813737232572226</v>
      </c>
      <c r="J105" s="10" t="n">
        <v>1.982937856814764</v>
      </c>
      <c r="K105" s="10" t="n">
        <v>2.145365127651681</v>
      </c>
      <c r="L105" s="10" t="n">
        <v>2.30025266585827</v>
      </c>
      <c r="M105" s="10" t="n">
        <v>3.609349352001694</v>
      </c>
      <c r="N105" s="10" t="n">
        <v>3.666268052403949</v>
      </c>
      <c r="O105" s="10" t="n">
        <v>3.718788960227466</v>
      </c>
      <c r="P105" s="10" t="n">
        <v>3.767218539662931</v>
      </c>
      <c r="Q105" s="10" t="n">
        <v>3.811845437885854</v>
      </c>
      <c r="R105" s="10" t="n">
        <v>3.852936897315063</v>
      </c>
      <c r="S105" s="10" t="n">
        <v>3.89073322150321</v>
      </c>
      <c r="T105" s="10" t="n">
        <v>3.925450632855118</v>
      </c>
      <c r="U105" s="10" t="n">
        <v>3.95728481354024</v>
      </c>
      <c r="V105" s="10" t="n">
        <v>3.986413887238208</v>
      </c>
      <c r="W105" s="10" t="n">
        <v>4.013002428400789</v>
      </c>
      <c r="X105" s="10" t="n">
        <v>4.037206461090776</v>
      </c>
      <c r="Y105" s="10" t="n">
        <v>4.059175157607349</v>
      </c>
      <c r="Z105" s="10" t="n">
        <v>4.079051493742146</v>
      </c>
      <c r="AA105" s="10" t="n">
        <v>4.096972974476639</v>
      </c>
      <c r="AB105" s="10" t="n">
        <v>4.11307229941224</v>
      </c>
      <c r="AC105" s="10" t="n">
        <v>4.127477883237221</v>
      </c>
      <c r="AD105" s="10" t="n">
        <v>4.140314249376425</v>
      </c>
      <c r="AE105" s="10" t="n">
        <v>4.151702399174277</v>
      </c>
      <c r="AF105" s="10" t="n">
        <v>4.161758635521972</v>
      </c>
      <c r="AG105" s="10" t="n">
        <v>4.170592004765502</v>
      </c>
      <c r="AH105" s="10" t="n">
        <v>4.178304428671547</v>
      </c>
      <c r="AI105" s="10" t="n">
        <v>4.184991444433025</v>
      </c>
      <c r="AJ105" s="10" t="n">
        <v>4.190742823308502</v>
      </c>
      <c r="AK105" s="10" t="n">
        <v>4.195642033866648</v>
      </c>
    </row>
    <row r="106">
      <c r="A106" s="9" t="n">
        <v>-19</v>
      </c>
      <c r="B106" s="7" t="n">
        <v>40445</v>
      </c>
      <c r="C106" s="10" t="n">
        <v>0.8405321002132362</v>
      </c>
      <c r="D106" s="10" t="n">
        <v>0.9990155077726696</v>
      </c>
      <c r="E106" s="10" t="n">
        <v>1.172299843657463</v>
      </c>
      <c r="F106" s="10" t="n">
        <v>1.353126005582807</v>
      </c>
      <c r="G106" s="10" t="n">
        <v>1.536039684828042</v>
      </c>
      <c r="H106" s="10" t="n">
        <v>1.717258420084698</v>
      </c>
      <c r="I106" s="10" t="n">
        <v>1.894285727067507</v>
      </c>
      <c r="J106" s="10" t="n">
        <v>2.065484686054623</v>
      </c>
      <c r="K106" s="10" t="n">
        <v>2.229730719717792</v>
      </c>
      <c r="L106" s="10" t="n">
        <v>2.386238099249799</v>
      </c>
      <c r="M106" s="10" t="n">
        <v>3.695080394352642</v>
      </c>
      <c r="N106" s="10" t="n">
        <v>3.750661392169681</v>
      </c>
      <c r="O106" s="10" t="n">
        <v>3.801755426506536</v>
      </c>
      <c r="P106" s="10" t="n">
        <v>3.848690787957836</v>
      </c>
      <c r="Q106" s="10" t="n">
        <v>3.89177764629035</v>
      </c>
      <c r="R106" s="10" t="n">
        <v>3.931303362190461</v>
      </c>
      <c r="S106" s="10" t="n">
        <v>3.967525964688944</v>
      </c>
      <c r="T106" s="10" t="n">
        <v>4.000677265591696</v>
      </c>
      <c r="U106" s="10" t="n">
        <v>4.030966714632355</v>
      </c>
      <c r="V106" s="10" t="n">
        <v>4.058584634243455</v>
      </c>
      <c r="W106" s="10" t="n">
        <v>4.083706121020973</v>
      </c>
      <c r="X106" s="10" t="n">
        <v>4.106495523671304</v>
      </c>
      <c r="Y106" s="10" t="n">
        <v>4.127108253472882</v>
      </c>
      <c r="Z106" s="10" t="n">
        <v>4.14569172386352</v>
      </c>
      <c r="AA106" s="10" t="n">
        <v>4.162386306975412</v>
      </c>
      <c r="AB106" s="10" t="n">
        <v>4.177326190452241</v>
      </c>
      <c r="AC106" s="10" t="n">
        <v>4.190640059739583</v>
      </c>
      <c r="AD106" s="10" t="n">
        <v>4.202451632410213</v>
      </c>
      <c r="AE106" s="10" t="n">
        <v>4.212880150626003</v>
      </c>
      <c r="AF106" s="10" t="n">
        <v>4.222039415890922</v>
      </c>
      <c r="AG106" s="10" t="n">
        <v>4.230035619540024</v>
      </c>
      <c r="AH106" s="10" t="n">
        <v>4.236967599643277</v>
      </c>
      <c r="AI106" s="10" t="n">
        <v>4.242927605404915</v>
      </c>
      <c r="AJ106" s="10" t="n">
        <v>4.248001936485396</v>
      </c>
      <c r="AK106" s="10" t="n">
        <v>4.252270492557031</v>
      </c>
    </row>
    <row r="107">
      <c r="A107" s="9" t="n">
        <v>-18</v>
      </c>
      <c r="B107" s="7" t="n">
        <v>40448</v>
      </c>
      <c r="C107" s="10" t="n">
        <v>0.7989776818746447</v>
      </c>
      <c r="D107" s="10" t="n">
        <v>0.953400516927691</v>
      </c>
      <c r="E107" s="10" t="n">
        <v>1.123768648998223</v>
      </c>
      <c r="F107" s="10" t="n">
        <v>1.302154235298122</v>
      </c>
      <c r="G107" s="10" t="n">
        <v>1.482845388129298</v>
      </c>
      <c r="H107" s="10" t="n">
        <v>1.661978823210402</v>
      </c>
      <c r="I107" s="10" t="n">
        <v>1.837047099917581</v>
      </c>
      <c r="J107" s="10" t="n">
        <v>2.006420966544128</v>
      </c>
      <c r="K107" s="10" t="n">
        <v>2.168985962779656</v>
      </c>
      <c r="L107" s="10" t="n">
        <v>2.323963637305104</v>
      </c>
      <c r="M107" s="10" t="n">
        <v>3.62581447888381</v>
      </c>
      <c r="N107" s="10" t="n">
        <v>3.681615349508017</v>
      </c>
      <c r="O107" s="10" t="n">
        <v>3.73299391993888</v>
      </c>
      <c r="P107" s="10" t="n">
        <v>3.780270358360856</v>
      </c>
      <c r="Q107" s="10" t="n">
        <v>3.823747041693877</v>
      </c>
      <c r="R107" s="10" t="n">
        <v>3.863703961008368</v>
      </c>
      <c r="S107" s="10" t="n">
        <v>3.90039244595158</v>
      </c>
      <c r="T107" s="10" t="n">
        <v>3.934038238033953</v>
      </c>
      <c r="U107" s="10" t="n">
        <v>3.964845253322873</v>
      </c>
      <c r="V107" s="10" t="n">
        <v>3.992998743376429</v>
      </c>
      <c r="W107" s="10" t="n">
        <v>4.018669191028806</v>
      </c>
      <c r="X107" s="10" t="n">
        <v>4.04201681163958</v>
      </c>
      <c r="Y107" s="10" t="n">
        <v>4.0631933588644</v>
      </c>
      <c r="Z107" s="10" t="n">
        <v>4.082343098585152</v>
      </c>
      <c r="AA107" s="10" t="n">
        <v>4.099603721820632</v>
      </c>
      <c r="AB107" s="10" t="n">
        <v>4.115107145816707</v>
      </c>
      <c r="AC107" s="10" t="n">
        <v>4.128980181633649</v>
      </c>
      <c r="AD107" s="10" t="n">
        <v>4.141345089717777</v>
      </c>
      <c r="AE107" s="10" t="n">
        <v>4.152320036476224</v>
      </c>
      <c r="AF107" s="10" t="n">
        <v>4.162018043577874</v>
      </c>
      <c r="AG107" s="10" t="n">
        <v>4.170544738970052</v>
      </c>
      <c r="AH107" s="10" t="n">
        <v>4.177998588945437</v>
      </c>
      <c r="AI107" s="10" t="n">
        <v>4.184471642664426</v>
      </c>
      <c r="AJ107" s="10" t="n">
        <v>4.190050152107005</v>
      </c>
      <c r="AK107" s="10" t="n">
        <v>4.194814072230582</v>
      </c>
    </row>
    <row r="108">
      <c r="A108" s="9" t="n">
        <v>-17</v>
      </c>
      <c r="B108" s="7" t="n">
        <v>40449</v>
      </c>
      <c r="C108" s="10" t="n">
        <v>0.7914183895965647</v>
      </c>
      <c r="D108" s="10" t="n">
        <v>0.9401176626688987</v>
      </c>
      <c r="E108" s="10" t="n">
        <v>1.105404153245117</v>
      </c>
      <c r="F108" s="10" t="n">
        <v>1.279448967085651</v>
      </c>
      <c r="G108" s="10" t="n">
        <v>1.456546939609729</v>
      </c>
      <c r="H108" s="10" t="n">
        <v>1.632780083257604</v>
      </c>
      <c r="I108" s="10" t="n">
        <v>1.805543827367682</v>
      </c>
      <c r="J108" s="10" t="n">
        <v>1.973095008167795</v>
      </c>
      <c r="K108" s="10" t="n">
        <v>2.134208021390582</v>
      </c>
      <c r="L108" s="10" t="n">
        <v>2.288002163663905</v>
      </c>
      <c r="M108" s="10" t="n">
        <v>3.571765538267748</v>
      </c>
      <c r="N108" s="10" t="n">
        <v>3.625487418782152</v>
      </c>
      <c r="O108" s="10" t="n">
        <v>3.674781329922311</v>
      </c>
      <c r="P108" s="10" t="n">
        <v>3.719995266706913</v>
      </c>
      <c r="Q108" s="10" t="n">
        <v>3.761459147931311</v>
      </c>
      <c r="R108" s="10" t="n">
        <v>3.799478221441058</v>
      </c>
      <c r="S108" s="10" t="n">
        <v>3.834324615712109</v>
      </c>
      <c r="T108" s="10" t="n">
        <v>3.866240783784548</v>
      </c>
      <c r="U108" s="10" t="n">
        <v>3.89544386700998</v>
      </c>
      <c r="V108" s="10" t="n">
        <v>3.92212934260461</v>
      </c>
      <c r="W108" s="10" t="n">
        <v>3.946474969518599</v>
      </c>
      <c r="X108" s="10" t="n">
        <v>3.968644966124557</v>
      </c>
      <c r="Y108" s="10" t="n">
        <v>3.988792230080255</v>
      </c>
      <c r="Z108" s="10" t="n">
        <v>4.007059940538249</v>
      </c>
      <c r="AA108" s="10" t="n">
        <v>4.023582803237032</v>
      </c>
      <c r="AB108" s="10" t="n">
        <v>4.038488087938991</v>
      </c>
      <c r="AC108" s="10" t="n">
        <v>4.051896632890869</v>
      </c>
      <c r="AD108" s="10" t="n">
        <v>4.063923820138103</v>
      </c>
      <c r="AE108" s="10" t="n">
        <v>4.074680191603256</v>
      </c>
      <c r="AF108" s="10" t="n">
        <v>4.084270587479441</v>
      </c>
      <c r="AG108" s="10" t="n">
        <v>4.092792186861954</v>
      </c>
      <c r="AH108" s="10" t="n">
        <v>4.100334820447884</v>
      </c>
      <c r="AI108" s="10" t="n">
        <v>4.106981734727105</v>
      </c>
      <c r="AJ108" s="10" t="n">
        <v>4.112810231592158</v>
      </c>
      <c r="AK108" s="10" t="n">
        <v>4.117891285866284</v>
      </c>
    </row>
    <row r="109">
      <c r="A109" s="9" t="n">
        <v>-16</v>
      </c>
      <c r="B109" s="7" t="n">
        <v>40450</v>
      </c>
      <c r="C109" s="10" t="n">
        <v>0.7688912882761202</v>
      </c>
      <c r="D109" s="10" t="n">
        <v>0.915443386061968</v>
      </c>
      <c r="E109" s="10" t="n">
        <v>1.07942555460112</v>
      </c>
      <c r="F109" s="10" t="n">
        <v>1.25280579812758</v>
      </c>
      <c r="G109" s="10" t="n">
        <v>1.429745402148868</v>
      </c>
      <c r="H109" s="10" t="n">
        <v>1.606217826830805</v>
      </c>
      <c r="I109" s="10" t="n">
        <v>1.779510414175611</v>
      </c>
      <c r="J109" s="10" t="n">
        <v>1.947765871932773</v>
      </c>
      <c r="K109" s="10" t="n">
        <v>2.109645085779808</v>
      </c>
      <c r="L109" s="10" t="n">
        <v>2.26416431318334</v>
      </c>
      <c r="M109" s="10" t="n">
        <v>3.536161156924296</v>
      </c>
      <c r="N109" s="10" t="n">
        <v>3.587681550167611</v>
      </c>
      <c r="O109" s="10" t="n">
        <v>3.634753385158852</v>
      </c>
      <c r="P109" s="10" t="n">
        <v>3.677758552644132</v>
      </c>
      <c r="Q109" s="10" t="n">
        <v>3.717059436945185</v>
      </c>
      <c r="R109" s="10" t="n">
        <v>3.752990566045431</v>
      </c>
      <c r="S109" s="10" t="n">
        <v>3.785848270005721</v>
      </c>
      <c r="T109" s="10" t="n">
        <v>3.815894616526157</v>
      </c>
      <c r="U109" s="10" t="n">
        <v>3.843362449237881</v>
      </c>
      <c r="V109" s="10" t="n">
        <v>3.868459581723203</v>
      </c>
      <c r="W109" s="10" t="n">
        <v>3.891372829750358</v>
      </c>
      <c r="X109" s="10" t="n">
        <v>3.912271899330964</v>
      </c>
      <c r="Y109" s="10" t="n">
        <v>3.931312044657358</v>
      </c>
      <c r="Z109" s="10" t="n">
        <v>3.948636295298272</v>
      </c>
      <c r="AA109" s="10" t="n">
        <v>3.964377058823784</v>
      </c>
      <c r="AB109" s="10" t="n">
        <v>3.978657422863136</v>
      </c>
      <c r="AC109" s="10" t="n">
        <v>3.99159245349636</v>
      </c>
      <c r="AD109" s="10" t="n">
        <v>4.00329048400889</v>
      </c>
      <c r="AE109" s="10" t="n">
        <v>4.013853905263137</v>
      </c>
      <c r="AF109" s="10" t="n">
        <v>4.023378569606734</v>
      </c>
      <c r="AG109" s="10" t="n">
        <v>4.031952213684503</v>
      </c>
      <c r="AH109" s="10" t="n">
        <v>4.039654882321328</v>
      </c>
      <c r="AI109" s="10" t="n">
        <v>4.046559728709204</v>
      </c>
      <c r="AJ109" s="10" t="n">
        <v>4.05273368984075</v>
      </c>
      <c r="AK109" s="10" t="n">
        <v>4.058237284361434</v>
      </c>
    </row>
    <row r="110">
      <c r="A110" s="9" t="n">
        <v>-15</v>
      </c>
      <c r="B110" s="7" t="n">
        <v>40451</v>
      </c>
      <c r="C110" s="10" t="n">
        <v>0.7867177437386229</v>
      </c>
      <c r="D110" s="10" t="n">
        <v>0.9359313845416554</v>
      </c>
      <c r="E110" s="10" t="n">
        <v>1.102612008765206</v>
      </c>
      <c r="F110" s="10" t="n">
        <v>1.278749607860121</v>
      </c>
      <c r="G110" s="10" t="n">
        <v>1.458392004027302</v>
      </c>
      <c r="H110" s="10" t="n">
        <v>1.637398907651333</v>
      </c>
      <c r="I110" s="10" t="n">
        <v>1.812979070664813</v>
      </c>
      <c r="J110" s="10" t="n">
        <v>1.983232273335521</v>
      </c>
      <c r="K110" s="10" t="n">
        <v>2.146804496670947</v>
      </c>
      <c r="L110" s="10" t="n">
        <v>2.302717442508778</v>
      </c>
      <c r="M110" s="10" t="n">
        <v>3.5782339734304</v>
      </c>
      <c r="N110" s="10" t="n">
        <v>3.629682084731075</v>
      </c>
      <c r="O110" s="10" t="n">
        <v>3.67668704764625</v>
      </c>
      <c r="P110" s="10" t="n">
        <v>3.719635171511617</v>
      </c>
      <c r="Q110" s="10" t="n">
        <v>3.758892613990623</v>
      </c>
      <c r="R110" s="10" t="n">
        <v>3.794797088483496</v>
      </c>
      <c r="S110" s="10" t="n">
        <v>3.827647731417627</v>
      </c>
      <c r="T110" s="10" t="n">
        <v>3.857709137477803</v>
      </c>
      <c r="U110" s="10" t="n">
        <v>3.885216439031767</v>
      </c>
      <c r="V110" s="10" t="n">
        <v>3.91037953232834</v>
      </c>
      <c r="W110" s="10" t="n">
        <v>3.933387073830139</v>
      </c>
      <c r="X110" s="10" t="n">
        <v>3.954410269317969</v>
      </c>
      <c r="Y110" s="10" t="n">
        <v>3.973605559909966</v>
      </c>
      <c r="Z110" s="10" t="n">
        <v>3.991116907117261</v>
      </c>
      <c r="AA110" s="10" t="n">
        <v>4.007077429839554</v>
      </c>
      <c r="AB110" s="10" t="n">
        <v>4.021610732842891</v>
      </c>
      <c r="AC110" s="10" t="n">
        <v>4.034832210606375</v>
      </c>
      <c r="AD110" s="10" t="n">
        <v>4.046850320857455</v>
      </c>
      <c r="AE110" s="10" t="n">
        <v>4.05776738519936</v>
      </c>
      <c r="AF110" s="10" t="n">
        <v>4.067678916480998</v>
      </c>
      <c r="AG110" s="10" t="n">
        <v>4.076671922031344</v>
      </c>
      <c r="AH110" s="10" t="n">
        <v>4.084825346825989</v>
      </c>
      <c r="AI110" s="10" t="n">
        <v>4.092210912283963</v>
      </c>
      <c r="AJ110" s="10" t="n">
        <v>4.098893821167005</v>
      </c>
      <c r="AK110" s="10" t="n">
        <v>4.104932475655779</v>
      </c>
    </row>
    <row r="111">
      <c r="A111" s="9" t="n">
        <v>-14</v>
      </c>
      <c r="B111" s="7" t="n">
        <v>40452</v>
      </c>
      <c r="C111" s="10" t="n">
        <v>0.790633764081309</v>
      </c>
      <c r="D111" s="10" t="n">
        <v>0.9413726104045044</v>
      </c>
      <c r="E111" s="10" t="n">
        <v>1.109936817388491</v>
      </c>
      <c r="F111" s="10" t="n">
        <v>1.288075956609009</v>
      </c>
      <c r="G111" s="10" t="n">
        <v>1.469687017430196</v>
      </c>
      <c r="H111" s="10" t="n">
        <v>1.650556907977353</v>
      </c>
      <c r="I111" s="10" t="n">
        <v>1.82786172909109</v>
      </c>
      <c r="J111" s="10" t="n">
        <v>1.999681983987289</v>
      </c>
      <c r="K111" s="10" t="n">
        <v>2.164653168591459</v>
      </c>
      <c r="L111" s="10" t="n">
        <v>2.321795722736478</v>
      </c>
      <c r="M111" s="10" t="n">
        <v>3.602278656574886</v>
      </c>
      <c r="N111" s="10" t="n">
        <v>3.65360411116418</v>
      </c>
      <c r="O111" s="10" t="n">
        <v>3.700441641900074</v>
      </c>
      <c r="P111" s="10" t="n">
        <v>3.743180167528173</v>
      </c>
      <c r="Q111" s="10" t="n">
        <v>3.782188183526366</v>
      </c>
      <c r="R111" s="10" t="n">
        <v>3.817805411572666</v>
      </c>
      <c r="S111" s="10" t="n">
        <v>3.85033311201474</v>
      </c>
      <c r="T111" s="10" t="n">
        <v>3.880038228729449</v>
      </c>
      <c r="U111" s="10" t="n">
        <v>3.9071584355296</v>
      </c>
      <c r="V111" s="10" t="n">
        <v>3.931906338567474</v>
      </c>
      <c r="W111" s="10" t="n">
        <v>3.954473517071925</v>
      </c>
      <c r="X111" s="10" t="n">
        <v>3.975034369184724</v>
      </c>
      <c r="Y111" s="10" t="n">
        <v>3.993748667194791</v>
      </c>
      <c r="Z111" s="10" t="n">
        <v>4.010763623014484</v>
      </c>
      <c r="AA111" s="10" t="n">
        <v>4.026215494076531</v>
      </c>
      <c r="AB111" s="10" t="n">
        <v>4.040230923522255</v>
      </c>
      <c r="AC111" s="10" t="n">
        <v>4.052928197122787</v>
      </c>
      <c r="AD111" s="10" t="n">
        <v>4.064418416888596</v>
      </c>
      <c r="AE111" s="10" t="n">
        <v>4.074806300277465</v>
      </c>
      <c r="AF111" s="10" t="n">
        <v>4.084189495112288</v>
      </c>
      <c r="AG111" s="10" t="n">
        <v>4.09265692819317</v>
      </c>
      <c r="AH111" s="10" t="n">
        <v>4.100289293331737</v>
      </c>
      <c r="AI111" s="10" t="n">
        <v>4.107159908143837</v>
      </c>
      <c r="AJ111" s="10" t="n">
        <v>4.113335430732693</v>
      </c>
      <c r="AK111" s="10" t="n">
        <v>4.118875546739578</v>
      </c>
    </row>
    <row r="112">
      <c r="A112" s="9" t="n">
        <v>-13</v>
      </c>
      <c r="B112" s="7" t="n">
        <v>40455</v>
      </c>
      <c r="C112" s="10" t="n">
        <v>0.7661330027943989</v>
      </c>
      <c r="D112" s="10" t="n">
        <v>0.9122087882921958</v>
      </c>
      <c r="E112" s="10" t="n">
        <v>1.077045988485448</v>
      </c>
      <c r="F112" s="10" t="n">
        <v>1.252143526463732</v>
      </c>
      <c r="G112" s="10" t="n">
        <v>1.431258864408187</v>
      </c>
      <c r="H112" s="10" t="n">
        <v>1.610095561453621</v>
      </c>
      <c r="I112" s="10" t="n">
        <v>1.785783511237523</v>
      </c>
      <c r="J112" s="10" t="n">
        <v>1.956374422164816</v>
      </c>
      <c r="K112" s="10" t="n">
        <v>2.120481600816198</v>
      </c>
      <c r="L112" s="10" t="n">
        <v>2.277105428923968</v>
      </c>
      <c r="M112" s="10" t="n">
        <v>3.5715066129221</v>
      </c>
      <c r="N112" s="10" t="n">
        <v>3.624674952492091</v>
      </c>
      <c r="O112" s="10" t="n">
        <v>3.673356160355508</v>
      </c>
      <c r="P112" s="10" t="n">
        <v>3.717921315846819</v>
      </c>
      <c r="Q112" s="10" t="n">
        <v>3.758722111136078</v>
      </c>
      <c r="R112" s="10" t="n">
        <v>3.796083238981767</v>
      </c>
      <c r="S112" s="10" t="n">
        <v>3.830293687432754</v>
      </c>
      <c r="T112" s="10" t="n">
        <v>3.861610639619993</v>
      </c>
      <c r="U112" s="10" t="n">
        <v>3.890264150852189</v>
      </c>
      <c r="V112" s="10" t="n">
        <v>3.916461053478534</v>
      </c>
      <c r="W112" s="10" t="n">
        <v>3.94038895180628</v>
      </c>
      <c r="X112" s="10" t="n">
        <v>3.962220181759141</v>
      </c>
      <c r="Y112" s="10" t="n">
        <v>3.982114096917316</v>
      </c>
      <c r="Z112" s="10" t="n">
        <v>4.000218776240157</v>
      </c>
      <c r="AA112" s="10" t="n">
        <v>4.016672441358896</v>
      </c>
      <c r="AB112" s="10" t="n">
        <v>4.031604659149635</v>
      </c>
      <c r="AC112" s="10" t="n">
        <v>4.045137383683648</v>
      </c>
      <c r="AD112" s="10" t="n">
        <v>4.057385862063194</v>
      </c>
      <c r="AE112" s="10" t="n">
        <v>4.068459337818168</v>
      </c>
      <c r="AF112" s="10" t="n">
        <v>4.078460171076426</v>
      </c>
      <c r="AG112" s="10" t="n">
        <v>4.087481934654925</v>
      </c>
      <c r="AH112" s="10" t="n">
        <v>4.095609873620235</v>
      </c>
      <c r="AI112" s="10" t="n">
        <v>4.102921771943957</v>
      </c>
      <c r="AJ112" s="10" t="n">
        <v>4.10948867356867</v>
      </c>
      <c r="AK112" s="10" t="n">
        <v>4.115374483912463</v>
      </c>
    </row>
    <row r="113">
      <c r="A113" s="9" t="n">
        <v>-12</v>
      </c>
      <c r="B113" s="7" t="n">
        <v>40456</v>
      </c>
      <c r="C113" s="10" t="n">
        <v>0.8000994204851969</v>
      </c>
      <c r="D113" s="10" t="n">
        <v>0.9489571457038469</v>
      </c>
      <c r="E113" s="10" t="n">
        <v>1.115337547838083</v>
      </c>
      <c r="F113" s="10" t="n">
        <v>1.291102998872526</v>
      </c>
      <c r="G113" s="10" t="n">
        <v>1.470265627726133</v>
      </c>
      <c r="H113" s="10" t="n">
        <v>1.64872299934946</v>
      </c>
      <c r="I113" s="10" t="n">
        <v>1.823761753150812</v>
      </c>
      <c r="J113" s="10" t="n">
        <v>1.993558174068828</v>
      </c>
      <c r="K113" s="10" t="n">
        <v>2.15682618636781</v>
      </c>
      <c r="L113" s="10" t="n">
        <v>2.312647944133034</v>
      </c>
      <c r="M113" s="10" t="n">
        <v>3.611589989479294</v>
      </c>
      <c r="N113" s="10" t="n">
        <v>3.666019612777831</v>
      </c>
      <c r="O113" s="10" t="n">
        <v>3.71598921188974</v>
      </c>
      <c r="P113" s="10" t="n">
        <v>3.76184928606199</v>
      </c>
      <c r="Q113" s="10" t="n">
        <v>3.803931938766092</v>
      </c>
      <c r="R113" s="10" t="n">
        <v>3.842544364947574</v>
      </c>
      <c r="S113" s="10" t="n">
        <v>3.877961471279589</v>
      </c>
      <c r="T113" s="10" t="n">
        <v>3.910429471329248</v>
      </c>
      <c r="U113" s="10" t="n">
        <v>3.940170105063613</v>
      </c>
      <c r="V113" s="10" t="n">
        <v>3.967384173493884</v>
      </c>
      <c r="W113" s="10" t="n">
        <v>3.992255429865327</v>
      </c>
      <c r="X113" s="10" t="n">
        <v>4.014954596644398</v>
      </c>
      <c r="Y113" s="10" t="n">
        <v>4.035641298593808</v>
      </c>
      <c r="Z113" s="10" t="n">
        <v>4.054465317791128</v>
      </c>
      <c r="AA113" s="10" t="n">
        <v>4.071567793054955</v>
      </c>
      <c r="AB113" s="10" t="n">
        <v>4.087082269033222</v>
      </c>
      <c r="AC113" s="10" t="n">
        <v>4.101135474191904</v>
      </c>
      <c r="AD113" s="10" t="n">
        <v>4.113847892320837</v>
      </c>
      <c r="AE113" s="10" t="n">
        <v>4.125334359684146</v>
      </c>
      <c r="AF113" s="10" t="n">
        <v>4.135702953899722</v>
      </c>
      <c r="AG113" s="10" t="n">
        <v>4.145052783485658</v>
      </c>
      <c r="AH113" s="10" t="n">
        <v>4.153474421595508</v>
      </c>
      <c r="AI113" s="10" t="n">
        <v>4.161050794282317</v>
      </c>
      <c r="AJ113" s="10" t="n">
        <v>4.167857914189126</v>
      </c>
      <c r="AK113" s="10" t="n">
        <v>4.17396435579885</v>
      </c>
    </row>
    <row r="114">
      <c r="A114" s="9" t="n">
        <v>-11</v>
      </c>
      <c r="B114" s="7" t="n">
        <v>40457</v>
      </c>
      <c r="C114" s="10" t="n">
        <v>0.7586727992032956</v>
      </c>
      <c r="D114" s="10" t="n">
        <v>0.9047774344069015</v>
      </c>
      <c r="E114" s="10" t="n">
        <v>1.069176281279355</v>
      </c>
      <c r="F114" s="10" t="n">
        <v>1.243109318695211</v>
      </c>
      <c r="G114" s="10" t="n">
        <v>1.420324481626731</v>
      </c>
      <c r="H114" s="10" t="n">
        <v>1.59663016187016</v>
      </c>
      <c r="I114" s="10" t="n">
        <v>1.769327676847856</v>
      </c>
      <c r="J114" s="10" t="n">
        <v>1.936671492766107</v>
      </c>
      <c r="K114" s="10" t="n">
        <v>2.097490697639536</v>
      </c>
      <c r="L114" s="10" t="n">
        <v>2.250990919227133</v>
      </c>
      <c r="M114" s="10" t="n">
        <v>3.552537257750658</v>
      </c>
      <c r="N114" s="10" t="n">
        <v>3.609351924732791</v>
      </c>
      <c r="O114" s="10" t="n">
        <v>3.661847765197025</v>
      </c>
      <c r="P114" s="10" t="n">
        <v>3.710337641225836</v>
      </c>
      <c r="Q114" s="10" t="n">
        <v>3.755116752023906</v>
      </c>
      <c r="R114" s="10" t="n">
        <v>3.79645773136873</v>
      </c>
      <c r="S114" s="10" t="n">
        <v>3.834605067265365</v>
      </c>
      <c r="T114" s="10" t="n">
        <v>3.869778334570959</v>
      </c>
      <c r="U114" s="10" t="n">
        <v>3.902175858649387</v>
      </c>
      <c r="V114" s="10" t="n">
        <v>3.931977814724959</v>
      </c>
      <c r="W114" s="10" t="n">
        <v>3.959350346062099</v>
      </c>
      <c r="X114" s="10" t="n">
        <v>3.984450214094257</v>
      </c>
      <c r="Y114" s="10" t="n">
        <v>4.007426461923324</v>
      </c>
      <c r="Z114" s="10" t="n">
        <v>4.028421284959734</v>
      </c>
      <c r="AA114" s="10" t="n">
        <v>4.047570865195885</v>
      </c>
      <c r="AB114" s="10" t="n">
        <v>4.065006101128999</v>
      </c>
      <c r="AC114" s="10" t="n">
        <v>4.080853151636838</v>
      </c>
      <c r="AD114" s="10" t="n">
        <v>4.095233839640567</v>
      </c>
      <c r="AE114" s="10" t="n">
        <v>4.108266032717945</v>
      </c>
      <c r="AF114" s="10" t="n">
        <v>4.120062056596581</v>
      </c>
      <c r="AG114" s="10" t="n">
        <v>4.130725906535028</v>
      </c>
      <c r="AH114" s="10" t="n">
        <v>4.14035354267673</v>
      </c>
      <c r="AI114" s="10" t="n">
        <v>4.149033726156541</v>
      </c>
      <c r="AJ114" s="10" t="n">
        <v>4.156848697533292</v>
      </c>
      <c r="AK114" s="10" t="n">
        <v>4.163873394149755</v>
      </c>
    </row>
    <row r="115">
      <c r="A115" s="9" t="n">
        <v>-10</v>
      </c>
      <c r="B115" s="7" t="n">
        <v>40458</v>
      </c>
      <c r="C115" s="10" t="n">
        <v>0.7844994252075964</v>
      </c>
      <c r="D115" s="10" t="n">
        <v>0.931681063356278</v>
      </c>
      <c r="E115" s="10" t="n">
        <v>1.096626072965621</v>
      </c>
      <c r="F115" s="10" t="n">
        <v>1.270850436913791</v>
      </c>
      <c r="G115" s="10" t="n">
        <v>1.448231086311142</v>
      </c>
      <c r="H115" s="10" t="n">
        <v>1.624649908228541</v>
      </c>
      <c r="I115" s="10" t="n">
        <v>1.797458840349094</v>
      </c>
      <c r="J115" s="10" t="n">
        <v>1.964945836834809</v>
      </c>
      <c r="K115" s="10" t="n">
        <v>2.125960804819523</v>
      </c>
      <c r="L115" s="10" t="n">
        <v>2.279719380253504</v>
      </c>
      <c r="M115" s="10" t="n">
        <v>3.584740060632346</v>
      </c>
      <c r="N115" s="10" t="n">
        <v>3.641528159875285</v>
      </c>
      <c r="O115" s="10" t="n">
        <v>3.693952405441176</v>
      </c>
      <c r="P115" s="10" t="n">
        <v>3.742328645521899</v>
      </c>
      <c r="Q115" s="10" t="n">
        <v>3.786955336349153</v>
      </c>
      <c r="R115" s="10" t="n">
        <v>3.828108398802545</v>
      </c>
      <c r="S115" s="10" t="n">
        <v>3.866035513605151</v>
      </c>
      <c r="T115" s="10" t="n">
        <v>3.900959370616825</v>
      </c>
      <c r="U115" s="10" t="n">
        <v>3.933081343926873</v>
      </c>
      <c r="V115" s="10" t="n">
        <v>3.962584604442211</v>
      </c>
      <c r="W115" s="10" t="n">
        <v>3.989638305889858</v>
      </c>
      <c r="X115" s="10" t="n">
        <v>4.014402299928677</v>
      </c>
      <c r="Y115" s="10" t="n">
        <v>4.03702871780255</v>
      </c>
      <c r="Z115" s="10" t="n">
        <v>4.057662711230732</v>
      </c>
      <c r="AA115" s="10" t="n">
        <v>4.076443280259601</v>
      </c>
      <c r="AB115" s="10" t="n">
        <v>4.093504017270496</v>
      </c>
      <c r="AC115" s="10" t="n">
        <v>4.108973599791168</v>
      </c>
      <c r="AD115" s="10" t="n">
        <v>4.122976103579276</v>
      </c>
      <c r="AE115" s="10" t="n">
        <v>4.13563139184635</v>
      </c>
      <c r="AF115" s="10" t="n">
        <v>4.147053547977644</v>
      </c>
      <c r="AG115" s="10" t="n">
        <v>4.157348137798222</v>
      </c>
      <c r="AH115" s="10" t="n">
        <v>4.166612537387133</v>
      </c>
      <c r="AI115" s="10" t="n">
        <v>4.174936785370941</v>
      </c>
      <c r="AJ115" s="10" t="n">
        <v>4.182404273678517</v>
      </c>
      <c r="AK115" s="10" t="n">
        <v>4.189090961579796</v>
      </c>
    </row>
    <row r="116">
      <c r="A116" s="9" t="n">
        <v>-9</v>
      </c>
      <c r="B116" s="7" t="n">
        <v>40459</v>
      </c>
      <c r="C116" s="10" t="n">
        <v>0.747505861861459</v>
      </c>
      <c r="D116" s="10" t="n">
        <v>0.8911936091245767</v>
      </c>
      <c r="E116" s="10" t="n">
        <v>1.0533712328181</v>
      </c>
      <c r="F116" s="10" t="n">
        <v>1.225071506930641</v>
      </c>
      <c r="G116" s="10" t="n">
        <v>1.399993241767473</v>
      </c>
      <c r="H116" s="10" t="n">
        <v>1.573978014123548</v>
      </c>
      <c r="I116" s="10" t="n">
        <v>1.744400922407588</v>
      </c>
      <c r="J116" s="10" t="n">
        <v>1.909601580964496</v>
      </c>
      <c r="K116" s="10" t="n">
        <v>2.068488632428934</v>
      </c>
      <c r="L116" s="10" t="n">
        <v>2.220329096939063</v>
      </c>
      <c r="M116" s="10" t="n">
        <v>3.523211424144198</v>
      </c>
      <c r="N116" s="10" t="n">
        <v>3.581064165594392</v>
      </c>
      <c r="O116" s="10" t="n">
        <v>3.634612612088544</v>
      </c>
      <c r="P116" s="10" t="n">
        <v>3.684148101186048</v>
      </c>
      <c r="Q116" s="10" t="n">
        <v>3.729944904895724</v>
      </c>
      <c r="R116" s="10" t="n">
        <v>3.772256351212395</v>
      </c>
      <c r="S116" s="10" t="n">
        <v>3.811310673251362</v>
      </c>
      <c r="T116" s="10" t="n">
        <v>3.84731402064754</v>
      </c>
      <c r="U116" s="10" t="n">
        <v>3.880453707114631</v>
      </c>
      <c r="V116" s="10" t="n">
        <v>3.910901008403466</v>
      </c>
      <c r="W116" s="10" t="n">
        <v>3.938815868066363</v>
      </c>
      <c r="X116" s="10" t="n">
        <v>3.964352486228925</v>
      </c>
      <c r="Y116" s="10" t="n">
        <v>3.987660329785975</v>
      </c>
      <c r="Z116" s="10" t="n">
        <v>4.008884011631096</v>
      </c>
      <c r="AA116" s="10" t="n">
        <v>4.028163772708859</v>
      </c>
      <c r="AB116" s="10" t="n">
        <v>4.045636001423058</v>
      </c>
      <c r="AC116" s="10" t="n">
        <v>4.061433376709243</v>
      </c>
      <c r="AD116" s="10" t="n">
        <v>4.075684778289969</v>
      </c>
      <c r="AE116" s="10" t="n">
        <v>4.088515525510751</v>
      </c>
      <c r="AF116" s="10" t="n">
        <v>4.100045501938594</v>
      </c>
      <c r="AG116" s="10" t="n">
        <v>4.110386123188394</v>
      </c>
      <c r="AH116" s="10" t="n">
        <v>4.119640641167135</v>
      </c>
      <c r="AI116" s="10" t="n">
        <v>4.127904993800785</v>
      </c>
      <c r="AJ116" s="10" t="n">
        <v>4.135268482507073</v>
      </c>
      <c r="AK116" s="10" t="n">
        <v>4.141812814522159</v>
      </c>
    </row>
    <row r="117">
      <c r="A117" s="9" t="n">
        <v>-8</v>
      </c>
      <c r="B117" s="7" t="n">
        <v>40462</v>
      </c>
      <c r="C117" s="10" t="n">
        <v>0.7645388350703881</v>
      </c>
      <c r="D117" s="10" t="n">
        <v>0.9082057718949417</v>
      </c>
      <c r="E117" s="10" t="n">
        <v>1.0699385906982</v>
      </c>
      <c r="F117" s="10" t="n">
        <v>1.241165727310173</v>
      </c>
      <c r="G117" s="10" t="n">
        <v>1.415729300982343</v>
      </c>
      <c r="H117" s="10" t="n">
        <v>1.589512850664507</v>
      </c>
      <c r="I117" s="10" t="n">
        <v>1.759887953877622</v>
      </c>
      <c r="J117" s="10" t="n">
        <v>1.925176350872716</v>
      </c>
      <c r="K117" s="10" t="n">
        <v>2.084267445818715</v>
      </c>
      <c r="L117" s="10" t="n">
        <v>2.236412698024751</v>
      </c>
      <c r="M117" s="10" t="n">
        <v>3.552250086912719</v>
      </c>
      <c r="N117" s="10" t="n">
        <v>3.611630284168527</v>
      </c>
      <c r="O117" s="10" t="n">
        <v>3.666712775039632</v>
      </c>
      <c r="P117" s="10" t="n">
        <v>3.717772304584197</v>
      </c>
      <c r="Q117" s="10" t="n">
        <v>3.765066883303694</v>
      </c>
      <c r="R117" s="10" t="n">
        <v>3.808835135454509</v>
      </c>
      <c r="S117" s="10" t="n">
        <v>3.849293409672238</v>
      </c>
      <c r="T117" s="10" t="n">
        <v>3.886638533253932</v>
      </c>
      <c r="U117" s="10" t="n">
        <v>3.921050682936675</v>
      </c>
      <c r="V117" s="10" t="n">
        <v>3.952695888174957</v>
      </c>
      <c r="W117" s="10" t="n">
        <v>3.981730823206182</v>
      </c>
      <c r="X117" s="10" t="n">
        <v>4.008308637579469</v>
      </c>
      <c r="Y117" s="10" t="n">
        <v>4.03257954355878</v>
      </c>
      <c r="Z117" s="10" t="n">
        <v>4.054690134513668</v>
      </c>
      <c r="AA117" s="10" t="n">
        <v>4.07478365853582</v>
      </c>
      <c r="AB117" s="10" t="n">
        <v>4.093000403990568</v>
      </c>
      <c r="AC117" s="10" t="n">
        <v>4.109477546675417</v>
      </c>
      <c r="AD117" s="10" t="n">
        <v>4.124348687485171</v>
      </c>
      <c r="AE117" s="10" t="n">
        <v>4.137744005227598</v>
      </c>
      <c r="AF117" s="10" t="n">
        <v>4.149788183319767</v>
      </c>
      <c r="AG117" s="10" t="n">
        <v>4.160597139543718</v>
      </c>
      <c r="AH117" s="10" t="n">
        <v>4.170278330683711</v>
      </c>
      <c r="AI117" s="10" t="n">
        <v>4.178931633240402</v>
      </c>
      <c r="AJ117" s="10" t="n">
        <v>4.186650041744503</v>
      </c>
      <c r="AK117" s="10" t="n">
        <v>4.193518621573971</v>
      </c>
    </row>
    <row r="118">
      <c r="A118" s="9" t="n">
        <v>-7</v>
      </c>
      <c r="B118" s="7" t="n">
        <v>40463</v>
      </c>
      <c r="C118" s="10" t="n">
        <v>0.7515450658746227</v>
      </c>
      <c r="D118" s="10" t="n">
        <v>0.8894973423110469</v>
      </c>
      <c r="E118" s="10" t="n">
        <v>1.046396741897701</v>
      </c>
      <c r="F118" s="10" t="n">
        <v>1.213718465014721</v>
      </c>
      <c r="G118" s="10" t="n">
        <v>1.38520590501107</v>
      </c>
      <c r="H118" s="10" t="n">
        <v>1.556614153756746</v>
      </c>
      <c r="I118" s="10" t="n">
        <v>1.725191554827824</v>
      </c>
      <c r="J118" s="10" t="n">
        <v>1.889159243613963</v>
      </c>
      <c r="K118" s="10" t="n">
        <v>2.047328064027881</v>
      </c>
      <c r="L118" s="10" t="n">
        <v>2.198889311647151</v>
      </c>
      <c r="M118" s="10" t="n">
        <v>3.52475296542759</v>
      </c>
      <c r="N118" s="10" t="n">
        <v>3.585541158851881</v>
      </c>
      <c r="O118" s="10" t="n">
        <v>3.642045368056952</v>
      </c>
      <c r="P118" s="10" t="n">
        <v>3.694530713832098</v>
      </c>
      <c r="Q118" s="10" t="n">
        <v>3.743246595244041</v>
      </c>
      <c r="R118" s="10" t="n">
        <v>3.788424023381002</v>
      </c>
      <c r="S118" s="10" t="n">
        <v>3.830272809498561</v>
      </c>
      <c r="T118" s="10" t="n">
        <v>3.868984190013242</v>
      </c>
      <c r="U118" s="10" t="n">
        <v>3.904733558092225</v>
      </c>
      <c r="V118" s="10" t="n">
        <v>3.937682854511525</v>
      </c>
      <c r="W118" s="10" t="n">
        <v>3.967985273116435</v>
      </c>
      <c r="X118" s="10" t="n">
        <v>3.995790972952906</v>
      </c>
      <c r="Y118" s="10" t="n">
        <v>4.021247655062047</v>
      </c>
      <c r="Z118" s="10" t="n">
        <v>4.044499946421888</v>
      </c>
      <c r="AA118" s="10" t="n">
        <v>4.065689629117809</v>
      </c>
      <c r="AB118" s="10" t="n">
        <v>4.084955967000754</v>
      </c>
      <c r="AC118" s="10" t="n">
        <v>4.102435556633914</v>
      </c>
      <c r="AD118" s="10" t="n">
        <v>4.118261913839852</v>
      </c>
      <c r="AE118" s="10" t="n">
        <v>4.13256558394166</v>
      </c>
      <c r="AF118" s="10" t="n">
        <v>4.145471955927795</v>
      </c>
      <c r="AG118" s="10" t="n">
        <v>4.157097904180126</v>
      </c>
      <c r="AH118" s="10" t="n">
        <v>4.167552067106819</v>
      </c>
      <c r="AI118" s="10" t="n">
        <v>4.176935704468552</v>
      </c>
      <c r="AJ118" s="10" t="n">
        <v>4.185343371105723</v>
      </c>
      <c r="AK118" s="10" t="n">
        <v>4.192861795422359</v>
      </c>
    </row>
    <row r="119">
      <c r="A119" s="9" t="n">
        <v>-6</v>
      </c>
      <c r="B119" s="7" t="n">
        <v>40464</v>
      </c>
      <c r="C119" s="10" t="n">
        <v>0.7665328908295224</v>
      </c>
      <c r="D119" s="10" t="n">
        <v>0.906303898733957</v>
      </c>
      <c r="E119" s="10" t="n">
        <v>1.064849759695886</v>
      </c>
      <c r="F119" s="10" t="n">
        <v>1.233719487854288</v>
      </c>
      <c r="G119" s="10" t="n">
        <v>1.406700210511101</v>
      </c>
      <c r="H119" s="10" t="n">
        <v>1.579570851989394</v>
      </c>
      <c r="I119" s="10" t="n">
        <v>1.749584072439773</v>
      </c>
      <c r="J119" s="10" t="n">
        <v>1.914954728228864</v>
      </c>
      <c r="K119" s="10" t="n">
        <v>2.074480977244551</v>
      </c>
      <c r="L119" s="10" t="n">
        <v>2.227335595560504</v>
      </c>
      <c r="M119" s="10" t="n">
        <v>3.55722125709826</v>
      </c>
      <c r="N119" s="10" t="n">
        <v>3.617507358453747</v>
      </c>
      <c r="O119" s="10" t="n">
        <v>3.673503242913494</v>
      </c>
      <c r="P119" s="10" t="n">
        <v>3.725498239182722</v>
      </c>
      <c r="Q119" s="10" t="n">
        <v>3.773765031818366</v>
      </c>
      <c r="R119" s="10" t="n">
        <v>3.818555080977867</v>
      </c>
      <c r="S119" s="10" t="n">
        <v>3.860094094576182</v>
      </c>
      <c r="T119" s="10" t="n">
        <v>3.89858513261003</v>
      </c>
      <c r="U119" s="10" t="n">
        <v>3.934211937730195</v>
      </c>
      <c r="V119" s="10" t="n">
        <v>3.967141797087261</v>
      </c>
      <c r="W119" s="10" t="n">
        <v>3.997530057999242</v>
      </c>
      <c r="X119" s="10" t="n">
        <v>4.025525273784184</v>
      </c>
      <c r="Y119" s="10" t="n">
        <v>4.051270534981538</v>
      </c>
      <c r="Z119" s="10" t="n">
        <v>4.074903943952466</v>
      </c>
      <c r="AA119" s="10" t="n">
        <v>4.096559201263807</v>
      </c>
      <c r="AB119" s="10" t="n">
        <v>4.116366140376326</v>
      </c>
      <c r="AC119" s="10" t="n">
        <v>4.134451142557843</v>
      </c>
      <c r="AD119" s="10" t="n">
        <v>4.150937465890993</v>
      </c>
      <c r="AE119" s="10" t="n">
        <v>4.165945478319226</v>
      </c>
      <c r="AF119" s="10" t="n">
        <v>4.17959070130967</v>
      </c>
      <c r="AG119" s="10" t="n">
        <v>4.191980831278594</v>
      </c>
      <c r="AH119" s="10" t="n">
        <v>4.203216018991501</v>
      </c>
      <c r="AI119" s="10" t="n">
        <v>4.213389655092976</v>
      </c>
      <c r="AJ119" s="10" t="n">
        <v>4.222588985046265</v>
      </c>
      <c r="AK119" s="10" t="n">
        <v>4.230894062666505</v>
      </c>
    </row>
    <row r="120">
      <c r="A120" s="9" t="n">
        <v>-5</v>
      </c>
      <c r="B120" s="7" t="n">
        <v>40465</v>
      </c>
      <c r="C120" s="10" t="n">
        <v>0.7653811552332183</v>
      </c>
      <c r="D120" s="10" t="n">
        <v>0.9052801030076673</v>
      </c>
      <c r="E120" s="10" t="n">
        <v>1.063849087640768</v>
      </c>
      <c r="F120" s="10" t="n">
        <v>1.232709214905084</v>
      </c>
      <c r="G120" s="10" t="n">
        <v>1.405669479214904</v>
      </c>
      <c r="H120" s="10" t="n">
        <v>1.578518510843268</v>
      </c>
      <c r="I120" s="10" t="n">
        <v>1.748514968603383</v>
      </c>
      <c r="J120" s="10" t="n">
        <v>1.913882613075458</v>
      </c>
      <c r="K120" s="10" t="n">
        <v>2.07342781758791</v>
      </c>
      <c r="L120" s="10" t="n">
        <v>2.226331195557382</v>
      </c>
      <c r="M120" s="10" t="n">
        <v>3.559138258912246</v>
      </c>
      <c r="N120" s="10" t="n">
        <v>3.619578819653132</v>
      </c>
      <c r="O120" s="10" t="n">
        <v>3.675699688779551</v>
      </c>
      <c r="P120" s="10" t="n">
        <v>3.727792480494379</v>
      </c>
      <c r="Q120" s="10" t="n">
        <v>3.776133056935986</v>
      </c>
      <c r="R120" s="10" t="n">
        <v>3.820976293675808</v>
      </c>
      <c r="S120" s="10" t="n">
        <v>3.862551064213916</v>
      </c>
      <c r="T120" s="10" t="n">
        <v>3.901063349460713</v>
      </c>
      <c r="U120" s="10" t="n">
        <v>3.936699604291648</v>
      </c>
      <c r="V120" s="10" t="n">
        <v>3.969629641013044</v>
      </c>
      <c r="W120" s="10" t="n">
        <v>4.00001095299729</v>
      </c>
      <c r="X120" s="10" t="n">
        <v>4.027993530192004</v>
      </c>
      <c r="Y120" s="10" t="n">
        <v>4.053721267492826</v>
      </c>
      <c r="Z120" s="10" t="n">
        <v>4.07733260777278</v>
      </c>
      <c r="AA120" s="10" t="n">
        <v>4.098961200920675</v>
      </c>
      <c r="AB120" s="10" t="n">
        <v>4.118736487564369</v>
      </c>
      <c r="AC120" s="10" t="n">
        <v>4.136784183751554</v>
      </c>
      <c r="AD120" s="10" t="n">
        <v>4.153226688193106</v>
      </c>
      <c r="AE120" s="10" t="n">
        <v>4.16818334653968</v>
      </c>
      <c r="AF120" s="10" t="n">
        <v>4.181768585445784</v>
      </c>
      <c r="AG120" s="10" t="n">
        <v>4.194089093491454</v>
      </c>
      <c r="AH120" s="10" t="n">
        <v>4.205244122782195</v>
      </c>
      <c r="AI120" s="10" t="n">
        <v>4.215326263171499</v>
      </c>
      <c r="AJ120" s="10" t="n">
        <v>4.224422048820429</v>
      </c>
      <c r="AK120" s="10" t="n">
        <v>4.232610969976335</v>
      </c>
    </row>
    <row r="121">
      <c r="A121" s="9" t="n">
        <v>-4</v>
      </c>
      <c r="B121" s="7" t="n">
        <v>40466</v>
      </c>
      <c r="C121" s="10" t="n">
        <v>0.796204640860031</v>
      </c>
      <c r="D121" s="10" t="n">
        <v>0.938718412709498</v>
      </c>
      <c r="E121" s="10" t="n">
        <v>1.099908825526931</v>
      </c>
      <c r="F121" s="10" t="n">
        <v>1.271516987035028</v>
      </c>
      <c r="G121" s="10" t="n">
        <v>1.447305376187771</v>
      </c>
      <c r="H121" s="10" t="n">
        <v>1.623004473540141</v>
      </c>
      <c r="I121" s="10" t="n">
        <v>1.795815732551741</v>
      </c>
      <c r="J121" s="10" t="n">
        <v>1.963904802113406</v>
      </c>
      <c r="K121" s="10" t="n">
        <v>2.12602536657981</v>
      </c>
      <c r="L121" s="10" t="n">
        <v>2.281317452899068</v>
      </c>
      <c r="M121" s="10" t="n">
        <v>3.630819900999382</v>
      </c>
      <c r="N121" s="10" t="n">
        <v>3.692154443851914</v>
      </c>
      <c r="O121" s="10" t="n">
        <v>3.749184711298081</v>
      </c>
      <c r="P121" s="10" t="n">
        <v>3.802205020082587</v>
      </c>
      <c r="Q121" s="10" t="n">
        <v>3.851491993817989</v>
      </c>
      <c r="R121" s="10" t="n">
        <v>3.897299320802364</v>
      </c>
      <c r="S121" s="10" t="n">
        <v>3.939853007526053</v>
      </c>
      <c r="T121" s="10" t="n">
        <v>3.979354777600563</v>
      </c>
      <c r="U121" s="10" t="n">
        <v>4.015985642769754</v>
      </c>
      <c r="V121" s="10" t="n">
        <v>4.049908979839527</v>
      </c>
      <c r="W121" s="10" t="n">
        <v>4.08127536635784</v>
      </c>
      <c r="X121" s="10" t="n">
        <v>4.110227921897509</v>
      </c>
      <c r="Y121" s="10" t="n">
        <v>4.136903886441173</v>
      </c>
      <c r="Z121" s="10" t="n">
        <v>4.161435433005845</v>
      </c>
      <c r="AA121" s="10" t="n">
        <v>4.183950310060898</v>
      </c>
      <c r="AB121" s="10" t="n">
        <v>4.204572389367899</v>
      </c>
      <c r="AC121" s="10" t="n">
        <v>4.223422294963471</v>
      </c>
      <c r="AD121" s="10" t="n">
        <v>4.240618035106627</v>
      </c>
      <c r="AE121" s="10" t="n">
        <v>4.256275223773724</v>
      </c>
      <c r="AF121" s="10" t="n">
        <v>4.270505132538473</v>
      </c>
      <c r="AG121" s="10" t="n">
        <v>4.28341191369461</v>
      </c>
      <c r="AH121" s="10" t="n">
        <v>4.295092873720313</v>
      </c>
      <c r="AI121" s="10" t="n">
        <v>4.305639186097568</v>
      </c>
      <c r="AJ121" s="10" t="n">
        <v>4.315136439213456</v>
      </c>
      <c r="AK121" s="10" t="n">
        <v>4.323663595450628</v>
      </c>
    </row>
    <row r="122">
      <c r="A122" s="9" t="n">
        <v>-3</v>
      </c>
      <c r="B122" s="7" t="n">
        <v>40469</v>
      </c>
      <c r="C122" s="10" t="n">
        <v>0.7859392194151674</v>
      </c>
      <c r="D122" s="10" t="n">
        <v>0.9289727129559786</v>
      </c>
      <c r="E122" s="10" t="n">
        <v>1.0915517392896</v>
      </c>
      <c r="F122" s="10" t="n">
        <v>1.265166434713856</v>
      </c>
      <c r="G122" s="10" t="n">
        <v>1.443397971211821</v>
      </c>
      <c r="H122" s="10" t="n">
        <v>1.621836223117801</v>
      </c>
      <c r="I122" s="10" t="n">
        <v>1.797561952498278</v>
      </c>
      <c r="J122" s="10" t="n">
        <v>1.968630461025134</v>
      </c>
      <c r="K122" s="10" t="n">
        <v>2.133694719754698</v>
      </c>
      <c r="L122" s="10" t="n">
        <v>2.291807691846493</v>
      </c>
      <c r="M122" s="10" t="n">
        <v>3.655834154743359</v>
      </c>
      <c r="N122" s="10" t="n">
        <v>3.716892437236219</v>
      </c>
      <c r="O122" s="10" t="n">
        <v>3.773534055568029</v>
      </c>
      <c r="P122" s="10" t="n">
        <v>3.826068296248522</v>
      </c>
      <c r="Q122" s="10" t="n">
        <v>3.874785915038198</v>
      </c>
      <c r="R122" s="10" t="n">
        <v>3.919953532462334</v>
      </c>
      <c r="S122" s="10" t="n">
        <v>3.961808668946258</v>
      </c>
      <c r="T122" s="10" t="n">
        <v>4.000563333003277</v>
      </c>
      <c r="U122" s="10" t="n">
        <v>4.03640777298628</v>
      </c>
      <c r="V122" s="10" t="n">
        <v>4.069513709604039</v>
      </c>
      <c r="W122" s="10" t="n">
        <v>4.100039366657601</v>
      </c>
      <c r="X122" s="10" t="n">
        <v>4.128134964385699</v>
      </c>
      <c r="Y122" s="10" t="n">
        <v>4.15394426052462</v>
      </c>
      <c r="Z122" s="10" t="n">
        <v>4.17760527108886</v>
      </c>
      <c r="AA122" s="10" t="n">
        <v>4.199250971569924</v>
      </c>
      <c r="AB122" s="10" t="n">
        <v>4.219009917346288</v>
      </c>
      <c r="AC122" s="10" t="n">
        <v>4.237006883859887</v>
      </c>
      <c r="AD122" s="10" t="n">
        <v>4.253363477154589</v>
      </c>
      <c r="AE122" s="10" t="n">
        <v>4.268198402498276</v>
      </c>
      <c r="AF122" s="10" t="n">
        <v>4.281625566542358</v>
      </c>
      <c r="AG122" s="10" t="n">
        <v>4.293751379928723</v>
      </c>
      <c r="AH122" s="10" t="n">
        <v>4.304675082181682</v>
      </c>
      <c r="AI122" s="10" t="n">
        <v>4.314489488446584</v>
      </c>
      <c r="AJ122" s="10" t="n">
        <v>4.323281564226291</v>
      </c>
      <c r="AK122" s="10" t="n">
        <v>4.331131382828974</v>
      </c>
    </row>
    <row r="123">
      <c r="A123" s="9" t="n">
        <v>-2</v>
      </c>
      <c r="B123" s="7" t="n">
        <v>40470</v>
      </c>
      <c r="C123" s="10" t="n">
        <v>0.7720262007923585</v>
      </c>
      <c r="D123" s="10" t="n">
        <v>0.9164685179979279</v>
      </c>
      <c r="E123" s="10" t="n">
        <v>1.082082579846007</v>
      </c>
      <c r="F123" s="10" t="n">
        <v>1.259606727143245</v>
      </c>
      <c r="G123" s="10" t="n">
        <v>1.442194906371927</v>
      </c>
      <c r="H123" s="10" t="n">
        <v>1.625196981980189</v>
      </c>
      <c r="I123" s="10" t="n">
        <v>1.805546651575955</v>
      </c>
      <c r="J123" s="10" t="n">
        <v>1.981193692368858</v>
      </c>
      <c r="K123" s="10" t="n">
        <v>2.15070702330906</v>
      </c>
      <c r="L123" s="10" t="n">
        <v>2.313070082088263</v>
      </c>
      <c r="M123" s="10" t="n">
        <v>3.707549540183017</v>
      </c>
      <c r="N123" s="10" t="n">
        <v>3.769480269608427</v>
      </c>
      <c r="O123" s="10" t="n">
        <v>3.826866240343428</v>
      </c>
      <c r="P123" s="10" t="n">
        <v>3.880028083490636</v>
      </c>
      <c r="Q123" s="10" t="n">
        <v>3.929266796286295</v>
      </c>
      <c r="R123" s="10" t="n">
        <v>3.974858163736965</v>
      </c>
      <c r="S123" s="10" t="n">
        <v>4.017047914232253</v>
      </c>
      <c r="T123" s="10" t="n">
        <v>4.05605546118489</v>
      </c>
      <c r="U123" s="10" t="n">
        <v>4.092077772880209</v>
      </c>
      <c r="V123" s="10" t="n">
        <v>4.125292721542093</v>
      </c>
      <c r="W123" s="10" t="n">
        <v>4.155864511308852</v>
      </c>
      <c r="X123" s="10" t="n">
        <v>4.183949610206865</v>
      </c>
      <c r="Y123" s="10" t="n">
        <v>4.209698099837698</v>
      </c>
      <c r="Z123" s="10" t="n">
        <v>4.233254073728951</v>
      </c>
      <c r="AA123" s="10" t="n">
        <v>4.254756322493552</v>
      </c>
      <c r="AB123" s="10" t="n">
        <v>4.274338981783321</v>
      </c>
      <c r="AC123" s="10" t="n">
        <v>4.292132111813072</v>
      </c>
      <c r="AD123" s="10" t="n">
        <v>4.308262208851444</v>
      </c>
      <c r="AE123" s="10" t="n">
        <v>4.322852493267284</v>
      </c>
      <c r="AF123" s="10" t="n">
        <v>4.336021002987001</v>
      </c>
      <c r="AG123" s="10" t="n">
        <v>4.347877903869581</v>
      </c>
      <c r="AH123" s="10" t="n">
        <v>4.358525856508187</v>
      </c>
      <c r="AI123" s="10" t="n">
        <v>4.368060797801959</v>
      </c>
      <c r="AJ123" s="10" t="n">
        <v>4.376572542051623</v>
      </c>
      <c r="AK123" s="10" t="n">
        <v>4.384143713644682</v>
      </c>
    </row>
    <row r="124">
      <c r="A124" s="9" t="n">
        <v>-1</v>
      </c>
      <c r="B124" s="7" t="n">
        <v>40471</v>
      </c>
      <c r="C124" s="10" t="n">
        <v>0.7249410622508201</v>
      </c>
      <c r="D124" s="10" t="n">
        <v>0.861672983996948</v>
      </c>
      <c r="E124" s="10" t="n">
        <v>1.023309888705249</v>
      </c>
      <c r="F124" s="10" t="n">
        <v>1.19960604236388</v>
      </c>
      <c r="G124" s="10" t="n">
        <v>1.382992332767487</v>
      </c>
      <c r="H124" s="10" t="n">
        <v>1.568286174855401</v>
      </c>
      <c r="I124" s="10" t="n">
        <v>1.752009103587943</v>
      </c>
      <c r="J124" s="10" t="n">
        <v>1.931777963851466</v>
      </c>
      <c r="K124" s="10" t="n">
        <v>2.105885949479009</v>
      </c>
      <c r="L124" s="10" t="n">
        <v>2.273085787307969</v>
      </c>
      <c r="M124" s="10" t="n">
        <v>3.704420417910984</v>
      </c>
      <c r="N124" s="10" t="n">
        <v>3.766482489696751</v>
      </c>
      <c r="O124" s="10" t="n">
        <v>3.82374807066827</v>
      </c>
      <c r="P124" s="10" t="n">
        <v>3.876577894559286</v>
      </c>
      <c r="Q124" s="10" t="n">
        <v>3.925312922186139</v>
      </c>
      <c r="R124" s="10" t="n">
        <v>3.970266325708587</v>
      </c>
      <c r="S124" s="10" t="n">
        <v>4.011716710971506</v>
      </c>
      <c r="T124" s="10" t="n">
        <v>4.049912342664868</v>
      </c>
      <c r="U124" s="10" t="n">
        <v>4.085075606258271</v>
      </c>
      <c r="V124" s="10" t="n">
        <v>4.117406828204446</v>
      </c>
      <c r="W124" s="10" t="n">
        <v>4.147089692724971</v>
      </c>
      <c r="X124" s="10" t="n">
        <v>4.174296907336799</v>
      </c>
      <c r="Y124" s="10" t="n">
        <v>4.199191823567202</v>
      </c>
      <c r="Z124" s="10" t="n">
        <v>4.221929150914141</v>
      </c>
      <c r="AA124" s="10" t="n">
        <v>4.242655965013737</v>
      </c>
      <c r="AB124" s="10" t="n">
        <v>4.261512639980324</v>
      </c>
      <c r="AC124" s="10" t="n">
        <v>4.278633673516623</v>
      </c>
      <c r="AD124" s="10" t="n">
        <v>4.294148410227522</v>
      </c>
      <c r="AE124" s="10" t="n">
        <v>4.30818151537306</v>
      </c>
      <c r="AF124" s="10" t="n">
        <v>4.320851353503069</v>
      </c>
      <c r="AG124" s="10" t="n">
        <v>4.332267641944833</v>
      </c>
      <c r="AH124" s="10" t="n">
        <v>4.342531938467533</v>
      </c>
      <c r="AI124" s="10" t="n">
        <v>4.351738491049432</v>
      </c>
      <c r="AJ124" s="10" t="n">
        <v>4.359974901284768</v>
      </c>
      <c r="AK124" s="10" t="n">
        <v>4.367321189425856</v>
      </c>
    </row>
    <row r="125">
      <c r="A125" s="9" t="n">
        <v>0</v>
      </c>
      <c r="B125" s="7" t="n">
        <v>40472</v>
      </c>
      <c r="C125" s="10" t="n">
        <v>0.6978729271341153</v>
      </c>
      <c r="D125" s="10" t="n">
        <v>0.8259083533414142</v>
      </c>
      <c r="E125" s="10" t="n">
        <v>0.9806089589515902</v>
      </c>
      <c r="F125" s="10" t="n">
        <v>1.151655644973797</v>
      </c>
      <c r="G125" s="10" t="n">
        <v>1.33128599061432</v>
      </c>
      <c r="H125" s="10" t="n">
        <v>1.514078346485422</v>
      </c>
      <c r="I125" s="10" t="n">
        <v>1.696308086156483</v>
      </c>
      <c r="J125" s="10" t="n">
        <v>1.875363950013097</v>
      </c>
      <c r="K125" s="10" t="n">
        <v>2.049337380274256</v>
      </c>
      <c r="L125" s="10" t="n">
        <v>2.216808071665384</v>
      </c>
      <c r="M125" s="10" t="n">
        <v>3.653651976171119</v>
      </c>
      <c r="N125" s="10" t="n">
        <v>3.715668863793296</v>
      </c>
      <c r="O125" s="10" t="n">
        <v>3.772854535687386</v>
      </c>
      <c r="P125" s="10" t="n">
        <v>3.825579042098881</v>
      </c>
      <c r="Q125" s="10" t="n">
        <v>3.874191985298089</v>
      </c>
      <c r="R125" s="10" t="n">
        <v>3.919013751954272</v>
      </c>
      <c r="S125" s="10" t="n">
        <v>3.960328247689643</v>
      </c>
      <c r="T125" s="10" t="n">
        <v>3.998387364742212</v>
      </c>
      <c r="U125" s="10" t="n">
        <v>4.03341568981641</v>
      </c>
      <c r="V125" s="10" t="n">
        <v>4.065614535916008</v>
      </c>
      <c r="W125" s="10" t="n">
        <v>4.095167632284507</v>
      </c>
      <c r="X125" s="10" t="n">
        <v>4.122247027584089</v>
      </c>
      <c r="Y125" s="10" t="n">
        <v>4.147014828753743</v>
      </c>
      <c r="Z125" s="10" t="n">
        <v>4.169624020075988</v>
      </c>
      <c r="AA125" s="10" t="n">
        <v>4.190219536852304</v>
      </c>
      <c r="AB125" s="10" t="n">
        <v>4.208939257731242</v>
      </c>
      <c r="AC125" s="10" t="n">
        <v>4.225915047783358</v>
      </c>
      <c r="AD125" s="10" t="n">
        <v>4.241273751620346</v>
      </c>
      <c r="AE125" s="10" t="n">
        <v>4.25513769415338</v>
      </c>
      <c r="AF125" s="10" t="n">
        <v>4.267623168517552</v>
      </c>
      <c r="AG125" s="10" t="n">
        <v>4.278838273961096</v>
      </c>
      <c r="AH125" s="10" t="n">
        <v>4.288883391571166</v>
      </c>
      <c r="AI125" s="10" t="n">
        <v>4.297851988096103</v>
      </c>
      <c r="AJ125" s="10" t="n">
        <v>4.305831240838147</v>
      </c>
      <c r="AK125" s="10" t="n">
        <v>4.312901131696963</v>
      </c>
    </row>
    <row r="126">
      <c r="A126" s="9" t="n">
        <v>1</v>
      </c>
      <c r="B126" s="7" t="n">
        <v>40473</v>
      </c>
      <c r="C126" s="10" t="n">
        <v>0.7398097164117826</v>
      </c>
      <c r="D126" s="10" t="n">
        <v>0.8684455149503199</v>
      </c>
      <c r="E126" s="10" t="n">
        <v>1.021960501336801</v>
      </c>
      <c r="F126" s="10" t="n">
        <v>1.190957050213759</v>
      </c>
      <c r="G126" s="10" t="n">
        <v>1.368122773262587</v>
      </c>
      <c r="H126" s="10" t="n">
        <v>1.54828811976378</v>
      </c>
      <c r="I126" s="10" t="n">
        <v>1.727884298001507</v>
      </c>
      <c r="J126" s="10" t="n">
        <v>1.904398075716966</v>
      </c>
      <c r="K126" s="10" t="n">
        <v>2.075987118422483</v>
      </c>
      <c r="L126" s="10" t="n">
        <v>2.241277831179648</v>
      </c>
      <c r="M126" s="10" t="n">
        <v>3.669399280251056</v>
      </c>
      <c r="N126" s="10" t="n">
        <v>3.731802798843168</v>
      </c>
      <c r="O126" s="10" t="n">
        <v>3.789448763195459</v>
      </c>
      <c r="P126" s="10" t="n">
        <v>3.842694022270218</v>
      </c>
      <c r="Q126" s="10" t="n">
        <v>3.89187555783333</v>
      </c>
      <c r="R126" s="10" t="n">
        <v>3.937301916662475</v>
      </c>
      <c r="S126" s="10" t="n">
        <v>3.979246520867124</v>
      </c>
      <c r="T126" s="10" t="n">
        <v>4.017952039563951</v>
      </c>
      <c r="U126" s="10" t="n">
        <v>4.053634911375774</v>
      </c>
      <c r="V126" s="10" t="n">
        <v>4.086489244029978</v>
      </c>
      <c r="W126" s="10" t="n">
        <v>4.116692620985073</v>
      </c>
      <c r="X126" s="10" t="n">
        <v>4.144412077076748</v>
      </c>
      <c r="Y126" s="10" t="n">
        <v>4.169805638858768</v>
      </c>
      <c r="Z126" s="10" t="n">
        <v>4.193022958894328</v>
      </c>
      <c r="AA126" s="10" t="n">
        <v>4.214206289594918</v>
      </c>
      <c r="AB126" s="10" t="n">
        <v>4.233491398933579</v>
      </c>
      <c r="AC126" s="10" t="n">
        <v>4.251008579175654</v>
      </c>
      <c r="AD126" s="10" t="n">
        <v>4.266883614292679</v>
      </c>
      <c r="AE126" s="10" t="n">
        <v>4.281238213893504</v>
      </c>
      <c r="AF126" s="10" t="n">
        <v>4.294188355280866</v>
      </c>
      <c r="AG126" s="10" t="n">
        <v>4.305842057773562</v>
      </c>
      <c r="AH126" s="10" t="n">
        <v>4.31629984622947</v>
      </c>
      <c r="AI126" s="10" t="n">
        <v>4.325655531615932</v>
      </c>
      <c r="AJ126" s="10" t="n">
        <v>4.333996805549682</v>
      </c>
      <c r="AK126" s="10" t="n">
        <v>4.341404222148536</v>
      </c>
    </row>
    <row r="127">
      <c r="A127" s="9" t="n">
        <v>2</v>
      </c>
      <c r="B127" s="7" t="n">
        <v>40476</v>
      </c>
      <c r="C127" s="10" t="n">
        <v>0.7491385637303042</v>
      </c>
      <c r="D127" s="10" t="n">
        <v>0.8765959293041369</v>
      </c>
      <c r="E127" s="10" t="n">
        <v>1.028072490946278</v>
      </c>
      <c r="F127" s="10" t="n">
        <v>1.194443023188809</v>
      </c>
      <c r="G127" s="10" t="n">
        <v>1.368580665753909</v>
      </c>
      <c r="H127" s="10" t="n">
        <v>1.545464957005343</v>
      </c>
      <c r="I127" s="10" t="n">
        <v>1.721658861375294</v>
      </c>
      <c r="J127" s="10" t="n">
        <v>1.89476506528755</v>
      </c>
      <c r="K127" s="10" t="n">
        <v>2.063042817908019</v>
      </c>
      <c r="L127" s="10" t="n">
        <v>2.225201812012128</v>
      </c>
      <c r="M127" s="10" t="n">
        <v>3.635212214897642</v>
      </c>
      <c r="N127" s="10" t="n">
        <v>3.697397213741351</v>
      </c>
      <c r="O127" s="10" t="n">
        <v>3.7548878474722</v>
      </c>
      <c r="P127" s="10" t="n">
        <v>3.808024598080872</v>
      </c>
      <c r="Q127" s="10" t="n">
        <v>3.857129240344559</v>
      </c>
      <c r="R127" s="10" t="n">
        <v>3.902496872597816</v>
      </c>
      <c r="S127" s="10" t="n">
        <v>3.944389819739641</v>
      </c>
      <c r="T127" s="10" t="n">
        <v>3.983041736791831</v>
      </c>
      <c r="U127" s="10" t="n">
        <v>4.018661825057397</v>
      </c>
      <c r="V127" s="10" t="n">
        <v>4.051438493324423</v>
      </c>
      <c r="W127" s="10" t="n">
        <v>4.081545171346579</v>
      </c>
      <c r="X127" s="10" t="n">
        <v>4.109146325191459</v>
      </c>
      <c r="Y127" s="10" t="n">
        <v>4.134398648944125</v>
      </c>
      <c r="Z127" s="10" t="n">
        <v>4.157451315282601</v>
      </c>
      <c r="AA127" s="10" t="n">
        <v>4.178446812735675</v>
      </c>
      <c r="AB127" s="10" t="n">
        <v>4.197521769336822</v>
      </c>
      <c r="AC127" s="10" t="n">
        <v>4.214807799951991</v>
      </c>
      <c r="AD127" s="10" t="n">
        <v>4.230432295743181</v>
      </c>
      <c r="AE127" s="10" t="n">
        <v>4.244518801026728</v>
      </c>
      <c r="AF127" s="10" t="n">
        <v>4.257185252791309</v>
      </c>
      <c r="AG127" s="10" t="n">
        <v>4.268541672181362</v>
      </c>
      <c r="AH127" s="10" t="n">
        <v>4.278690619974352</v>
      </c>
      <c r="AI127" s="10" t="n">
        <v>4.287727973611549</v>
      </c>
      <c r="AJ127" s="10" t="n">
        <v>4.295743513505777</v>
      </c>
      <c r="AK127" s="10" t="n">
        <v>4.302819841856607</v>
      </c>
    </row>
    <row r="128">
      <c r="A128" s="9" t="n">
        <v>3</v>
      </c>
      <c r="B128" s="7" t="n">
        <v>40477</v>
      </c>
      <c r="C128" s="10" t="n">
        <v>0.8436869971617447</v>
      </c>
      <c r="D128" s="10" t="n">
        <v>0.9880980893040228</v>
      </c>
      <c r="E128" s="10" t="n">
        <v>1.151930010934986</v>
      </c>
      <c r="F128" s="10" t="n">
        <v>1.327208376693002</v>
      </c>
      <c r="G128" s="10" t="n">
        <v>1.507583184943272</v>
      </c>
      <c r="H128" s="10" t="n">
        <v>1.688606455120316</v>
      </c>
      <c r="I128" s="10" t="n">
        <v>1.867294334801772</v>
      </c>
      <c r="J128" s="10" t="n">
        <v>2.041610601812384</v>
      </c>
      <c r="K128" s="10" t="n">
        <v>2.210104474787135</v>
      </c>
      <c r="L128" s="10" t="n">
        <v>2.371719062874885</v>
      </c>
      <c r="M128" s="10" t="n">
        <v>3.750583522059752</v>
      </c>
      <c r="N128" s="10" t="n">
        <v>3.809738611365398</v>
      </c>
      <c r="O128" s="10" t="n">
        <v>3.864183666710703</v>
      </c>
      <c r="P128" s="10" t="n">
        <v>3.914273334643365</v>
      </c>
      <c r="Q128" s="10" t="n">
        <v>3.960343945635163</v>
      </c>
      <c r="R128" s="10" t="n">
        <v>4.002704708008221</v>
      </c>
      <c r="S128" s="10" t="n">
        <v>4.041631089279504</v>
      </c>
      <c r="T128" s="10" t="n">
        <v>4.077369031340005</v>
      </c>
      <c r="U128" s="10" t="n">
        <v>4.110139292458567</v>
      </c>
      <c r="V128" s="10" t="n">
        <v>4.14014117038822</v>
      </c>
      <c r="W128" s="10" t="n">
        <v>4.167557630984111</v>
      </c>
      <c r="X128" s="10" t="n">
        <v>4.192560406695061</v>
      </c>
      <c r="Y128" s="10" t="n">
        <v>4.215311414989247</v>
      </c>
      <c r="Z128" s="10" t="n">
        <v>4.23596339669658</v>
      </c>
      <c r="AA128" s="10" t="n">
        <v>4.254660978787948</v>
      </c>
      <c r="AB128" s="10" t="n">
        <v>4.271541673166914</v>
      </c>
      <c r="AC128" s="10" t="n">
        <v>4.286736883978135</v>
      </c>
      <c r="AD128" s="10" t="n">
        <v>4.300372836391944</v>
      </c>
      <c r="AE128" s="10" t="n">
        <v>4.312571076140562</v>
      </c>
      <c r="AF128" s="10" t="n">
        <v>4.323447050524929</v>
      </c>
      <c r="AG128" s="10" t="n">
        <v>4.333108215995662</v>
      </c>
      <c r="AH128" s="10" t="n">
        <v>4.341654554643709</v>
      </c>
      <c r="AI128" s="10" t="n">
        <v>4.349179352711212</v>
      </c>
      <c r="AJ128" s="10" t="n">
        <v>4.355769793251189</v>
      </c>
      <c r="AK128" s="10" t="n">
        <v>4.361505994170049</v>
      </c>
    </row>
    <row r="129">
      <c r="A129" s="9" t="n">
        <v>4</v>
      </c>
      <c r="B129" s="7" t="n">
        <v>40478</v>
      </c>
      <c r="C129" s="10" t="n">
        <v>0.8551841303189652</v>
      </c>
      <c r="D129" s="10" t="n">
        <v>1.013580412198686</v>
      </c>
      <c r="E129" s="10" t="n">
        <v>1.190438688722271</v>
      </c>
      <c r="F129" s="10" t="n">
        <v>1.377161896959062</v>
      </c>
      <c r="G129" s="10" t="n">
        <v>1.567290726206994</v>
      </c>
      <c r="H129" s="10" t="n">
        <v>1.756475196701742</v>
      </c>
      <c r="I129" s="10" t="n">
        <v>1.941911063879849</v>
      </c>
      <c r="J129" s="10" t="n">
        <v>2.121751938488488</v>
      </c>
      <c r="K129" s="10" t="n">
        <v>2.294725865150962</v>
      </c>
      <c r="L129" s="10" t="n">
        <v>2.459938299264109</v>
      </c>
      <c r="M129" s="10" t="n">
        <v>3.851940394968668</v>
      </c>
      <c r="N129" s="10" t="n">
        <v>3.911473443241315</v>
      </c>
      <c r="O129" s="10" t="n">
        <v>3.966311815528212</v>
      </c>
      <c r="P129" s="10" t="n">
        <v>4.016810427885725</v>
      </c>
      <c r="Q129" s="10" t="n">
        <v>4.063303456420717</v>
      </c>
      <c r="R129" s="10" t="n">
        <v>4.106096695737561</v>
      </c>
      <c r="S129" s="10" t="n">
        <v>4.145461972694892</v>
      </c>
      <c r="T129" s="10" t="n">
        <v>4.181641478423913</v>
      </c>
      <c r="U129" s="10" t="n">
        <v>4.214852126523616</v>
      </c>
      <c r="V129" s="10" t="n">
        <v>4.245289324500733</v>
      </c>
      <c r="W129" s="10" t="n">
        <v>4.273132657921492</v>
      </c>
      <c r="X129" s="10" t="n">
        <v>4.298551611968621</v>
      </c>
      <c r="Y129" s="10" t="n">
        <v>4.321706757337896</v>
      </c>
      <c r="Z129" s="10" t="n">
        <v>4.34275004973595</v>
      </c>
      <c r="AA129" s="10" t="n">
        <v>4.361825793758459</v>
      </c>
      <c r="AB129" s="10" t="n">
        <v>4.379071579832614</v>
      </c>
      <c r="AC129" s="10" t="n">
        <v>4.394619149560212</v>
      </c>
      <c r="AD129" s="10" t="n">
        <v>4.408595164805481</v>
      </c>
      <c r="AE129" s="10" t="n">
        <v>4.421121669066516</v>
      </c>
      <c r="AF129" s="10" t="n">
        <v>4.432314550329076</v>
      </c>
      <c r="AG129" s="10" t="n">
        <v>4.442281540116755</v>
      </c>
      <c r="AH129" s="10" t="n">
        <v>4.451122737756078</v>
      </c>
      <c r="AI129" s="10" t="n">
        <v>4.458931405336198</v>
      </c>
      <c r="AJ129" s="10" t="n">
        <v>4.465794569792558</v>
      </c>
      <c r="AK129" s="10" t="n">
        <v>4.471792017093745</v>
      </c>
    </row>
    <row r="130">
      <c r="A130" s="9" t="n">
        <v>5</v>
      </c>
      <c r="B130" s="7" t="n">
        <v>40479</v>
      </c>
      <c r="C130" s="10" t="n">
        <v>0.8630746576286565</v>
      </c>
      <c r="D130" s="10" t="n">
        <v>1.020879420551675</v>
      </c>
      <c r="E130" s="10" t="n">
        <v>1.196639491849653</v>
      </c>
      <c r="F130" s="10" t="n">
        <v>1.38208176828755</v>
      </c>
      <c r="G130" s="10" t="n">
        <v>1.570913334433152</v>
      </c>
      <c r="H130" s="10" t="n">
        <v>1.758863537013321</v>
      </c>
      <c r="I130" s="10" t="n">
        <v>1.943167028763584</v>
      </c>
      <c r="J130" s="10" t="n">
        <v>2.121999113575404</v>
      </c>
      <c r="K130" s="10" t="n">
        <v>2.294101329280121</v>
      </c>
      <c r="L130" s="10" t="n">
        <v>2.458587714045625</v>
      </c>
      <c r="M130" s="10" t="n">
        <v>3.8516612174248</v>
      </c>
      <c r="N130" s="10" t="n">
        <v>3.911630481725447</v>
      </c>
      <c r="O130" s="10" t="n">
        <v>3.966886216141193</v>
      </c>
      <c r="P130" s="10" t="n">
        <v>4.017773795972879</v>
      </c>
      <c r="Q130" s="10" t="n">
        <v>4.064619043722891</v>
      </c>
      <c r="R130" s="10" t="n">
        <v>4.107721041456393</v>
      </c>
      <c r="S130" s="10" t="n">
        <v>4.147346989797278</v>
      </c>
      <c r="T130" s="10" t="n">
        <v>4.183736293188405</v>
      </c>
      <c r="U130" s="10" t="n">
        <v>4.217104647565274</v>
      </c>
      <c r="V130" s="10" t="n">
        <v>4.247647572004738</v>
      </c>
      <c r="W130" s="10" t="n">
        <v>4.275545602199543</v>
      </c>
      <c r="X130" s="10" t="n">
        <v>4.300969456984834</v>
      </c>
      <c r="Y130" s="10" t="n">
        <v>4.324081250866335</v>
      </c>
      <c r="Z130" s="10" t="n">
        <v>4.345034936691059</v>
      </c>
      <c r="AA130" s="10" t="n">
        <v>4.363977238665742</v>
      </c>
      <c r="AB130" s="10" t="n">
        <v>4.381048537607084</v>
      </c>
      <c r="AC130" s="10" t="n">
        <v>4.396383687974252</v>
      </c>
      <c r="AD130" s="10" t="n">
        <v>4.410112742852009</v>
      </c>
      <c r="AE130" s="10" t="n">
        <v>4.422361373926097</v>
      </c>
      <c r="AF130" s="10" t="n">
        <v>4.433249206257044</v>
      </c>
      <c r="AG130" s="10" t="n">
        <v>4.442887706204734</v>
      </c>
      <c r="AH130" s="10" t="n">
        <v>4.451380698421377</v>
      </c>
      <c r="AI130" s="10" t="n">
        <v>4.458825161809281</v>
      </c>
      <c r="AJ130" s="10" t="n">
        <v>4.465311825312273</v>
      </c>
      <c r="AK130" s="10" t="n">
        <v>4.470924072805168</v>
      </c>
    </row>
    <row r="131">
      <c r="A131" s="9" t="n">
        <v>6</v>
      </c>
      <c r="B131" s="7" t="n">
        <v>40480</v>
      </c>
      <c r="C131" s="10" t="n">
        <v>0.8191575779537072</v>
      </c>
      <c r="D131" s="10" t="n">
        <v>0.9707401984680181</v>
      </c>
      <c r="E131" s="10" t="n">
        <v>1.141825756631332</v>
      </c>
      <c r="F131" s="10" t="n">
        <v>1.323652612961092</v>
      </c>
      <c r="G131" s="10" t="n">
        <v>1.509660638078903</v>
      </c>
      <c r="H131" s="10" t="n">
        <v>1.695412829977136</v>
      </c>
      <c r="I131" s="10" t="n">
        <v>1.878025129077533</v>
      </c>
      <c r="J131" s="10" t="n">
        <v>2.055592014024371</v>
      </c>
      <c r="K131" s="10" t="n">
        <v>2.22679627324153</v>
      </c>
      <c r="L131" s="10" t="n">
        <v>2.39070318328876</v>
      </c>
      <c r="M131" s="10" t="n">
        <v>3.789856075191047</v>
      </c>
      <c r="N131" s="10" t="n">
        <v>3.850365614838608</v>
      </c>
      <c r="O131" s="10" t="n">
        <v>3.906083766690974</v>
      </c>
      <c r="P131" s="10" t="n">
        <v>3.957352293178668</v>
      </c>
      <c r="Q131" s="10" t="n">
        <v>4.004495867317627</v>
      </c>
      <c r="R131" s="10" t="n">
        <v>4.047814288132176</v>
      </c>
      <c r="S131" s="10" t="n">
        <v>4.087577205444202</v>
      </c>
      <c r="T131" s="10" t="n">
        <v>4.124027990661943</v>
      </c>
      <c r="U131" s="10" t="n">
        <v>4.157387601252578</v>
      </c>
      <c r="V131" s="10" t="n">
        <v>4.187857893564787</v>
      </c>
      <c r="W131" s="10" t="n">
        <v>4.215626012742891</v>
      </c>
      <c r="X131" s="10" t="n">
        <v>4.240868581284898</v>
      </c>
      <c r="Y131" s="10" t="n">
        <v>4.263753009863549</v>
      </c>
      <c r="Z131" s="10" t="n">
        <v>4.284438224625721</v>
      </c>
      <c r="AA131" s="10" t="n">
        <v>4.303075670473911</v>
      </c>
      <c r="AB131" s="10" t="n">
        <v>4.319810224413672</v>
      </c>
      <c r="AC131" s="10" t="n">
        <v>4.334780993327911</v>
      </c>
      <c r="AD131" s="10" t="n">
        <v>4.34812200532687</v>
      </c>
      <c r="AE131" s="10" t="n">
        <v>4.359962639750417</v>
      </c>
      <c r="AF131" s="10" t="n">
        <v>4.370425903595636</v>
      </c>
      <c r="AG131" s="10" t="n">
        <v>4.379626342802241</v>
      </c>
      <c r="AH131" s="10" t="n">
        <v>4.387670605354609</v>
      </c>
      <c r="AI131" s="10" t="n">
        <v>4.394658263954363</v>
      </c>
      <c r="AJ131" s="10" t="n">
        <v>4.400682425266349</v>
      </c>
      <c r="AK131" s="10" t="n">
        <v>4.405828587845867</v>
      </c>
    </row>
    <row r="132">
      <c r="A132" s="9" t="n">
        <v>7</v>
      </c>
      <c r="B132" s="7" t="n">
        <v>40483</v>
      </c>
      <c r="C132" s="10" t="n">
        <v>0.8179706236574034</v>
      </c>
      <c r="D132" s="10" t="n">
        <v>0.966631107897086</v>
      </c>
      <c r="E132" s="10" t="n">
        <v>1.134569669191463</v>
      </c>
      <c r="F132" s="10" t="n">
        <v>1.313284338242261</v>
      </c>
      <c r="G132" s="10" t="n">
        <v>1.496286820780476</v>
      </c>
      <c r="H132" s="10" t="n">
        <v>1.679162572589802</v>
      </c>
      <c r="I132" s="10" t="n">
        <v>1.859043838860036</v>
      </c>
      <c r="J132" s="10" t="n">
        <v>2.034052455364646</v>
      </c>
      <c r="K132" s="10" t="n">
        <v>2.202905035334642</v>
      </c>
      <c r="L132" s="10" t="n">
        <v>2.364697492979497</v>
      </c>
      <c r="M132" s="10" t="n">
        <v>3.755385624412444</v>
      </c>
      <c r="N132" s="10" t="n">
        <v>3.816007937582898</v>
      </c>
      <c r="O132" s="10" t="n">
        <v>3.871864674490435</v>
      </c>
      <c r="P132" s="10" t="n">
        <v>3.923288352456029</v>
      </c>
      <c r="Q132" s="10" t="n">
        <v>3.970595636246742</v>
      </c>
      <c r="R132" s="10" t="n">
        <v>4.014079535598163</v>
      </c>
      <c r="S132" s="10" t="n">
        <v>4.054004205231136</v>
      </c>
      <c r="T132" s="10" t="n">
        <v>4.090608650943237</v>
      </c>
      <c r="U132" s="10" t="n">
        <v>4.124110427979836</v>
      </c>
      <c r="V132" s="10" t="n">
        <v>4.154708812865776</v>
      </c>
      <c r="W132" s="10" t="n">
        <v>4.182588997273609</v>
      </c>
      <c r="X132" s="10" t="n">
        <v>4.207926065638681</v>
      </c>
      <c r="Y132" s="10" t="n">
        <v>4.230886291577564</v>
      </c>
      <c r="Z132" s="10" t="n">
        <v>4.251627895810315</v>
      </c>
      <c r="AA132" s="10" t="n">
        <v>4.270302006540929</v>
      </c>
      <c r="AB132" s="10" t="n">
        <v>4.287053525957343</v>
      </c>
      <c r="AC132" s="10" t="n">
        <v>4.302021895624908</v>
      </c>
      <c r="AD132" s="10" t="n">
        <v>4.315341762168666</v>
      </c>
      <c r="AE132" s="10" t="n">
        <v>4.327143370495817</v>
      </c>
      <c r="AF132" s="10" t="n">
        <v>4.337550765995477</v>
      </c>
      <c r="AG132" s="10" t="n">
        <v>4.346679662601924</v>
      </c>
      <c r="AH132" s="10" t="n">
        <v>4.354637994223006</v>
      </c>
      <c r="AI132" s="10" t="n">
        <v>4.361526725133889</v>
      </c>
      <c r="AJ132" s="10" t="n">
        <v>4.36744044375716</v>
      </c>
      <c r="AK132" s="10" t="n">
        <v>4.372466169813255</v>
      </c>
    </row>
    <row r="133">
      <c r="A133" s="9" t="n">
        <v>8</v>
      </c>
      <c r="B133" s="7" t="n">
        <v>40484</v>
      </c>
      <c r="C133" s="10" t="n">
        <v>0.8187696709334298</v>
      </c>
      <c r="D133" s="10" t="n">
        <v>0.9668950037522369</v>
      </c>
      <c r="E133" s="10" t="n">
        <v>1.133883627207691</v>
      </c>
      <c r="F133" s="10" t="n">
        <v>1.311377606797401</v>
      </c>
      <c r="G133" s="10" t="n">
        <v>1.493004763809683</v>
      </c>
      <c r="H133" s="10" t="n">
        <v>1.674437391607619</v>
      </c>
      <c r="I133" s="10" t="n">
        <v>1.852870985978421</v>
      </c>
      <c r="J133" s="10" t="n">
        <v>2.026481716100709</v>
      </c>
      <c r="K133" s="10" t="n">
        <v>2.19403398352279</v>
      </c>
      <c r="L133" s="10" t="n">
        <v>2.354661928015267</v>
      </c>
      <c r="M133" s="10" t="n">
        <v>3.745372255511609</v>
      </c>
      <c r="N133" s="10" t="n">
        <v>3.806850021147086</v>
      </c>
      <c r="O133" s="10" t="n">
        <v>3.863617266015706</v>
      </c>
      <c r="P133" s="10" t="n">
        <v>3.915993002749657</v>
      </c>
      <c r="Q133" s="10" t="n">
        <v>3.964280626392086</v>
      </c>
      <c r="R133" s="10" t="n">
        <v>4.008760641407309</v>
      </c>
      <c r="S133" s="10" t="n">
        <v>4.049685930218632</v>
      </c>
      <c r="T133" s="10" t="n">
        <v>4.087285326797223</v>
      </c>
      <c r="U133" s="10" t="n">
        <v>4.121767153199194</v>
      </c>
      <c r="V133" s="10" t="n">
        <v>4.153322281132073</v>
      </c>
      <c r="W133" s="10" t="n">
        <v>4.182128542953014</v>
      </c>
      <c r="X133" s="10" t="n">
        <v>4.208354960825957</v>
      </c>
      <c r="Y133" s="10" t="n">
        <v>4.232162959287011</v>
      </c>
      <c r="Z133" s="10" t="n">
        <v>4.25370702573356</v>
      </c>
      <c r="AA133" s="10" t="n">
        <v>4.273135539141059</v>
      </c>
      <c r="AB133" s="10" t="n">
        <v>4.290591520819849</v>
      </c>
      <c r="AC133" s="10" t="n">
        <v>4.306213360859658</v>
      </c>
      <c r="AD133" s="10" t="n">
        <v>4.320135467832896</v>
      </c>
      <c r="AE133" s="10" t="n">
        <v>4.33248857167002</v>
      </c>
      <c r="AF133" s="10" t="n">
        <v>4.343397772411685</v>
      </c>
      <c r="AG133" s="10" t="n">
        <v>4.352980290965403</v>
      </c>
      <c r="AH133" s="10" t="n">
        <v>4.361345970914801</v>
      </c>
      <c r="AI133" s="10" t="n">
        <v>4.368598046969672</v>
      </c>
      <c r="AJ133" s="10" t="n">
        <v>4.374833695477208</v>
      </c>
      <c r="AK133" s="10" t="n">
        <v>4.380142742767739</v>
      </c>
    </row>
    <row r="134">
      <c r="A134" s="9" t="n">
        <v>9</v>
      </c>
      <c r="B134" s="7" t="n">
        <v>40485</v>
      </c>
      <c r="C134" s="10" t="n">
        <v>0.8054935439946566</v>
      </c>
      <c r="D134" s="10" t="n">
        <v>0.9505502130476963</v>
      </c>
      <c r="E134" s="10" t="n">
        <v>1.115061453642739</v>
      </c>
      <c r="F134" s="10" t="n">
        <v>1.290468433091794</v>
      </c>
      <c r="G134" s="10" t="n">
        <v>1.470285906714633</v>
      </c>
      <c r="H134" s="10" t="n">
        <v>1.650115014065205</v>
      </c>
      <c r="I134" s="10" t="n">
        <v>1.827102989515791</v>
      </c>
      <c r="J134" s="10" t="n">
        <v>1.999401207461118</v>
      </c>
      <c r="K134" s="10" t="n">
        <v>2.165767118190066</v>
      </c>
      <c r="L134" s="10" t="n">
        <v>2.325335609843939</v>
      </c>
      <c r="M134" s="10" t="n">
        <v>3.710186071013077</v>
      </c>
      <c r="N134" s="10" t="n">
        <v>3.771453764506268</v>
      </c>
      <c r="O134" s="10" t="n">
        <v>3.828015089455701</v>
      </c>
      <c r="P134" s="10" t="n">
        <v>3.880187599090065</v>
      </c>
      <c r="Q134" s="10" t="n">
        <v>3.928273868932289</v>
      </c>
      <c r="R134" s="10" t="n">
        <v>3.972554107076157</v>
      </c>
      <c r="S134" s="10" t="n">
        <v>4.013281429158246</v>
      </c>
      <c r="T134" s="10" t="n">
        <v>4.050685368262184</v>
      </c>
      <c r="U134" s="10" t="n">
        <v>4.084975342941142</v>
      </c>
      <c r="V134" s="10" t="n">
        <v>4.116343656759927</v>
      </c>
      <c r="W134" s="10" t="n">
        <v>4.144969750521963</v>
      </c>
      <c r="X134" s="10" t="n">
        <v>4.171024236968944</v>
      </c>
      <c r="Y134" s="10" t="n">
        <v>4.194670056218108</v>
      </c>
      <c r="Z134" s="10" t="n">
        <v>4.216063106655264</v>
      </c>
      <c r="AA134" s="10" t="n">
        <v>4.23535308256554</v>
      </c>
      <c r="AB134" s="10" t="n">
        <v>4.252684233557834</v>
      </c>
      <c r="AC134" s="10" t="n">
        <v>4.268196055028634</v>
      </c>
      <c r="AD134" s="10" t="n">
        <v>4.282023893401294</v>
      </c>
      <c r="AE134" s="10" t="n">
        <v>4.294299253070213</v>
      </c>
      <c r="AF134" s="10" t="n">
        <v>4.305147794428063</v>
      </c>
      <c r="AG134" s="10" t="n">
        <v>4.314687059277957</v>
      </c>
      <c r="AH134" s="10" t="n">
        <v>4.323026997534689</v>
      </c>
      <c r="AI134" s="10" t="n">
        <v>4.330270758029209</v>
      </c>
      <c r="AJ134" s="10" t="n">
        <v>4.336515253186057</v>
      </c>
      <c r="AK134" s="10" t="n">
        <v>4.341849836038401</v>
      </c>
    </row>
    <row r="135">
      <c r="A135" s="9" t="n">
        <v>10</v>
      </c>
      <c r="B135" s="7" t="n">
        <v>40486</v>
      </c>
      <c r="C135" s="10" t="n">
        <v>0.7759474853492222</v>
      </c>
      <c r="D135" s="10" t="n">
        <v>0.9162542847337337</v>
      </c>
      <c r="E135" s="10" t="n">
        <v>1.076905602218944</v>
      </c>
      <c r="F135" s="10" t="n">
        <v>1.249116689895036</v>
      </c>
      <c r="G135" s="10" t="n">
        <v>1.426325587262512</v>
      </c>
      <c r="H135" s="10" t="n">
        <v>1.604087184574588</v>
      </c>
      <c r="I135" s="10" t="n">
        <v>1.779507288344193</v>
      </c>
      <c r="J135" s="10" t="n">
        <v>1.95069726287006</v>
      </c>
      <c r="K135" s="10" t="n">
        <v>2.116375679198446</v>
      </c>
      <c r="L135" s="10" t="n">
        <v>2.275640288207888</v>
      </c>
      <c r="M135" s="10" t="n">
        <v>3.678630067198023</v>
      </c>
      <c r="N135" s="10" t="n">
        <v>3.742135921373554</v>
      </c>
      <c r="O135" s="10" t="n">
        <v>3.800951220686064</v>
      </c>
      <c r="P135" s="10" t="n">
        <v>3.855376209607026</v>
      </c>
      <c r="Q135" s="10" t="n">
        <v>3.905696756567129</v>
      </c>
      <c r="R135" s="10" t="n">
        <v>3.952177646157057</v>
      </c>
      <c r="S135" s="10" t="n">
        <v>3.995058397182187</v>
      </c>
      <c r="T135" s="10" t="n">
        <v>4.034556558667688</v>
      </c>
      <c r="U135" s="10" t="n">
        <v>4.070870940708554</v>
      </c>
      <c r="V135" s="10" t="n">
        <v>4.104184479307538</v>
      </c>
      <c r="W135" s="10" t="n">
        <v>4.13466918824168</v>
      </c>
      <c r="X135" s="10" t="n">
        <v>4.162490952949733</v>
      </c>
      <c r="Y135" s="10" t="n">
        <v>4.187810231793707</v>
      </c>
      <c r="Z135" s="10" t="n">
        <v>4.210782136997373</v>
      </c>
      <c r="AA135" s="10" t="n">
        <v>4.231557029802484</v>
      </c>
      <c r="AB135" s="10" t="n">
        <v>4.250281096407512</v>
      </c>
      <c r="AC135" s="10" t="n">
        <v>4.26709679443062</v>
      </c>
      <c r="AD135" s="10" t="n">
        <v>4.28214322452131</v>
      </c>
      <c r="AE135" s="10" t="n">
        <v>4.295556309986493</v>
      </c>
      <c r="AF135" s="10" t="n">
        <v>4.307466432048744</v>
      </c>
      <c r="AG135" s="10" t="n">
        <v>4.317995814894012</v>
      </c>
      <c r="AH135" s="10" t="n">
        <v>4.327259026453088</v>
      </c>
      <c r="AI135" s="10" t="n">
        <v>4.335363775913164</v>
      </c>
      <c r="AJ135" s="10" t="n">
        <v>4.342411470156032</v>
      </c>
      <c r="AK135" s="10" t="n">
        <v>4.348495721974081</v>
      </c>
    </row>
    <row r="138">
      <c r="A138" s="3" t="inlineStr">
        <is>
          <t>k</t>
        </is>
      </c>
      <c r="B138" s="3" t="inlineStr">
        <is>
          <t>Date</t>
        </is>
      </c>
      <c r="C138" s="3" t="inlineStr">
        <is>
          <t>Δz 2y (bp)</t>
        </is>
      </c>
      <c r="D138" s="3" t="inlineStr">
        <is>
          <t>Δz 2.5y (bp)</t>
        </is>
      </c>
      <c r="E138" s="3" t="inlineStr">
        <is>
          <t>Δz 3y (bp)</t>
        </is>
      </c>
      <c r="F138" s="3" t="inlineStr">
        <is>
          <t>Δz 3.5y (bp)</t>
        </is>
      </c>
      <c r="G138" s="3" t="inlineStr">
        <is>
          <t>Δz 4y (bp)</t>
        </is>
      </c>
      <c r="H138" s="3" t="inlineStr">
        <is>
          <t>Δz 4.5y (bp)</t>
        </is>
      </c>
      <c r="I138" s="3" t="inlineStr">
        <is>
          <t>Δz 5y (bp)</t>
        </is>
      </c>
      <c r="J138" s="3" t="inlineStr">
        <is>
          <t>Δz 5.5y (bp)</t>
        </is>
      </c>
      <c r="K138" s="3" t="inlineStr">
        <is>
          <t>Δz 6y (bp)</t>
        </is>
      </c>
      <c r="L138" s="3" t="inlineStr">
        <is>
          <t>Δz 6.5y (bp)</t>
        </is>
      </c>
      <c r="M138" s="3" t="inlineStr">
        <is>
          <t>Δz 13y (bp)</t>
        </is>
      </c>
      <c r="N138" s="3" t="inlineStr">
        <is>
          <t>Δz 13.5y (bp)</t>
        </is>
      </c>
      <c r="O138" s="3" t="inlineStr">
        <is>
          <t>Δz 14y (bp)</t>
        </is>
      </c>
      <c r="P138" s="3" t="inlineStr">
        <is>
          <t>Δz 14.5y (bp)</t>
        </is>
      </c>
      <c r="Q138" s="3" t="inlineStr">
        <is>
          <t>Δz 15y (bp)</t>
        </is>
      </c>
      <c r="R138" s="3" t="inlineStr">
        <is>
          <t>Δz 15.5y (bp)</t>
        </is>
      </c>
      <c r="S138" s="3" t="inlineStr">
        <is>
          <t>Δz 16y (bp)</t>
        </is>
      </c>
      <c r="T138" s="3" t="inlineStr">
        <is>
          <t>Δz 16.5y (bp)</t>
        </is>
      </c>
      <c r="U138" s="3" t="inlineStr">
        <is>
          <t>Δz 17y (bp)</t>
        </is>
      </c>
      <c r="V138" s="3" t="inlineStr">
        <is>
          <t>Δz 17.5y (bp)</t>
        </is>
      </c>
      <c r="W138" s="3" t="inlineStr">
        <is>
          <t>Δz 18y (bp)</t>
        </is>
      </c>
      <c r="X138" s="3" t="inlineStr">
        <is>
          <t>Δz 18.5y (bp)</t>
        </is>
      </c>
      <c r="Y138" s="3" t="inlineStr">
        <is>
          <t>Δz 19y (bp)</t>
        </is>
      </c>
      <c r="Z138" s="3" t="inlineStr">
        <is>
          <t>Δz 19.5y (bp)</t>
        </is>
      </c>
      <c r="AA138" s="3" t="inlineStr">
        <is>
          <t>Δz 20y (bp)</t>
        </is>
      </c>
      <c r="AB138" s="3" t="inlineStr">
        <is>
          <t>Δz 20.5y (bp)</t>
        </is>
      </c>
      <c r="AC138" s="3" t="inlineStr">
        <is>
          <t>Δz 21y (bp)</t>
        </is>
      </c>
      <c r="AD138" s="3" t="inlineStr">
        <is>
          <t>Δz 21.5y (bp)</t>
        </is>
      </c>
      <c r="AE138" s="3" t="inlineStr">
        <is>
          <t>Δz 22y (bp)</t>
        </is>
      </c>
      <c r="AF138" s="3" t="inlineStr">
        <is>
          <t>Δz 22.5y (bp)</t>
        </is>
      </c>
      <c r="AG138" s="3" t="inlineStr">
        <is>
          <t>Δz 23y (bp)</t>
        </is>
      </c>
      <c r="AH138" s="3" t="inlineStr">
        <is>
          <t>Δz 23.5y (bp)</t>
        </is>
      </c>
      <c r="AI138" s="3" t="inlineStr">
        <is>
          <t>Δz 24y (bp)</t>
        </is>
      </c>
      <c r="AJ138" s="3" t="inlineStr">
        <is>
          <t>Δz 24.5y (bp)</t>
        </is>
      </c>
      <c r="AK138" s="3" t="inlineStr">
        <is>
          <t>Δz 25y (bp)</t>
        </is>
      </c>
      <c r="AL138" s="3" t="inlineStr">
        <is>
          <t>Control Δc = average (bp)</t>
        </is>
      </c>
    </row>
    <row r="139">
      <c r="A139" s="19">
        <f>A5</f>
        <v/>
      </c>
      <c r="B139" s="20">
        <f>B5</f>
        <v/>
      </c>
      <c r="C139" s="21">
        <f>100*(C5-C4)</f>
        <v/>
      </c>
      <c r="D139" s="21">
        <f>100*(D5-D4)</f>
        <v/>
      </c>
      <c r="E139" s="21">
        <f>100*(E5-E4)</f>
        <v/>
      </c>
      <c r="F139" s="21">
        <f>100*(F5-F4)</f>
        <v/>
      </c>
      <c r="G139" s="21">
        <f>100*(G5-G4)</f>
        <v/>
      </c>
      <c r="H139" s="21">
        <f>100*(H5-H4)</f>
        <v/>
      </c>
      <c r="I139" s="21">
        <f>100*(I5-I4)</f>
        <v/>
      </c>
      <c r="J139" s="21">
        <f>100*(J5-J4)</f>
        <v/>
      </c>
      <c r="K139" s="21">
        <f>100*(K5-K4)</f>
        <v/>
      </c>
      <c r="L139" s="21">
        <f>100*(L5-L4)</f>
        <v/>
      </c>
      <c r="M139" s="21">
        <f>100*(M5-M4)</f>
        <v/>
      </c>
      <c r="N139" s="21">
        <f>100*(N5-N4)</f>
        <v/>
      </c>
      <c r="O139" s="21">
        <f>100*(O5-O4)</f>
        <v/>
      </c>
      <c r="P139" s="21">
        <f>100*(P5-P4)</f>
        <v/>
      </c>
      <c r="Q139" s="21">
        <f>100*(Q5-Q4)</f>
        <v/>
      </c>
      <c r="R139" s="21">
        <f>100*(R5-R4)</f>
        <v/>
      </c>
      <c r="S139" s="21">
        <f>100*(S5-S4)</f>
        <v/>
      </c>
      <c r="T139" s="21">
        <f>100*(T5-T4)</f>
        <v/>
      </c>
      <c r="U139" s="21">
        <f>100*(U5-U4)</f>
        <v/>
      </c>
      <c r="V139" s="21">
        <f>100*(V5-V4)</f>
        <v/>
      </c>
      <c r="W139" s="21">
        <f>100*(W5-W4)</f>
        <v/>
      </c>
      <c r="X139" s="21">
        <f>100*(X5-X4)</f>
        <v/>
      </c>
      <c r="Y139" s="21">
        <f>100*(Y5-Y4)</f>
        <v/>
      </c>
      <c r="Z139" s="21">
        <f>100*(Z5-Z4)</f>
        <v/>
      </c>
      <c r="AA139" s="21">
        <f>100*(AA5-AA4)</f>
        <v/>
      </c>
      <c r="AB139" s="21">
        <f>100*(AB5-AB4)</f>
        <v/>
      </c>
      <c r="AC139" s="21">
        <f>100*(AC5-AC4)</f>
        <v/>
      </c>
      <c r="AD139" s="21">
        <f>100*(AD5-AD4)</f>
        <v/>
      </c>
      <c r="AE139" s="21">
        <f>100*(AE5-AE4)</f>
        <v/>
      </c>
      <c r="AF139" s="21">
        <f>100*(AF5-AF4)</f>
        <v/>
      </c>
      <c r="AG139" s="21">
        <f>100*(AG5-AG4)</f>
        <v/>
      </c>
      <c r="AH139" s="21">
        <f>100*(AH5-AH4)</f>
        <v/>
      </c>
      <c r="AI139" s="21">
        <f>100*(AI5-AI4)</f>
        <v/>
      </c>
      <c r="AJ139" s="21">
        <f>100*(AJ5-AJ4)</f>
        <v/>
      </c>
      <c r="AK139" s="21">
        <f>100*(AK5-AK4)</f>
        <v/>
      </c>
      <c r="AL139" s="21">
        <f>AVERAGE(C139:AK139)</f>
        <v/>
      </c>
    </row>
    <row r="140">
      <c r="A140" s="19">
        <f>A6</f>
        <v/>
      </c>
      <c r="B140" s="20">
        <f>B6</f>
        <v/>
      </c>
      <c r="C140" s="21">
        <f>100*(C6-C5)</f>
        <v/>
      </c>
      <c r="D140" s="21">
        <f>100*(D6-D5)</f>
        <v/>
      </c>
      <c r="E140" s="21">
        <f>100*(E6-E5)</f>
        <v/>
      </c>
      <c r="F140" s="21">
        <f>100*(F6-F5)</f>
        <v/>
      </c>
      <c r="G140" s="21">
        <f>100*(G6-G5)</f>
        <v/>
      </c>
      <c r="H140" s="21">
        <f>100*(H6-H5)</f>
        <v/>
      </c>
      <c r="I140" s="21">
        <f>100*(I6-I5)</f>
        <v/>
      </c>
      <c r="J140" s="21">
        <f>100*(J6-J5)</f>
        <v/>
      </c>
      <c r="K140" s="21">
        <f>100*(K6-K5)</f>
        <v/>
      </c>
      <c r="L140" s="21">
        <f>100*(L6-L5)</f>
        <v/>
      </c>
      <c r="M140" s="21">
        <f>100*(M6-M5)</f>
        <v/>
      </c>
      <c r="N140" s="21">
        <f>100*(N6-N5)</f>
        <v/>
      </c>
      <c r="O140" s="21">
        <f>100*(O6-O5)</f>
        <v/>
      </c>
      <c r="P140" s="21">
        <f>100*(P6-P5)</f>
        <v/>
      </c>
      <c r="Q140" s="21">
        <f>100*(Q6-Q5)</f>
        <v/>
      </c>
      <c r="R140" s="21">
        <f>100*(R6-R5)</f>
        <v/>
      </c>
      <c r="S140" s="21">
        <f>100*(S6-S5)</f>
        <v/>
      </c>
      <c r="T140" s="21">
        <f>100*(T6-T5)</f>
        <v/>
      </c>
      <c r="U140" s="21">
        <f>100*(U6-U5)</f>
        <v/>
      </c>
      <c r="V140" s="21">
        <f>100*(V6-V5)</f>
        <v/>
      </c>
      <c r="W140" s="21">
        <f>100*(W6-W5)</f>
        <v/>
      </c>
      <c r="X140" s="21">
        <f>100*(X6-X5)</f>
        <v/>
      </c>
      <c r="Y140" s="21">
        <f>100*(Y6-Y5)</f>
        <v/>
      </c>
      <c r="Z140" s="21">
        <f>100*(Z6-Z5)</f>
        <v/>
      </c>
      <c r="AA140" s="21">
        <f>100*(AA6-AA5)</f>
        <v/>
      </c>
      <c r="AB140" s="21">
        <f>100*(AB6-AB5)</f>
        <v/>
      </c>
      <c r="AC140" s="21">
        <f>100*(AC6-AC5)</f>
        <v/>
      </c>
      <c r="AD140" s="21">
        <f>100*(AD6-AD5)</f>
        <v/>
      </c>
      <c r="AE140" s="21">
        <f>100*(AE6-AE5)</f>
        <v/>
      </c>
      <c r="AF140" s="21">
        <f>100*(AF6-AF5)</f>
        <v/>
      </c>
      <c r="AG140" s="21">
        <f>100*(AG6-AG5)</f>
        <v/>
      </c>
      <c r="AH140" s="21">
        <f>100*(AH6-AH5)</f>
        <v/>
      </c>
      <c r="AI140" s="21">
        <f>100*(AI6-AI5)</f>
        <v/>
      </c>
      <c r="AJ140" s="21">
        <f>100*(AJ6-AJ5)</f>
        <v/>
      </c>
      <c r="AK140" s="21">
        <f>100*(AK6-AK5)</f>
        <v/>
      </c>
      <c r="AL140" s="21">
        <f>AVERAGE(C140:AK140)</f>
        <v/>
      </c>
    </row>
    <row r="141">
      <c r="A141" s="19">
        <f>A7</f>
        <v/>
      </c>
      <c r="B141" s="20">
        <f>B7</f>
        <v/>
      </c>
      <c r="C141" s="21">
        <f>100*(C7-C6)</f>
        <v/>
      </c>
      <c r="D141" s="21">
        <f>100*(D7-D6)</f>
        <v/>
      </c>
      <c r="E141" s="21">
        <f>100*(E7-E6)</f>
        <v/>
      </c>
      <c r="F141" s="21">
        <f>100*(F7-F6)</f>
        <v/>
      </c>
      <c r="G141" s="21">
        <f>100*(G7-G6)</f>
        <v/>
      </c>
      <c r="H141" s="21">
        <f>100*(H7-H6)</f>
        <v/>
      </c>
      <c r="I141" s="21">
        <f>100*(I7-I6)</f>
        <v/>
      </c>
      <c r="J141" s="21">
        <f>100*(J7-J6)</f>
        <v/>
      </c>
      <c r="K141" s="21">
        <f>100*(K7-K6)</f>
        <v/>
      </c>
      <c r="L141" s="21">
        <f>100*(L7-L6)</f>
        <v/>
      </c>
      <c r="M141" s="21">
        <f>100*(M7-M6)</f>
        <v/>
      </c>
      <c r="N141" s="21">
        <f>100*(N7-N6)</f>
        <v/>
      </c>
      <c r="O141" s="21">
        <f>100*(O7-O6)</f>
        <v/>
      </c>
      <c r="P141" s="21">
        <f>100*(P7-P6)</f>
        <v/>
      </c>
      <c r="Q141" s="21">
        <f>100*(Q7-Q6)</f>
        <v/>
      </c>
      <c r="R141" s="21">
        <f>100*(R7-R6)</f>
        <v/>
      </c>
      <c r="S141" s="21">
        <f>100*(S7-S6)</f>
        <v/>
      </c>
      <c r="T141" s="21">
        <f>100*(T7-T6)</f>
        <v/>
      </c>
      <c r="U141" s="21">
        <f>100*(U7-U6)</f>
        <v/>
      </c>
      <c r="V141" s="21">
        <f>100*(V7-V6)</f>
        <v/>
      </c>
      <c r="W141" s="21">
        <f>100*(W7-W6)</f>
        <v/>
      </c>
      <c r="X141" s="21">
        <f>100*(X7-X6)</f>
        <v/>
      </c>
      <c r="Y141" s="21">
        <f>100*(Y7-Y6)</f>
        <v/>
      </c>
      <c r="Z141" s="21">
        <f>100*(Z7-Z6)</f>
        <v/>
      </c>
      <c r="AA141" s="21">
        <f>100*(AA7-AA6)</f>
        <v/>
      </c>
      <c r="AB141" s="21">
        <f>100*(AB7-AB6)</f>
        <v/>
      </c>
      <c r="AC141" s="21">
        <f>100*(AC7-AC6)</f>
        <v/>
      </c>
      <c r="AD141" s="21">
        <f>100*(AD7-AD6)</f>
        <v/>
      </c>
      <c r="AE141" s="21">
        <f>100*(AE7-AE6)</f>
        <v/>
      </c>
      <c r="AF141" s="21">
        <f>100*(AF7-AF6)</f>
        <v/>
      </c>
      <c r="AG141" s="21">
        <f>100*(AG7-AG6)</f>
        <v/>
      </c>
      <c r="AH141" s="21">
        <f>100*(AH7-AH6)</f>
        <v/>
      </c>
      <c r="AI141" s="21">
        <f>100*(AI7-AI6)</f>
        <v/>
      </c>
      <c r="AJ141" s="21">
        <f>100*(AJ7-AJ6)</f>
        <v/>
      </c>
      <c r="AK141" s="21">
        <f>100*(AK7-AK6)</f>
        <v/>
      </c>
      <c r="AL141" s="21">
        <f>AVERAGE(C141:AK141)</f>
        <v/>
      </c>
    </row>
    <row r="142">
      <c r="A142" s="19">
        <f>A8</f>
        <v/>
      </c>
      <c r="B142" s="20">
        <f>B8</f>
        <v/>
      </c>
      <c r="C142" s="21">
        <f>100*(C8-C7)</f>
        <v/>
      </c>
      <c r="D142" s="21">
        <f>100*(D8-D7)</f>
        <v/>
      </c>
      <c r="E142" s="21">
        <f>100*(E8-E7)</f>
        <v/>
      </c>
      <c r="F142" s="21">
        <f>100*(F8-F7)</f>
        <v/>
      </c>
      <c r="G142" s="21">
        <f>100*(G8-G7)</f>
        <v/>
      </c>
      <c r="H142" s="21">
        <f>100*(H8-H7)</f>
        <v/>
      </c>
      <c r="I142" s="21">
        <f>100*(I8-I7)</f>
        <v/>
      </c>
      <c r="J142" s="21">
        <f>100*(J8-J7)</f>
        <v/>
      </c>
      <c r="K142" s="21">
        <f>100*(K8-K7)</f>
        <v/>
      </c>
      <c r="L142" s="21">
        <f>100*(L8-L7)</f>
        <v/>
      </c>
      <c r="M142" s="21">
        <f>100*(M8-M7)</f>
        <v/>
      </c>
      <c r="N142" s="21">
        <f>100*(N8-N7)</f>
        <v/>
      </c>
      <c r="O142" s="21">
        <f>100*(O8-O7)</f>
        <v/>
      </c>
      <c r="P142" s="21">
        <f>100*(P8-P7)</f>
        <v/>
      </c>
      <c r="Q142" s="21">
        <f>100*(Q8-Q7)</f>
        <v/>
      </c>
      <c r="R142" s="21">
        <f>100*(R8-R7)</f>
        <v/>
      </c>
      <c r="S142" s="21">
        <f>100*(S8-S7)</f>
        <v/>
      </c>
      <c r="T142" s="21">
        <f>100*(T8-T7)</f>
        <v/>
      </c>
      <c r="U142" s="21">
        <f>100*(U8-U7)</f>
        <v/>
      </c>
      <c r="V142" s="21">
        <f>100*(V8-V7)</f>
        <v/>
      </c>
      <c r="W142" s="21">
        <f>100*(W8-W7)</f>
        <v/>
      </c>
      <c r="X142" s="21">
        <f>100*(X8-X7)</f>
        <v/>
      </c>
      <c r="Y142" s="21">
        <f>100*(Y8-Y7)</f>
        <v/>
      </c>
      <c r="Z142" s="21">
        <f>100*(Z8-Z7)</f>
        <v/>
      </c>
      <c r="AA142" s="21">
        <f>100*(AA8-AA7)</f>
        <v/>
      </c>
      <c r="AB142" s="21">
        <f>100*(AB8-AB7)</f>
        <v/>
      </c>
      <c r="AC142" s="21">
        <f>100*(AC8-AC7)</f>
        <v/>
      </c>
      <c r="AD142" s="21">
        <f>100*(AD8-AD7)</f>
        <v/>
      </c>
      <c r="AE142" s="21">
        <f>100*(AE8-AE7)</f>
        <v/>
      </c>
      <c r="AF142" s="21">
        <f>100*(AF8-AF7)</f>
        <v/>
      </c>
      <c r="AG142" s="21">
        <f>100*(AG8-AG7)</f>
        <v/>
      </c>
      <c r="AH142" s="21">
        <f>100*(AH8-AH7)</f>
        <v/>
      </c>
      <c r="AI142" s="21">
        <f>100*(AI8-AI7)</f>
        <v/>
      </c>
      <c r="AJ142" s="21">
        <f>100*(AJ8-AJ7)</f>
        <v/>
      </c>
      <c r="AK142" s="21">
        <f>100*(AK8-AK7)</f>
        <v/>
      </c>
      <c r="AL142" s="21">
        <f>AVERAGE(C142:AK142)</f>
        <v/>
      </c>
    </row>
    <row r="143">
      <c r="A143" s="19">
        <f>A9</f>
        <v/>
      </c>
      <c r="B143" s="20">
        <f>B9</f>
        <v/>
      </c>
      <c r="C143" s="21">
        <f>100*(C9-C8)</f>
        <v/>
      </c>
      <c r="D143" s="21">
        <f>100*(D9-D8)</f>
        <v/>
      </c>
      <c r="E143" s="21">
        <f>100*(E9-E8)</f>
        <v/>
      </c>
      <c r="F143" s="21">
        <f>100*(F9-F8)</f>
        <v/>
      </c>
      <c r="G143" s="21">
        <f>100*(G9-G8)</f>
        <v/>
      </c>
      <c r="H143" s="21">
        <f>100*(H9-H8)</f>
        <v/>
      </c>
      <c r="I143" s="21">
        <f>100*(I9-I8)</f>
        <v/>
      </c>
      <c r="J143" s="21">
        <f>100*(J9-J8)</f>
        <v/>
      </c>
      <c r="K143" s="21">
        <f>100*(K9-K8)</f>
        <v/>
      </c>
      <c r="L143" s="21">
        <f>100*(L9-L8)</f>
        <v/>
      </c>
      <c r="M143" s="21">
        <f>100*(M9-M8)</f>
        <v/>
      </c>
      <c r="N143" s="21">
        <f>100*(N9-N8)</f>
        <v/>
      </c>
      <c r="O143" s="21">
        <f>100*(O9-O8)</f>
        <v/>
      </c>
      <c r="P143" s="21">
        <f>100*(P9-P8)</f>
        <v/>
      </c>
      <c r="Q143" s="21">
        <f>100*(Q9-Q8)</f>
        <v/>
      </c>
      <c r="R143" s="21">
        <f>100*(R9-R8)</f>
        <v/>
      </c>
      <c r="S143" s="21">
        <f>100*(S9-S8)</f>
        <v/>
      </c>
      <c r="T143" s="21">
        <f>100*(T9-T8)</f>
        <v/>
      </c>
      <c r="U143" s="21">
        <f>100*(U9-U8)</f>
        <v/>
      </c>
      <c r="V143" s="21">
        <f>100*(V9-V8)</f>
        <v/>
      </c>
      <c r="W143" s="21">
        <f>100*(W9-W8)</f>
        <v/>
      </c>
      <c r="X143" s="21">
        <f>100*(X9-X8)</f>
        <v/>
      </c>
      <c r="Y143" s="21">
        <f>100*(Y9-Y8)</f>
        <v/>
      </c>
      <c r="Z143" s="21">
        <f>100*(Z9-Z8)</f>
        <v/>
      </c>
      <c r="AA143" s="21">
        <f>100*(AA9-AA8)</f>
        <v/>
      </c>
      <c r="AB143" s="21">
        <f>100*(AB9-AB8)</f>
        <v/>
      </c>
      <c r="AC143" s="21">
        <f>100*(AC9-AC8)</f>
        <v/>
      </c>
      <c r="AD143" s="21">
        <f>100*(AD9-AD8)</f>
        <v/>
      </c>
      <c r="AE143" s="21">
        <f>100*(AE9-AE8)</f>
        <v/>
      </c>
      <c r="AF143" s="21">
        <f>100*(AF9-AF8)</f>
        <v/>
      </c>
      <c r="AG143" s="21">
        <f>100*(AG9-AG8)</f>
        <v/>
      </c>
      <c r="AH143" s="21">
        <f>100*(AH9-AH8)</f>
        <v/>
      </c>
      <c r="AI143" s="21">
        <f>100*(AI9-AI8)</f>
        <v/>
      </c>
      <c r="AJ143" s="21">
        <f>100*(AJ9-AJ8)</f>
        <v/>
      </c>
      <c r="AK143" s="21">
        <f>100*(AK9-AK8)</f>
        <v/>
      </c>
      <c r="AL143" s="21">
        <f>AVERAGE(C143:AK143)</f>
        <v/>
      </c>
    </row>
    <row r="144">
      <c r="A144" s="19">
        <f>A10</f>
        <v/>
      </c>
      <c r="B144" s="20">
        <f>B10</f>
        <v/>
      </c>
      <c r="C144" s="21">
        <f>100*(C10-C9)</f>
        <v/>
      </c>
      <c r="D144" s="21">
        <f>100*(D10-D9)</f>
        <v/>
      </c>
      <c r="E144" s="21">
        <f>100*(E10-E9)</f>
        <v/>
      </c>
      <c r="F144" s="21">
        <f>100*(F10-F9)</f>
        <v/>
      </c>
      <c r="G144" s="21">
        <f>100*(G10-G9)</f>
        <v/>
      </c>
      <c r="H144" s="21">
        <f>100*(H10-H9)</f>
        <v/>
      </c>
      <c r="I144" s="21">
        <f>100*(I10-I9)</f>
        <v/>
      </c>
      <c r="J144" s="21">
        <f>100*(J10-J9)</f>
        <v/>
      </c>
      <c r="K144" s="21">
        <f>100*(K10-K9)</f>
        <v/>
      </c>
      <c r="L144" s="21">
        <f>100*(L10-L9)</f>
        <v/>
      </c>
      <c r="M144" s="21">
        <f>100*(M10-M9)</f>
        <v/>
      </c>
      <c r="N144" s="21">
        <f>100*(N10-N9)</f>
        <v/>
      </c>
      <c r="O144" s="21">
        <f>100*(O10-O9)</f>
        <v/>
      </c>
      <c r="P144" s="21">
        <f>100*(P10-P9)</f>
        <v/>
      </c>
      <c r="Q144" s="21">
        <f>100*(Q10-Q9)</f>
        <v/>
      </c>
      <c r="R144" s="21">
        <f>100*(R10-R9)</f>
        <v/>
      </c>
      <c r="S144" s="21">
        <f>100*(S10-S9)</f>
        <v/>
      </c>
      <c r="T144" s="21">
        <f>100*(T10-T9)</f>
        <v/>
      </c>
      <c r="U144" s="21">
        <f>100*(U10-U9)</f>
        <v/>
      </c>
      <c r="V144" s="21">
        <f>100*(V10-V9)</f>
        <v/>
      </c>
      <c r="W144" s="21">
        <f>100*(W10-W9)</f>
        <v/>
      </c>
      <c r="X144" s="21">
        <f>100*(X10-X9)</f>
        <v/>
      </c>
      <c r="Y144" s="21">
        <f>100*(Y10-Y9)</f>
        <v/>
      </c>
      <c r="Z144" s="21">
        <f>100*(Z10-Z9)</f>
        <v/>
      </c>
      <c r="AA144" s="21">
        <f>100*(AA10-AA9)</f>
        <v/>
      </c>
      <c r="AB144" s="21">
        <f>100*(AB10-AB9)</f>
        <v/>
      </c>
      <c r="AC144" s="21">
        <f>100*(AC10-AC9)</f>
        <v/>
      </c>
      <c r="AD144" s="21">
        <f>100*(AD10-AD9)</f>
        <v/>
      </c>
      <c r="AE144" s="21">
        <f>100*(AE10-AE9)</f>
        <v/>
      </c>
      <c r="AF144" s="21">
        <f>100*(AF10-AF9)</f>
        <v/>
      </c>
      <c r="AG144" s="21">
        <f>100*(AG10-AG9)</f>
        <v/>
      </c>
      <c r="AH144" s="21">
        <f>100*(AH10-AH9)</f>
        <v/>
      </c>
      <c r="AI144" s="21">
        <f>100*(AI10-AI9)</f>
        <v/>
      </c>
      <c r="AJ144" s="21">
        <f>100*(AJ10-AJ9)</f>
        <v/>
      </c>
      <c r="AK144" s="21">
        <f>100*(AK10-AK9)</f>
        <v/>
      </c>
      <c r="AL144" s="21">
        <f>AVERAGE(C144:AK144)</f>
        <v/>
      </c>
    </row>
    <row r="145">
      <c r="A145" s="19">
        <f>A11</f>
        <v/>
      </c>
      <c r="B145" s="20">
        <f>B11</f>
        <v/>
      </c>
      <c r="C145" s="21">
        <f>100*(C11-C10)</f>
        <v/>
      </c>
      <c r="D145" s="21">
        <f>100*(D11-D10)</f>
        <v/>
      </c>
      <c r="E145" s="21">
        <f>100*(E11-E10)</f>
        <v/>
      </c>
      <c r="F145" s="21">
        <f>100*(F11-F10)</f>
        <v/>
      </c>
      <c r="G145" s="21">
        <f>100*(G11-G10)</f>
        <v/>
      </c>
      <c r="H145" s="21">
        <f>100*(H11-H10)</f>
        <v/>
      </c>
      <c r="I145" s="21">
        <f>100*(I11-I10)</f>
        <v/>
      </c>
      <c r="J145" s="21">
        <f>100*(J11-J10)</f>
        <v/>
      </c>
      <c r="K145" s="21">
        <f>100*(K11-K10)</f>
        <v/>
      </c>
      <c r="L145" s="21">
        <f>100*(L11-L10)</f>
        <v/>
      </c>
      <c r="M145" s="21">
        <f>100*(M11-M10)</f>
        <v/>
      </c>
      <c r="N145" s="21">
        <f>100*(N11-N10)</f>
        <v/>
      </c>
      <c r="O145" s="21">
        <f>100*(O11-O10)</f>
        <v/>
      </c>
      <c r="P145" s="21">
        <f>100*(P11-P10)</f>
        <v/>
      </c>
      <c r="Q145" s="21">
        <f>100*(Q11-Q10)</f>
        <v/>
      </c>
      <c r="R145" s="21">
        <f>100*(R11-R10)</f>
        <v/>
      </c>
      <c r="S145" s="21">
        <f>100*(S11-S10)</f>
        <v/>
      </c>
      <c r="T145" s="21">
        <f>100*(T11-T10)</f>
        <v/>
      </c>
      <c r="U145" s="21">
        <f>100*(U11-U10)</f>
        <v/>
      </c>
      <c r="V145" s="21">
        <f>100*(V11-V10)</f>
        <v/>
      </c>
      <c r="W145" s="21">
        <f>100*(W11-W10)</f>
        <v/>
      </c>
      <c r="X145" s="21">
        <f>100*(X11-X10)</f>
        <v/>
      </c>
      <c r="Y145" s="21">
        <f>100*(Y11-Y10)</f>
        <v/>
      </c>
      <c r="Z145" s="21">
        <f>100*(Z11-Z10)</f>
        <v/>
      </c>
      <c r="AA145" s="21">
        <f>100*(AA11-AA10)</f>
        <v/>
      </c>
      <c r="AB145" s="21">
        <f>100*(AB11-AB10)</f>
        <v/>
      </c>
      <c r="AC145" s="21">
        <f>100*(AC11-AC10)</f>
        <v/>
      </c>
      <c r="AD145" s="21">
        <f>100*(AD11-AD10)</f>
        <v/>
      </c>
      <c r="AE145" s="21">
        <f>100*(AE11-AE10)</f>
        <v/>
      </c>
      <c r="AF145" s="21">
        <f>100*(AF11-AF10)</f>
        <v/>
      </c>
      <c r="AG145" s="21">
        <f>100*(AG11-AG10)</f>
        <v/>
      </c>
      <c r="AH145" s="21">
        <f>100*(AH11-AH10)</f>
        <v/>
      </c>
      <c r="AI145" s="21">
        <f>100*(AI11-AI10)</f>
        <v/>
      </c>
      <c r="AJ145" s="21">
        <f>100*(AJ11-AJ10)</f>
        <v/>
      </c>
      <c r="AK145" s="21">
        <f>100*(AK11-AK10)</f>
        <v/>
      </c>
      <c r="AL145" s="21">
        <f>AVERAGE(C145:AK145)</f>
        <v/>
      </c>
    </row>
    <row r="146">
      <c r="A146" s="19">
        <f>A12</f>
        <v/>
      </c>
      <c r="B146" s="20">
        <f>B12</f>
        <v/>
      </c>
      <c r="C146" s="21">
        <f>100*(C12-C11)</f>
        <v/>
      </c>
      <c r="D146" s="21">
        <f>100*(D12-D11)</f>
        <v/>
      </c>
      <c r="E146" s="21">
        <f>100*(E12-E11)</f>
        <v/>
      </c>
      <c r="F146" s="21">
        <f>100*(F12-F11)</f>
        <v/>
      </c>
      <c r="G146" s="21">
        <f>100*(G12-G11)</f>
        <v/>
      </c>
      <c r="H146" s="21">
        <f>100*(H12-H11)</f>
        <v/>
      </c>
      <c r="I146" s="21">
        <f>100*(I12-I11)</f>
        <v/>
      </c>
      <c r="J146" s="21">
        <f>100*(J12-J11)</f>
        <v/>
      </c>
      <c r="K146" s="21">
        <f>100*(K12-K11)</f>
        <v/>
      </c>
      <c r="L146" s="21">
        <f>100*(L12-L11)</f>
        <v/>
      </c>
      <c r="M146" s="21">
        <f>100*(M12-M11)</f>
        <v/>
      </c>
      <c r="N146" s="21">
        <f>100*(N12-N11)</f>
        <v/>
      </c>
      <c r="O146" s="21">
        <f>100*(O12-O11)</f>
        <v/>
      </c>
      <c r="P146" s="21">
        <f>100*(P12-P11)</f>
        <v/>
      </c>
      <c r="Q146" s="21">
        <f>100*(Q12-Q11)</f>
        <v/>
      </c>
      <c r="R146" s="21">
        <f>100*(R12-R11)</f>
        <v/>
      </c>
      <c r="S146" s="21">
        <f>100*(S12-S11)</f>
        <v/>
      </c>
      <c r="T146" s="21">
        <f>100*(T12-T11)</f>
        <v/>
      </c>
      <c r="U146" s="21">
        <f>100*(U12-U11)</f>
        <v/>
      </c>
      <c r="V146" s="21">
        <f>100*(V12-V11)</f>
        <v/>
      </c>
      <c r="W146" s="21">
        <f>100*(W12-W11)</f>
        <v/>
      </c>
      <c r="X146" s="21">
        <f>100*(X12-X11)</f>
        <v/>
      </c>
      <c r="Y146" s="21">
        <f>100*(Y12-Y11)</f>
        <v/>
      </c>
      <c r="Z146" s="21">
        <f>100*(Z12-Z11)</f>
        <v/>
      </c>
      <c r="AA146" s="21">
        <f>100*(AA12-AA11)</f>
        <v/>
      </c>
      <c r="AB146" s="21">
        <f>100*(AB12-AB11)</f>
        <v/>
      </c>
      <c r="AC146" s="21">
        <f>100*(AC12-AC11)</f>
        <v/>
      </c>
      <c r="AD146" s="21">
        <f>100*(AD12-AD11)</f>
        <v/>
      </c>
      <c r="AE146" s="21">
        <f>100*(AE12-AE11)</f>
        <v/>
      </c>
      <c r="AF146" s="21">
        <f>100*(AF12-AF11)</f>
        <v/>
      </c>
      <c r="AG146" s="21">
        <f>100*(AG12-AG11)</f>
        <v/>
      </c>
      <c r="AH146" s="21">
        <f>100*(AH12-AH11)</f>
        <v/>
      </c>
      <c r="AI146" s="21">
        <f>100*(AI12-AI11)</f>
        <v/>
      </c>
      <c r="AJ146" s="21">
        <f>100*(AJ12-AJ11)</f>
        <v/>
      </c>
      <c r="AK146" s="21">
        <f>100*(AK12-AK11)</f>
        <v/>
      </c>
      <c r="AL146" s="21">
        <f>AVERAGE(C146:AK146)</f>
        <v/>
      </c>
    </row>
    <row r="147">
      <c r="A147" s="19">
        <f>A13</f>
        <v/>
      </c>
      <c r="B147" s="20">
        <f>B13</f>
        <v/>
      </c>
      <c r="C147" s="21">
        <f>100*(C13-C12)</f>
        <v/>
      </c>
      <c r="D147" s="21">
        <f>100*(D13-D12)</f>
        <v/>
      </c>
      <c r="E147" s="21">
        <f>100*(E13-E12)</f>
        <v/>
      </c>
      <c r="F147" s="21">
        <f>100*(F13-F12)</f>
        <v/>
      </c>
      <c r="G147" s="21">
        <f>100*(G13-G12)</f>
        <v/>
      </c>
      <c r="H147" s="21">
        <f>100*(H13-H12)</f>
        <v/>
      </c>
      <c r="I147" s="21">
        <f>100*(I13-I12)</f>
        <v/>
      </c>
      <c r="J147" s="21">
        <f>100*(J13-J12)</f>
        <v/>
      </c>
      <c r="K147" s="21">
        <f>100*(K13-K12)</f>
        <v/>
      </c>
      <c r="L147" s="21">
        <f>100*(L13-L12)</f>
        <v/>
      </c>
      <c r="M147" s="21">
        <f>100*(M13-M12)</f>
        <v/>
      </c>
      <c r="N147" s="21">
        <f>100*(N13-N12)</f>
        <v/>
      </c>
      <c r="O147" s="21">
        <f>100*(O13-O12)</f>
        <v/>
      </c>
      <c r="P147" s="21">
        <f>100*(P13-P12)</f>
        <v/>
      </c>
      <c r="Q147" s="21">
        <f>100*(Q13-Q12)</f>
        <v/>
      </c>
      <c r="R147" s="21">
        <f>100*(R13-R12)</f>
        <v/>
      </c>
      <c r="S147" s="21">
        <f>100*(S13-S12)</f>
        <v/>
      </c>
      <c r="T147" s="21">
        <f>100*(T13-T12)</f>
        <v/>
      </c>
      <c r="U147" s="21">
        <f>100*(U13-U12)</f>
        <v/>
      </c>
      <c r="V147" s="21">
        <f>100*(V13-V12)</f>
        <v/>
      </c>
      <c r="W147" s="21">
        <f>100*(W13-W12)</f>
        <v/>
      </c>
      <c r="X147" s="21">
        <f>100*(X13-X12)</f>
        <v/>
      </c>
      <c r="Y147" s="21">
        <f>100*(Y13-Y12)</f>
        <v/>
      </c>
      <c r="Z147" s="21">
        <f>100*(Z13-Z12)</f>
        <v/>
      </c>
      <c r="AA147" s="21">
        <f>100*(AA13-AA12)</f>
        <v/>
      </c>
      <c r="AB147" s="21">
        <f>100*(AB13-AB12)</f>
        <v/>
      </c>
      <c r="AC147" s="21">
        <f>100*(AC13-AC12)</f>
        <v/>
      </c>
      <c r="AD147" s="21">
        <f>100*(AD13-AD12)</f>
        <v/>
      </c>
      <c r="AE147" s="21">
        <f>100*(AE13-AE12)</f>
        <v/>
      </c>
      <c r="AF147" s="21">
        <f>100*(AF13-AF12)</f>
        <v/>
      </c>
      <c r="AG147" s="21">
        <f>100*(AG13-AG12)</f>
        <v/>
      </c>
      <c r="AH147" s="21">
        <f>100*(AH13-AH12)</f>
        <v/>
      </c>
      <c r="AI147" s="21">
        <f>100*(AI13-AI12)</f>
        <v/>
      </c>
      <c r="AJ147" s="21">
        <f>100*(AJ13-AJ12)</f>
        <v/>
      </c>
      <c r="AK147" s="21">
        <f>100*(AK13-AK12)</f>
        <v/>
      </c>
      <c r="AL147" s="21">
        <f>AVERAGE(C147:AK147)</f>
        <v/>
      </c>
    </row>
    <row r="148">
      <c r="A148" s="19">
        <f>A14</f>
        <v/>
      </c>
      <c r="B148" s="20">
        <f>B14</f>
        <v/>
      </c>
      <c r="C148" s="21">
        <f>100*(C14-C13)</f>
        <v/>
      </c>
      <c r="D148" s="21">
        <f>100*(D14-D13)</f>
        <v/>
      </c>
      <c r="E148" s="21">
        <f>100*(E14-E13)</f>
        <v/>
      </c>
      <c r="F148" s="21">
        <f>100*(F14-F13)</f>
        <v/>
      </c>
      <c r="G148" s="21">
        <f>100*(G14-G13)</f>
        <v/>
      </c>
      <c r="H148" s="21">
        <f>100*(H14-H13)</f>
        <v/>
      </c>
      <c r="I148" s="21">
        <f>100*(I14-I13)</f>
        <v/>
      </c>
      <c r="J148" s="21">
        <f>100*(J14-J13)</f>
        <v/>
      </c>
      <c r="K148" s="21">
        <f>100*(K14-K13)</f>
        <v/>
      </c>
      <c r="L148" s="21">
        <f>100*(L14-L13)</f>
        <v/>
      </c>
      <c r="M148" s="21">
        <f>100*(M14-M13)</f>
        <v/>
      </c>
      <c r="N148" s="21">
        <f>100*(N14-N13)</f>
        <v/>
      </c>
      <c r="O148" s="21">
        <f>100*(O14-O13)</f>
        <v/>
      </c>
      <c r="P148" s="21">
        <f>100*(P14-P13)</f>
        <v/>
      </c>
      <c r="Q148" s="21">
        <f>100*(Q14-Q13)</f>
        <v/>
      </c>
      <c r="R148" s="21">
        <f>100*(R14-R13)</f>
        <v/>
      </c>
      <c r="S148" s="21">
        <f>100*(S14-S13)</f>
        <v/>
      </c>
      <c r="T148" s="21">
        <f>100*(T14-T13)</f>
        <v/>
      </c>
      <c r="U148" s="21">
        <f>100*(U14-U13)</f>
        <v/>
      </c>
      <c r="V148" s="21">
        <f>100*(V14-V13)</f>
        <v/>
      </c>
      <c r="W148" s="21">
        <f>100*(W14-W13)</f>
        <v/>
      </c>
      <c r="X148" s="21">
        <f>100*(X14-X13)</f>
        <v/>
      </c>
      <c r="Y148" s="21">
        <f>100*(Y14-Y13)</f>
        <v/>
      </c>
      <c r="Z148" s="21">
        <f>100*(Z14-Z13)</f>
        <v/>
      </c>
      <c r="AA148" s="21">
        <f>100*(AA14-AA13)</f>
        <v/>
      </c>
      <c r="AB148" s="21">
        <f>100*(AB14-AB13)</f>
        <v/>
      </c>
      <c r="AC148" s="21">
        <f>100*(AC14-AC13)</f>
        <v/>
      </c>
      <c r="AD148" s="21">
        <f>100*(AD14-AD13)</f>
        <v/>
      </c>
      <c r="AE148" s="21">
        <f>100*(AE14-AE13)</f>
        <v/>
      </c>
      <c r="AF148" s="21">
        <f>100*(AF14-AF13)</f>
        <v/>
      </c>
      <c r="AG148" s="21">
        <f>100*(AG14-AG13)</f>
        <v/>
      </c>
      <c r="AH148" s="21">
        <f>100*(AH14-AH13)</f>
        <v/>
      </c>
      <c r="AI148" s="21">
        <f>100*(AI14-AI13)</f>
        <v/>
      </c>
      <c r="AJ148" s="21">
        <f>100*(AJ14-AJ13)</f>
        <v/>
      </c>
      <c r="AK148" s="21">
        <f>100*(AK14-AK13)</f>
        <v/>
      </c>
      <c r="AL148" s="21">
        <f>AVERAGE(C148:AK148)</f>
        <v/>
      </c>
    </row>
    <row r="149">
      <c r="A149" s="19">
        <f>A15</f>
        <v/>
      </c>
      <c r="B149" s="20">
        <f>B15</f>
        <v/>
      </c>
      <c r="C149" s="21">
        <f>100*(C15-C14)</f>
        <v/>
      </c>
      <c r="D149" s="21">
        <f>100*(D15-D14)</f>
        <v/>
      </c>
      <c r="E149" s="21">
        <f>100*(E15-E14)</f>
        <v/>
      </c>
      <c r="F149" s="21">
        <f>100*(F15-F14)</f>
        <v/>
      </c>
      <c r="G149" s="21">
        <f>100*(G15-G14)</f>
        <v/>
      </c>
      <c r="H149" s="21">
        <f>100*(H15-H14)</f>
        <v/>
      </c>
      <c r="I149" s="21">
        <f>100*(I15-I14)</f>
        <v/>
      </c>
      <c r="J149" s="21">
        <f>100*(J15-J14)</f>
        <v/>
      </c>
      <c r="K149" s="21">
        <f>100*(K15-K14)</f>
        <v/>
      </c>
      <c r="L149" s="21">
        <f>100*(L15-L14)</f>
        <v/>
      </c>
      <c r="M149" s="21">
        <f>100*(M15-M14)</f>
        <v/>
      </c>
      <c r="N149" s="21">
        <f>100*(N15-N14)</f>
        <v/>
      </c>
      <c r="O149" s="21">
        <f>100*(O15-O14)</f>
        <v/>
      </c>
      <c r="P149" s="21">
        <f>100*(P15-P14)</f>
        <v/>
      </c>
      <c r="Q149" s="21">
        <f>100*(Q15-Q14)</f>
        <v/>
      </c>
      <c r="R149" s="21">
        <f>100*(R15-R14)</f>
        <v/>
      </c>
      <c r="S149" s="21">
        <f>100*(S15-S14)</f>
        <v/>
      </c>
      <c r="T149" s="21">
        <f>100*(T15-T14)</f>
        <v/>
      </c>
      <c r="U149" s="21">
        <f>100*(U15-U14)</f>
        <v/>
      </c>
      <c r="V149" s="21">
        <f>100*(V15-V14)</f>
        <v/>
      </c>
      <c r="W149" s="21">
        <f>100*(W15-W14)</f>
        <v/>
      </c>
      <c r="X149" s="21">
        <f>100*(X15-X14)</f>
        <v/>
      </c>
      <c r="Y149" s="21">
        <f>100*(Y15-Y14)</f>
        <v/>
      </c>
      <c r="Z149" s="21">
        <f>100*(Z15-Z14)</f>
        <v/>
      </c>
      <c r="AA149" s="21">
        <f>100*(AA15-AA14)</f>
        <v/>
      </c>
      <c r="AB149" s="21">
        <f>100*(AB15-AB14)</f>
        <v/>
      </c>
      <c r="AC149" s="21">
        <f>100*(AC15-AC14)</f>
        <v/>
      </c>
      <c r="AD149" s="21">
        <f>100*(AD15-AD14)</f>
        <v/>
      </c>
      <c r="AE149" s="21">
        <f>100*(AE15-AE14)</f>
        <v/>
      </c>
      <c r="AF149" s="21">
        <f>100*(AF15-AF14)</f>
        <v/>
      </c>
      <c r="AG149" s="21">
        <f>100*(AG15-AG14)</f>
        <v/>
      </c>
      <c r="AH149" s="21">
        <f>100*(AH15-AH14)</f>
        <v/>
      </c>
      <c r="AI149" s="21">
        <f>100*(AI15-AI14)</f>
        <v/>
      </c>
      <c r="AJ149" s="21">
        <f>100*(AJ15-AJ14)</f>
        <v/>
      </c>
      <c r="AK149" s="21">
        <f>100*(AK15-AK14)</f>
        <v/>
      </c>
      <c r="AL149" s="21">
        <f>AVERAGE(C149:AK149)</f>
        <v/>
      </c>
    </row>
    <row r="150">
      <c r="A150" s="19">
        <f>A16</f>
        <v/>
      </c>
      <c r="B150" s="20">
        <f>B16</f>
        <v/>
      </c>
      <c r="C150" s="21">
        <f>100*(C16-C15)</f>
        <v/>
      </c>
      <c r="D150" s="21">
        <f>100*(D16-D15)</f>
        <v/>
      </c>
      <c r="E150" s="21">
        <f>100*(E16-E15)</f>
        <v/>
      </c>
      <c r="F150" s="21">
        <f>100*(F16-F15)</f>
        <v/>
      </c>
      <c r="G150" s="21">
        <f>100*(G16-G15)</f>
        <v/>
      </c>
      <c r="H150" s="21">
        <f>100*(H16-H15)</f>
        <v/>
      </c>
      <c r="I150" s="21">
        <f>100*(I16-I15)</f>
        <v/>
      </c>
      <c r="J150" s="21">
        <f>100*(J16-J15)</f>
        <v/>
      </c>
      <c r="K150" s="21">
        <f>100*(K16-K15)</f>
        <v/>
      </c>
      <c r="L150" s="21">
        <f>100*(L16-L15)</f>
        <v/>
      </c>
      <c r="M150" s="21">
        <f>100*(M16-M15)</f>
        <v/>
      </c>
      <c r="N150" s="21">
        <f>100*(N16-N15)</f>
        <v/>
      </c>
      <c r="O150" s="21">
        <f>100*(O16-O15)</f>
        <v/>
      </c>
      <c r="P150" s="21">
        <f>100*(P16-P15)</f>
        <v/>
      </c>
      <c r="Q150" s="21">
        <f>100*(Q16-Q15)</f>
        <v/>
      </c>
      <c r="R150" s="21">
        <f>100*(R16-R15)</f>
        <v/>
      </c>
      <c r="S150" s="21">
        <f>100*(S16-S15)</f>
        <v/>
      </c>
      <c r="T150" s="21">
        <f>100*(T16-T15)</f>
        <v/>
      </c>
      <c r="U150" s="21">
        <f>100*(U16-U15)</f>
        <v/>
      </c>
      <c r="V150" s="21">
        <f>100*(V16-V15)</f>
        <v/>
      </c>
      <c r="W150" s="21">
        <f>100*(W16-W15)</f>
        <v/>
      </c>
      <c r="X150" s="21">
        <f>100*(X16-X15)</f>
        <v/>
      </c>
      <c r="Y150" s="21">
        <f>100*(Y16-Y15)</f>
        <v/>
      </c>
      <c r="Z150" s="21">
        <f>100*(Z16-Z15)</f>
        <v/>
      </c>
      <c r="AA150" s="21">
        <f>100*(AA16-AA15)</f>
        <v/>
      </c>
      <c r="AB150" s="21">
        <f>100*(AB16-AB15)</f>
        <v/>
      </c>
      <c r="AC150" s="21">
        <f>100*(AC16-AC15)</f>
        <v/>
      </c>
      <c r="AD150" s="21">
        <f>100*(AD16-AD15)</f>
        <v/>
      </c>
      <c r="AE150" s="21">
        <f>100*(AE16-AE15)</f>
        <v/>
      </c>
      <c r="AF150" s="21">
        <f>100*(AF16-AF15)</f>
        <v/>
      </c>
      <c r="AG150" s="21">
        <f>100*(AG16-AG15)</f>
        <v/>
      </c>
      <c r="AH150" s="21">
        <f>100*(AH16-AH15)</f>
        <v/>
      </c>
      <c r="AI150" s="21">
        <f>100*(AI16-AI15)</f>
        <v/>
      </c>
      <c r="AJ150" s="21">
        <f>100*(AJ16-AJ15)</f>
        <v/>
      </c>
      <c r="AK150" s="21">
        <f>100*(AK16-AK15)</f>
        <v/>
      </c>
      <c r="AL150" s="21">
        <f>AVERAGE(C150:AK150)</f>
        <v/>
      </c>
    </row>
    <row r="151">
      <c r="A151" s="19">
        <f>A17</f>
        <v/>
      </c>
      <c r="B151" s="20">
        <f>B17</f>
        <v/>
      </c>
      <c r="C151" s="21">
        <f>100*(C17-C16)</f>
        <v/>
      </c>
      <c r="D151" s="21">
        <f>100*(D17-D16)</f>
        <v/>
      </c>
      <c r="E151" s="21">
        <f>100*(E17-E16)</f>
        <v/>
      </c>
      <c r="F151" s="21">
        <f>100*(F17-F16)</f>
        <v/>
      </c>
      <c r="G151" s="21">
        <f>100*(G17-G16)</f>
        <v/>
      </c>
      <c r="H151" s="21">
        <f>100*(H17-H16)</f>
        <v/>
      </c>
      <c r="I151" s="21">
        <f>100*(I17-I16)</f>
        <v/>
      </c>
      <c r="J151" s="21">
        <f>100*(J17-J16)</f>
        <v/>
      </c>
      <c r="K151" s="21">
        <f>100*(K17-K16)</f>
        <v/>
      </c>
      <c r="L151" s="21">
        <f>100*(L17-L16)</f>
        <v/>
      </c>
      <c r="M151" s="21">
        <f>100*(M17-M16)</f>
        <v/>
      </c>
      <c r="N151" s="21">
        <f>100*(N17-N16)</f>
        <v/>
      </c>
      <c r="O151" s="21">
        <f>100*(O17-O16)</f>
        <v/>
      </c>
      <c r="P151" s="21">
        <f>100*(P17-P16)</f>
        <v/>
      </c>
      <c r="Q151" s="21">
        <f>100*(Q17-Q16)</f>
        <v/>
      </c>
      <c r="R151" s="21">
        <f>100*(R17-R16)</f>
        <v/>
      </c>
      <c r="S151" s="21">
        <f>100*(S17-S16)</f>
        <v/>
      </c>
      <c r="T151" s="21">
        <f>100*(T17-T16)</f>
        <v/>
      </c>
      <c r="U151" s="21">
        <f>100*(U17-U16)</f>
        <v/>
      </c>
      <c r="V151" s="21">
        <f>100*(V17-V16)</f>
        <v/>
      </c>
      <c r="W151" s="21">
        <f>100*(W17-W16)</f>
        <v/>
      </c>
      <c r="X151" s="21">
        <f>100*(X17-X16)</f>
        <v/>
      </c>
      <c r="Y151" s="21">
        <f>100*(Y17-Y16)</f>
        <v/>
      </c>
      <c r="Z151" s="21">
        <f>100*(Z17-Z16)</f>
        <v/>
      </c>
      <c r="AA151" s="21">
        <f>100*(AA17-AA16)</f>
        <v/>
      </c>
      <c r="AB151" s="21">
        <f>100*(AB17-AB16)</f>
        <v/>
      </c>
      <c r="AC151" s="21">
        <f>100*(AC17-AC16)</f>
        <v/>
      </c>
      <c r="AD151" s="21">
        <f>100*(AD17-AD16)</f>
        <v/>
      </c>
      <c r="AE151" s="21">
        <f>100*(AE17-AE16)</f>
        <v/>
      </c>
      <c r="AF151" s="21">
        <f>100*(AF17-AF16)</f>
        <v/>
      </c>
      <c r="AG151" s="21">
        <f>100*(AG17-AG16)</f>
        <v/>
      </c>
      <c r="AH151" s="21">
        <f>100*(AH17-AH16)</f>
        <v/>
      </c>
      <c r="AI151" s="21">
        <f>100*(AI17-AI16)</f>
        <v/>
      </c>
      <c r="AJ151" s="21">
        <f>100*(AJ17-AJ16)</f>
        <v/>
      </c>
      <c r="AK151" s="21">
        <f>100*(AK17-AK16)</f>
        <v/>
      </c>
      <c r="AL151" s="21">
        <f>AVERAGE(C151:AK151)</f>
        <v/>
      </c>
    </row>
    <row r="152">
      <c r="A152" s="19">
        <f>A18</f>
        <v/>
      </c>
      <c r="B152" s="20">
        <f>B18</f>
        <v/>
      </c>
      <c r="C152" s="21">
        <f>100*(C18-C17)</f>
        <v/>
      </c>
      <c r="D152" s="21">
        <f>100*(D18-D17)</f>
        <v/>
      </c>
      <c r="E152" s="21">
        <f>100*(E18-E17)</f>
        <v/>
      </c>
      <c r="F152" s="21">
        <f>100*(F18-F17)</f>
        <v/>
      </c>
      <c r="G152" s="21">
        <f>100*(G18-G17)</f>
        <v/>
      </c>
      <c r="H152" s="21">
        <f>100*(H18-H17)</f>
        <v/>
      </c>
      <c r="I152" s="21">
        <f>100*(I18-I17)</f>
        <v/>
      </c>
      <c r="J152" s="21">
        <f>100*(J18-J17)</f>
        <v/>
      </c>
      <c r="K152" s="21">
        <f>100*(K18-K17)</f>
        <v/>
      </c>
      <c r="L152" s="21">
        <f>100*(L18-L17)</f>
        <v/>
      </c>
      <c r="M152" s="21">
        <f>100*(M18-M17)</f>
        <v/>
      </c>
      <c r="N152" s="21">
        <f>100*(N18-N17)</f>
        <v/>
      </c>
      <c r="O152" s="21">
        <f>100*(O18-O17)</f>
        <v/>
      </c>
      <c r="P152" s="21">
        <f>100*(P18-P17)</f>
        <v/>
      </c>
      <c r="Q152" s="21">
        <f>100*(Q18-Q17)</f>
        <v/>
      </c>
      <c r="R152" s="21">
        <f>100*(R18-R17)</f>
        <v/>
      </c>
      <c r="S152" s="21">
        <f>100*(S18-S17)</f>
        <v/>
      </c>
      <c r="T152" s="21">
        <f>100*(T18-T17)</f>
        <v/>
      </c>
      <c r="U152" s="21">
        <f>100*(U18-U17)</f>
        <v/>
      </c>
      <c r="V152" s="21">
        <f>100*(V18-V17)</f>
        <v/>
      </c>
      <c r="W152" s="21">
        <f>100*(W18-W17)</f>
        <v/>
      </c>
      <c r="X152" s="21">
        <f>100*(X18-X17)</f>
        <v/>
      </c>
      <c r="Y152" s="21">
        <f>100*(Y18-Y17)</f>
        <v/>
      </c>
      <c r="Z152" s="21">
        <f>100*(Z18-Z17)</f>
        <v/>
      </c>
      <c r="AA152" s="21">
        <f>100*(AA18-AA17)</f>
        <v/>
      </c>
      <c r="AB152" s="21">
        <f>100*(AB18-AB17)</f>
        <v/>
      </c>
      <c r="AC152" s="21">
        <f>100*(AC18-AC17)</f>
        <v/>
      </c>
      <c r="AD152" s="21">
        <f>100*(AD18-AD17)</f>
        <v/>
      </c>
      <c r="AE152" s="21">
        <f>100*(AE18-AE17)</f>
        <v/>
      </c>
      <c r="AF152" s="21">
        <f>100*(AF18-AF17)</f>
        <v/>
      </c>
      <c r="AG152" s="21">
        <f>100*(AG18-AG17)</f>
        <v/>
      </c>
      <c r="AH152" s="21">
        <f>100*(AH18-AH17)</f>
        <v/>
      </c>
      <c r="AI152" s="21">
        <f>100*(AI18-AI17)</f>
        <v/>
      </c>
      <c r="AJ152" s="21">
        <f>100*(AJ18-AJ17)</f>
        <v/>
      </c>
      <c r="AK152" s="21">
        <f>100*(AK18-AK17)</f>
        <v/>
      </c>
      <c r="AL152" s="21">
        <f>AVERAGE(C152:AK152)</f>
        <v/>
      </c>
    </row>
    <row r="153">
      <c r="A153" s="19">
        <f>A19</f>
        <v/>
      </c>
      <c r="B153" s="20">
        <f>B19</f>
        <v/>
      </c>
      <c r="C153" s="21">
        <f>100*(C19-C18)</f>
        <v/>
      </c>
      <c r="D153" s="21">
        <f>100*(D19-D18)</f>
        <v/>
      </c>
      <c r="E153" s="21">
        <f>100*(E19-E18)</f>
        <v/>
      </c>
      <c r="F153" s="21">
        <f>100*(F19-F18)</f>
        <v/>
      </c>
      <c r="G153" s="21">
        <f>100*(G19-G18)</f>
        <v/>
      </c>
      <c r="H153" s="21">
        <f>100*(H19-H18)</f>
        <v/>
      </c>
      <c r="I153" s="21">
        <f>100*(I19-I18)</f>
        <v/>
      </c>
      <c r="J153" s="21">
        <f>100*(J19-J18)</f>
        <v/>
      </c>
      <c r="K153" s="21">
        <f>100*(K19-K18)</f>
        <v/>
      </c>
      <c r="L153" s="21">
        <f>100*(L19-L18)</f>
        <v/>
      </c>
      <c r="M153" s="21">
        <f>100*(M19-M18)</f>
        <v/>
      </c>
      <c r="N153" s="21">
        <f>100*(N19-N18)</f>
        <v/>
      </c>
      <c r="O153" s="21">
        <f>100*(O19-O18)</f>
        <v/>
      </c>
      <c r="P153" s="21">
        <f>100*(P19-P18)</f>
        <v/>
      </c>
      <c r="Q153" s="21">
        <f>100*(Q19-Q18)</f>
        <v/>
      </c>
      <c r="R153" s="21">
        <f>100*(R19-R18)</f>
        <v/>
      </c>
      <c r="S153" s="21">
        <f>100*(S19-S18)</f>
        <v/>
      </c>
      <c r="T153" s="21">
        <f>100*(T19-T18)</f>
        <v/>
      </c>
      <c r="U153" s="21">
        <f>100*(U19-U18)</f>
        <v/>
      </c>
      <c r="V153" s="21">
        <f>100*(V19-V18)</f>
        <v/>
      </c>
      <c r="W153" s="21">
        <f>100*(W19-W18)</f>
        <v/>
      </c>
      <c r="X153" s="21">
        <f>100*(X19-X18)</f>
        <v/>
      </c>
      <c r="Y153" s="21">
        <f>100*(Y19-Y18)</f>
        <v/>
      </c>
      <c r="Z153" s="21">
        <f>100*(Z19-Z18)</f>
        <v/>
      </c>
      <c r="AA153" s="21">
        <f>100*(AA19-AA18)</f>
        <v/>
      </c>
      <c r="AB153" s="21">
        <f>100*(AB19-AB18)</f>
        <v/>
      </c>
      <c r="AC153" s="21">
        <f>100*(AC19-AC18)</f>
        <v/>
      </c>
      <c r="AD153" s="21">
        <f>100*(AD19-AD18)</f>
        <v/>
      </c>
      <c r="AE153" s="21">
        <f>100*(AE19-AE18)</f>
        <v/>
      </c>
      <c r="AF153" s="21">
        <f>100*(AF19-AF18)</f>
        <v/>
      </c>
      <c r="AG153" s="21">
        <f>100*(AG19-AG18)</f>
        <v/>
      </c>
      <c r="AH153" s="21">
        <f>100*(AH19-AH18)</f>
        <v/>
      </c>
      <c r="AI153" s="21">
        <f>100*(AI19-AI18)</f>
        <v/>
      </c>
      <c r="AJ153" s="21">
        <f>100*(AJ19-AJ18)</f>
        <v/>
      </c>
      <c r="AK153" s="21">
        <f>100*(AK19-AK18)</f>
        <v/>
      </c>
      <c r="AL153" s="21">
        <f>AVERAGE(C153:AK153)</f>
        <v/>
      </c>
    </row>
    <row r="154">
      <c r="A154" s="19">
        <f>A20</f>
        <v/>
      </c>
      <c r="B154" s="20">
        <f>B20</f>
        <v/>
      </c>
      <c r="C154" s="21">
        <f>100*(C20-C19)</f>
        <v/>
      </c>
      <c r="D154" s="21">
        <f>100*(D20-D19)</f>
        <v/>
      </c>
      <c r="E154" s="21">
        <f>100*(E20-E19)</f>
        <v/>
      </c>
      <c r="F154" s="21">
        <f>100*(F20-F19)</f>
        <v/>
      </c>
      <c r="G154" s="21">
        <f>100*(G20-G19)</f>
        <v/>
      </c>
      <c r="H154" s="21">
        <f>100*(H20-H19)</f>
        <v/>
      </c>
      <c r="I154" s="21">
        <f>100*(I20-I19)</f>
        <v/>
      </c>
      <c r="J154" s="21">
        <f>100*(J20-J19)</f>
        <v/>
      </c>
      <c r="K154" s="21">
        <f>100*(K20-K19)</f>
        <v/>
      </c>
      <c r="L154" s="21">
        <f>100*(L20-L19)</f>
        <v/>
      </c>
      <c r="M154" s="21">
        <f>100*(M20-M19)</f>
        <v/>
      </c>
      <c r="N154" s="21">
        <f>100*(N20-N19)</f>
        <v/>
      </c>
      <c r="O154" s="21">
        <f>100*(O20-O19)</f>
        <v/>
      </c>
      <c r="P154" s="21">
        <f>100*(P20-P19)</f>
        <v/>
      </c>
      <c r="Q154" s="21">
        <f>100*(Q20-Q19)</f>
        <v/>
      </c>
      <c r="R154" s="21">
        <f>100*(R20-R19)</f>
        <v/>
      </c>
      <c r="S154" s="21">
        <f>100*(S20-S19)</f>
        <v/>
      </c>
      <c r="T154" s="21">
        <f>100*(T20-T19)</f>
        <v/>
      </c>
      <c r="U154" s="21">
        <f>100*(U20-U19)</f>
        <v/>
      </c>
      <c r="V154" s="21">
        <f>100*(V20-V19)</f>
        <v/>
      </c>
      <c r="W154" s="21">
        <f>100*(W20-W19)</f>
        <v/>
      </c>
      <c r="X154" s="21">
        <f>100*(X20-X19)</f>
        <v/>
      </c>
      <c r="Y154" s="21">
        <f>100*(Y20-Y19)</f>
        <v/>
      </c>
      <c r="Z154" s="21">
        <f>100*(Z20-Z19)</f>
        <v/>
      </c>
      <c r="AA154" s="21">
        <f>100*(AA20-AA19)</f>
        <v/>
      </c>
      <c r="AB154" s="21">
        <f>100*(AB20-AB19)</f>
        <v/>
      </c>
      <c r="AC154" s="21">
        <f>100*(AC20-AC19)</f>
        <v/>
      </c>
      <c r="AD154" s="21">
        <f>100*(AD20-AD19)</f>
        <v/>
      </c>
      <c r="AE154" s="21">
        <f>100*(AE20-AE19)</f>
        <v/>
      </c>
      <c r="AF154" s="21">
        <f>100*(AF20-AF19)</f>
        <v/>
      </c>
      <c r="AG154" s="21">
        <f>100*(AG20-AG19)</f>
        <v/>
      </c>
      <c r="AH154" s="21">
        <f>100*(AH20-AH19)</f>
        <v/>
      </c>
      <c r="AI154" s="21">
        <f>100*(AI20-AI19)</f>
        <v/>
      </c>
      <c r="AJ154" s="21">
        <f>100*(AJ20-AJ19)</f>
        <v/>
      </c>
      <c r="AK154" s="21">
        <f>100*(AK20-AK19)</f>
        <v/>
      </c>
      <c r="AL154" s="21">
        <f>AVERAGE(C154:AK154)</f>
        <v/>
      </c>
    </row>
    <row r="155">
      <c r="A155" s="19">
        <f>A21</f>
        <v/>
      </c>
      <c r="B155" s="20">
        <f>B21</f>
        <v/>
      </c>
      <c r="C155" s="21">
        <f>100*(C21-C20)</f>
        <v/>
      </c>
      <c r="D155" s="21">
        <f>100*(D21-D20)</f>
        <v/>
      </c>
      <c r="E155" s="21">
        <f>100*(E21-E20)</f>
        <v/>
      </c>
      <c r="F155" s="21">
        <f>100*(F21-F20)</f>
        <v/>
      </c>
      <c r="G155" s="21">
        <f>100*(G21-G20)</f>
        <v/>
      </c>
      <c r="H155" s="21">
        <f>100*(H21-H20)</f>
        <v/>
      </c>
      <c r="I155" s="21">
        <f>100*(I21-I20)</f>
        <v/>
      </c>
      <c r="J155" s="21">
        <f>100*(J21-J20)</f>
        <v/>
      </c>
      <c r="K155" s="21">
        <f>100*(K21-K20)</f>
        <v/>
      </c>
      <c r="L155" s="21">
        <f>100*(L21-L20)</f>
        <v/>
      </c>
      <c r="M155" s="21">
        <f>100*(M21-M20)</f>
        <v/>
      </c>
      <c r="N155" s="21">
        <f>100*(N21-N20)</f>
        <v/>
      </c>
      <c r="O155" s="21">
        <f>100*(O21-O20)</f>
        <v/>
      </c>
      <c r="P155" s="21">
        <f>100*(P21-P20)</f>
        <v/>
      </c>
      <c r="Q155" s="21">
        <f>100*(Q21-Q20)</f>
        <v/>
      </c>
      <c r="R155" s="21">
        <f>100*(R21-R20)</f>
        <v/>
      </c>
      <c r="S155" s="21">
        <f>100*(S21-S20)</f>
        <v/>
      </c>
      <c r="T155" s="21">
        <f>100*(T21-T20)</f>
        <v/>
      </c>
      <c r="U155" s="21">
        <f>100*(U21-U20)</f>
        <v/>
      </c>
      <c r="V155" s="21">
        <f>100*(V21-V20)</f>
        <v/>
      </c>
      <c r="W155" s="21">
        <f>100*(W21-W20)</f>
        <v/>
      </c>
      <c r="X155" s="21">
        <f>100*(X21-X20)</f>
        <v/>
      </c>
      <c r="Y155" s="21">
        <f>100*(Y21-Y20)</f>
        <v/>
      </c>
      <c r="Z155" s="21">
        <f>100*(Z21-Z20)</f>
        <v/>
      </c>
      <c r="AA155" s="21">
        <f>100*(AA21-AA20)</f>
        <v/>
      </c>
      <c r="AB155" s="21">
        <f>100*(AB21-AB20)</f>
        <v/>
      </c>
      <c r="AC155" s="21">
        <f>100*(AC21-AC20)</f>
        <v/>
      </c>
      <c r="AD155" s="21">
        <f>100*(AD21-AD20)</f>
        <v/>
      </c>
      <c r="AE155" s="21">
        <f>100*(AE21-AE20)</f>
        <v/>
      </c>
      <c r="AF155" s="21">
        <f>100*(AF21-AF20)</f>
        <v/>
      </c>
      <c r="AG155" s="21">
        <f>100*(AG21-AG20)</f>
        <v/>
      </c>
      <c r="AH155" s="21">
        <f>100*(AH21-AH20)</f>
        <v/>
      </c>
      <c r="AI155" s="21">
        <f>100*(AI21-AI20)</f>
        <v/>
      </c>
      <c r="AJ155" s="21">
        <f>100*(AJ21-AJ20)</f>
        <v/>
      </c>
      <c r="AK155" s="21">
        <f>100*(AK21-AK20)</f>
        <v/>
      </c>
      <c r="AL155" s="21">
        <f>AVERAGE(C155:AK155)</f>
        <v/>
      </c>
    </row>
    <row r="156">
      <c r="A156" s="19">
        <f>A22</f>
        <v/>
      </c>
      <c r="B156" s="20">
        <f>B22</f>
        <v/>
      </c>
      <c r="C156" s="21">
        <f>100*(C22-C21)</f>
        <v/>
      </c>
      <c r="D156" s="21">
        <f>100*(D22-D21)</f>
        <v/>
      </c>
      <c r="E156" s="21">
        <f>100*(E22-E21)</f>
        <v/>
      </c>
      <c r="F156" s="21">
        <f>100*(F22-F21)</f>
        <v/>
      </c>
      <c r="G156" s="21">
        <f>100*(G22-G21)</f>
        <v/>
      </c>
      <c r="H156" s="21">
        <f>100*(H22-H21)</f>
        <v/>
      </c>
      <c r="I156" s="21">
        <f>100*(I22-I21)</f>
        <v/>
      </c>
      <c r="J156" s="21">
        <f>100*(J22-J21)</f>
        <v/>
      </c>
      <c r="K156" s="21">
        <f>100*(K22-K21)</f>
        <v/>
      </c>
      <c r="L156" s="21">
        <f>100*(L22-L21)</f>
        <v/>
      </c>
      <c r="M156" s="21">
        <f>100*(M22-M21)</f>
        <v/>
      </c>
      <c r="N156" s="21">
        <f>100*(N22-N21)</f>
        <v/>
      </c>
      <c r="O156" s="21">
        <f>100*(O22-O21)</f>
        <v/>
      </c>
      <c r="P156" s="21">
        <f>100*(P22-P21)</f>
        <v/>
      </c>
      <c r="Q156" s="21">
        <f>100*(Q22-Q21)</f>
        <v/>
      </c>
      <c r="R156" s="21">
        <f>100*(R22-R21)</f>
        <v/>
      </c>
      <c r="S156" s="21">
        <f>100*(S22-S21)</f>
        <v/>
      </c>
      <c r="T156" s="21">
        <f>100*(T22-T21)</f>
        <v/>
      </c>
      <c r="U156" s="21">
        <f>100*(U22-U21)</f>
        <v/>
      </c>
      <c r="V156" s="21">
        <f>100*(V22-V21)</f>
        <v/>
      </c>
      <c r="W156" s="21">
        <f>100*(W22-W21)</f>
        <v/>
      </c>
      <c r="X156" s="21">
        <f>100*(X22-X21)</f>
        <v/>
      </c>
      <c r="Y156" s="21">
        <f>100*(Y22-Y21)</f>
        <v/>
      </c>
      <c r="Z156" s="21">
        <f>100*(Z22-Z21)</f>
        <v/>
      </c>
      <c r="AA156" s="21">
        <f>100*(AA22-AA21)</f>
        <v/>
      </c>
      <c r="AB156" s="21">
        <f>100*(AB22-AB21)</f>
        <v/>
      </c>
      <c r="AC156" s="21">
        <f>100*(AC22-AC21)</f>
        <v/>
      </c>
      <c r="AD156" s="21">
        <f>100*(AD22-AD21)</f>
        <v/>
      </c>
      <c r="AE156" s="21">
        <f>100*(AE22-AE21)</f>
        <v/>
      </c>
      <c r="AF156" s="21">
        <f>100*(AF22-AF21)</f>
        <v/>
      </c>
      <c r="AG156" s="21">
        <f>100*(AG22-AG21)</f>
        <v/>
      </c>
      <c r="AH156" s="21">
        <f>100*(AH22-AH21)</f>
        <v/>
      </c>
      <c r="AI156" s="21">
        <f>100*(AI22-AI21)</f>
        <v/>
      </c>
      <c r="AJ156" s="21">
        <f>100*(AJ22-AJ21)</f>
        <v/>
      </c>
      <c r="AK156" s="21">
        <f>100*(AK22-AK21)</f>
        <v/>
      </c>
      <c r="AL156" s="21">
        <f>AVERAGE(C156:AK156)</f>
        <v/>
      </c>
    </row>
    <row r="157">
      <c r="A157" s="19">
        <f>A23</f>
        <v/>
      </c>
      <c r="B157" s="20">
        <f>B23</f>
        <v/>
      </c>
      <c r="C157" s="21">
        <f>100*(C23-C22)</f>
        <v/>
      </c>
      <c r="D157" s="21">
        <f>100*(D23-D22)</f>
        <v/>
      </c>
      <c r="E157" s="21">
        <f>100*(E23-E22)</f>
        <v/>
      </c>
      <c r="F157" s="21">
        <f>100*(F23-F22)</f>
        <v/>
      </c>
      <c r="G157" s="21">
        <f>100*(G23-G22)</f>
        <v/>
      </c>
      <c r="H157" s="21">
        <f>100*(H23-H22)</f>
        <v/>
      </c>
      <c r="I157" s="21">
        <f>100*(I23-I22)</f>
        <v/>
      </c>
      <c r="J157" s="21">
        <f>100*(J23-J22)</f>
        <v/>
      </c>
      <c r="K157" s="21">
        <f>100*(K23-K22)</f>
        <v/>
      </c>
      <c r="L157" s="21">
        <f>100*(L23-L22)</f>
        <v/>
      </c>
      <c r="M157" s="21">
        <f>100*(M23-M22)</f>
        <v/>
      </c>
      <c r="N157" s="21">
        <f>100*(N23-N22)</f>
        <v/>
      </c>
      <c r="O157" s="21">
        <f>100*(O23-O22)</f>
        <v/>
      </c>
      <c r="P157" s="21">
        <f>100*(P23-P22)</f>
        <v/>
      </c>
      <c r="Q157" s="21">
        <f>100*(Q23-Q22)</f>
        <v/>
      </c>
      <c r="R157" s="21">
        <f>100*(R23-R22)</f>
        <v/>
      </c>
      <c r="S157" s="21">
        <f>100*(S23-S22)</f>
        <v/>
      </c>
      <c r="T157" s="21">
        <f>100*(T23-T22)</f>
        <v/>
      </c>
      <c r="U157" s="21">
        <f>100*(U23-U22)</f>
        <v/>
      </c>
      <c r="V157" s="21">
        <f>100*(V23-V22)</f>
        <v/>
      </c>
      <c r="W157" s="21">
        <f>100*(W23-W22)</f>
        <v/>
      </c>
      <c r="X157" s="21">
        <f>100*(X23-X22)</f>
        <v/>
      </c>
      <c r="Y157" s="21">
        <f>100*(Y23-Y22)</f>
        <v/>
      </c>
      <c r="Z157" s="21">
        <f>100*(Z23-Z22)</f>
        <v/>
      </c>
      <c r="AA157" s="21">
        <f>100*(AA23-AA22)</f>
        <v/>
      </c>
      <c r="AB157" s="21">
        <f>100*(AB23-AB22)</f>
        <v/>
      </c>
      <c r="AC157" s="21">
        <f>100*(AC23-AC22)</f>
        <v/>
      </c>
      <c r="AD157" s="21">
        <f>100*(AD23-AD22)</f>
        <v/>
      </c>
      <c r="AE157" s="21">
        <f>100*(AE23-AE22)</f>
        <v/>
      </c>
      <c r="AF157" s="21">
        <f>100*(AF23-AF22)</f>
        <v/>
      </c>
      <c r="AG157" s="21">
        <f>100*(AG23-AG22)</f>
        <v/>
      </c>
      <c r="AH157" s="21">
        <f>100*(AH23-AH22)</f>
        <v/>
      </c>
      <c r="AI157" s="21">
        <f>100*(AI23-AI22)</f>
        <v/>
      </c>
      <c r="AJ157" s="21">
        <f>100*(AJ23-AJ22)</f>
        <v/>
      </c>
      <c r="AK157" s="21">
        <f>100*(AK23-AK22)</f>
        <v/>
      </c>
      <c r="AL157" s="21">
        <f>AVERAGE(C157:AK157)</f>
        <v/>
      </c>
    </row>
    <row r="158">
      <c r="A158" s="19">
        <f>A24</f>
        <v/>
      </c>
      <c r="B158" s="20">
        <f>B24</f>
        <v/>
      </c>
      <c r="C158" s="21">
        <f>100*(C24-C23)</f>
        <v/>
      </c>
      <c r="D158" s="21">
        <f>100*(D24-D23)</f>
        <v/>
      </c>
      <c r="E158" s="21">
        <f>100*(E24-E23)</f>
        <v/>
      </c>
      <c r="F158" s="21">
        <f>100*(F24-F23)</f>
        <v/>
      </c>
      <c r="G158" s="21">
        <f>100*(G24-G23)</f>
        <v/>
      </c>
      <c r="H158" s="21">
        <f>100*(H24-H23)</f>
        <v/>
      </c>
      <c r="I158" s="21">
        <f>100*(I24-I23)</f>
        <v/>
      </c>
      <c r="J158" s="21">
        <f>100*(J24-J23)</f>
        <v/>
      </c>
      <c r="K158" s="21">
        <f>100*(K24-K23)</f>
        <v/>
      </c>
      <c r="L158" s="21">
        <f>100*(L24-L23)</f>
        <v/>
      </c>
      <c r="M158" s="21">
        <f>100*(M24-M23)</f>
        <v/>
      </c>
      <c r="N158" s="21">
        <f>100*(N24-N23)</f>
        <v/>
      </c>
      <c r="O158" s="21">
        <f>100*(O24-O23)</f>
        <v/>
      </c>
      <c r="P158" s="21">
        <f>100*(P24-P23)</f>
        <v/>
      </c>
      <c r="Q158" s="21">
        <f>100*(Q24-Q23)</f>
        <v/>
      </c>
      <c r="R158" s="21">
        <f>100*(R24-R23)</f>
        <v/>
      </c>
      <c r="S158" s="21">
        <f>100*(S24-S23)</f>
        <v/>
      </c>
      <c r="T158" s="21">
        <f>100*(T24-T23)</f>
        <v/>
      </c>
      <c r="U158" s="21">
        <f>100*(U24-U23)</f>
        <v/>
      </c>
      <c r="V158" s="21">
        <f>100*(V24-V23)</f>
        <v/>
      </c>
      <c r="W158" s="21">
        <f>100*(W24-W23)</f>
        <v/>
      </c>
      <c r="X158" s="21">
        <f>100*(X24-X23)</f>
        <v/>
      </c>
      <c r="Y158" s="21">
        <f>100*(Y24-Y23)</f>
        <v/>
      </c>
      <c r="Z158" s="21">
        <f>100*(Z24-Z23)</f>
        <v/>
      </c>
      <c r="AA158" s="21">
        <f>100*(AA24-AA23)</f>
        <v/>
      </c>
      <c r="AB158" s="21">
        <f>100*(AB24-AB23)</f>
        <v/>
      </c>
      <c r="AC158" s="21">
        <f>100*(AC24-AC23)</f>
        <v/>
      </c>
      <c r="AD158" s="21">
        <f>100*(AD24-AD23)</f>
        <v/>
      </c>
      <c r="AE158" s="21">
        <f>100*(AE24-AE23)</f>
        <v/>
      </c>
      <c r="AF158" s="21">
        <f>100*(AF24-AF23)</f>
        <v/>
      </c>
      <c r="AG158" s="21">
        <f>100*(AG24-AG23)</f>
        <v/>
      </c>
      <c r="AH158" s="21">
        <f>100*(AH24-AH23)</f>
        <v/>
      </c>
      <c r="AI158" s="21">
        <f>100*(AI24-AI23)</f>
        <v/>
      </c>
      <c r="AJ158" s="21">
        <f>100*(AJ24-AJ23)</f>
        <v/>
      </c>
      <c r="AK158" s="21">
        <f>100*(AK24-AK23)</f>
        <v/>
      </c>
      <c r="AL158" s="21">
        <f>AVERAGE(C158:AK158)</f>
        <v/>
      </c>
    </row>
    <row r="159">
      <c r="A159" s="19">
        <f>A25</f>
        <v/>
      </c>
      <c r="B159" s="20">
        <f>B25</f>
        <v/>
      </c>
      <c r="C159" s="21">
        <f>100*(C25-C24)</f>
        <v/>
      </c>
      <c r="D159" s="21">
        <f>100*(D25-D24)</f>
        <v/>
      </c>
      <c r="E159" s="21">
        <f>100*(E25-E24)</f>
        <v/>
      </c>
      <c r="F159" s="21">
        <f>100*(F25-F24)</f>
        <v/>
      </c>
      <c r="G159" s="21">
        <f>100*(G25-G24)</f>
        <v/>
      </c>
      <c r="H159" s="21">
        <f>100*(H25-H24)</f>
        <v/>
      </c>
      <c r="I159" s="21">
        <f>100*(I25-I24)</f>
        <v/>
      </c>
      <c r="J159" s="21">
        <f>100*(J25-J24)</f>
        <v/>
      </c>
      <c r="K159" s="21">
        <f>100*(K25-K24)</f>
        <v/>
      </c>
      <c r="L159" s="21">
        <f>100*(L25-L24)</f>
        <v/>
      </c>
      <c r="M159" s="21">
        <f>100*(M25-M24)</f>
        <v/>
      </c>
      <c r="N159" s="21">
        <f>100*(N25-N24)</f>
        <v/>
      </c>
      <c r="O159" s="21">
        <f>100*(O25-O24)</f>
        <v/>
      </c>
      <c r="P159" s="21">
        <f>100*(P25-P24)</f>
        <v/>
      </c>
      <c r="Q159" s="21">
        <f>100*(Q25-Q24)</f>
        <v/>
      </c>
      <c r="R159" s="21">
        <f>100*(R25-R24)</f>
        <v/>
      </c>
      <c r="S159" s="21">
        <f>100*(S25-S24)</f>
        <v/>
      </c>
      <c r="T159" s="21">
        <f>100*(T25-T24)</f>
        <v/>
      </c>
      <c r="U159" s="21">
        <f>100*(U25-U24)</f>
        <v/>
      </c>
      <c r="V159" s="21">
        <f>100*(V25-V24)</f>
        <v/>
      </c>
      <c r="W159" s="21">
        <f>100*(W25-W24)</f>
        <v/>
      </c>
      <c r="X159" s="21">
        <f>100*(X25-X24)</f>
        <v/>
      </c>
      <c r="Y159" s="21">
        <f>100*(Y25-Y24)</f>
        <v/>
      </c>
      <c r="Z159" s="21">
        <f>100*(Z25-Z24)</f>
        <v/>
      </c>
      <c r="AA159" s="21">
        <f>100*(AA25-AA24)</f>
        <v/>
      </c>
      <c r="AB159" s="21">
        <f>100*(AB25-AB24)</f>
        <v/>
      </c>
      <c r="AC159" s="21">
        <f>100*(AC25-AC24)</f>
        <v/>
      </c>
      <c r="AD159" s="21">
        <f>100*(AD25-AD24)</f>
        <v/>
      </c>
      <c r="AE159" s="21">
        <f>100*(AE25-AE24)</f>
        <v/>
      </c>
      <c r="AF159" s="21">
        <f>100*(AF25-AF24)</f>
        <v/>
      </c>
      <c r="AG159" s="21">
        <f>100*(AG25-AG24)</f>
        <v/>
      </c>
      <c r="AH159" s="21">
        <f>100*(AH25-AH24)</f>
        <v/>
      </c>
      <c r="AI159" s="21">
        <f>100*(AI25-AI24)</f>
        <v/>
      </c>
      <c r="AJ159" s="21">
        <f>100*(AJ25-AJ24)</f>
        <v/>
      </c>
      <c r="AK159" s="21">
        <f>100*(AK25-AK24)</f>
        <v/>
      </c>
      <c r="AL159" s="21">
        <f>AVERAGE(C159:AK159)</f>
        <v/>
      </c>
    </row>
    <row r="160">
      <c r="A160" s="19">
        <f>A26</f>
        <v/>
      </c>
      <c r="B160" s="20">
        <f>B26</f>
        <v/>
      </c>
      <c r="C160" s="21">
        <f>100*(C26-C25)</f>
        <v/>
      </c>
      <c r="D160" s="21">
        <f>100*(D26-D25)</f>
        <v/>
      </c>
      <c r="E160" s="21">
        <f>100*(E26-E25)</f>
        <v/>
      </c>
      <c r="F160" s="21">
        <f>100*(F26-F25)</f>
        <v/>
      </c>
      <c r="G160" s="21">
        <f>100*(G26-G25)</f>
        <v/>
      </c>
      <c r="H160" s="21">
        <f>100*(H26-H25)</f>
        <v/>
      </c>
      <c r="I160" s="21">
        <f>100*(I26-I25)</f>
        <v/>
      </c>
      <c r="J160" s="21">
        <f>100*(J26-J25)</f>
        <v/>
      </c>
      <c r="K160" s="21">
        <f>100*(K26-K25)</f>
        <v/>
      </c>
      <c r="L160" s="21">
        <f>100*(L26-L25)</f>
        <v/>
      </c>
      <c r="M160" s="21">
        <f>100*(M26-M25)</f>
        <v/>
      </c>
      <c r="N160" s="21">
        <f>100*(N26-N25)</f>
        <v/>
      </c>
      <c r="O160" s="21">
        <f>100*(O26-O25)</f>
        <v/>
      </c>
      <c r="P160" s="21">
        <f>100*(P26-P25)</f>
        <v/>
      </c>
      <c r="Q160" s="21">
        <f>100*(Q26-Q25)</f>
        <v/>
      </c>
      <c r="R160" s="21">
        <f>100*(R26-R25)</f>
        <v/>
      </c>
      <c r="S160" s="21">
        <f>100*(S26-S25)</f>
        <v/>
      </c>
      <c r="T160" s="21">
        <f>100*(T26-T25)</f>
        <v/>
      </c>
      <c r="U160" s="21">
        <f>100*(U26-U25)</f>
        <v/>
      </c>
      <c r="V160" s="21">
        <f>100*(V26-V25)</f>
        <v/>
      </c>
      <c r="W160" s="21">
        <f>100*(W26-W25)</f>
        <v/>
      </c>
      <c r="X160" s="21">
        <f>100*(X26-X25)</f>
        <v/>
      </c>
      <c r="Y160" s="21">
        <f>100*(Y26-Y25)</f>
        <v/>
      </c>
      <c r="Z160" s="21">
        <f>100*(Z26-Z25)</f>
        <v/>
      </c>
      <c r="AA160" s="21">
        <f>100*(AA26-AA25)</f>
        <v/>
      </c>
      <c r="AB160" s="21">
        <f>100*(AB26-AB25)</f>
        <v/>
      </c>
      <c r="AC160" s="21">
        <f>100*(AC26-AC25)</f>
        <v/>
      </c>
      <c r="AD160" s="21">
        <f>100*(AD26-AD25)</f>
        <v/>
      </c>
      <c r="AE160" s="21">
        <f>100*(AE26-AE25)</f>
        <v/>
      </c>
      <c r="AF160" s="21">
        <f>100*(AF26-AF25)</f>
        <v/>
      </c>
      <c r="AG160" s="21">
        <f>100*(AG26-AG25)</f>
        <v/>
      </c>
      <c r="AH160" s="21">
        <f>100*(AH26-AH25)</f>
        <v/>
      </c>
      <c r="AI160" s="21">
        <f>100*(AI26-AI25)</f>
        <v/>
      </c>
      <c r="AJ160" s="21">
        <f>100*(AJ26-AJ25)</f>
        <v/>
      </c>
      <c r="AK160" s="21">
        <f>100*(AK26-AK25)</f>
        <v/>
      </c>
      <c r="AL160" s="21">
        <f>AVERAGE(C160:AK160)</f>
        <v/>
      </c>
    </row>
    <row r="161">
      <c r="A161" s="19">
        <f>A27</f>
        <v/>
      </c>
      <c r="B161" s="20">
        <f>B27</f>
        <v/>
      </c>
      <c r="C161" s="21">
        <f>100*(C27-C26)</f>
        <v/>
      </c>
      <c r="D161" s="21">
        <f>100*(D27-D26)</f>
        <v/>
      </c>
      <c r="E161" s="21">
        <f>100*(E27-E26)</f>
        <v/>
      </c>
      <c r="F161" s="21">
        <f>100*(F27-F26)</f>
        <v/>
      </c>
      <c r="G161" s="21">
        <f>100*(G27-G26)</f>
        <v/>
      </c>
      <c r="H161" s="21">
        <f>100*(H27-H26)</f>
        <v/>
      </c>
      <c r="I161" s="21">
        <f>100*(I27-I26)</f>
        <v/>
      </c>
      <c r="J161" s="21">
        <f>100*(J27-J26)</f>
        <v/>
      </c>
      <c r="K161" s="21">
        <f>100*(K27-K26)</f>
        <v/>
      </c>
      <c r="L161" s="21">
        <f>100*(L27-L26)</f>
        <v/>
      </c>
      <c r="M161" s="21">
        <f>100*(M27-M26)</f>
        <v/>
      </c>
      <c r="N161" s="21">
        <f>100*(N27-N26)</f>
        <v/>
      </c>
      <c r="O161" s="21">
        <f>100*(O27-O26)</f>
        <v/>
      </c>
      <c r="P161" s="21">
        <f>100*(P27-P26)</f>
        <v/>
      </c>
      <c r="Q161" s="21">
        <f>100*(Q27-Q26)</f>
        <v/>
      </c>
      <c r="R161" s="21">
        <f>100*(R27-R26)</f>
        <v/>
      </c>
      <c r="S161" s="21">
        <f>100*(S27-S26)</f>
        <v/>
      </c>
      <c r="T161" s="21">
        <f>100*(T27-T26)</f>
        <v/>
      </c>
      <c r="U161" s="21">
        <f>100*(U27-U26)</f>
        <v/>
      </c>
      <c r="V161" s="21">
        <f>100*(V27-V26)</f>
        <v/>
      </c>
      <c r="W161" s="21">
        <f>100*(W27-W26)</f>
        <v/>
      </c>
      <c r="X161" s="21">
        <f>100*(X27-X26)</f>
        <v/>
      </c>
      <c r="Y161" s="21">
        <f>100*(Y27-Y26)</f>
        <v/>
      </c>
      <c r="Z161" s="21">
        <f>100*(Z27-Z26)</f>
        <v/>
      </c>
      <c r="AA161" s="21">
        <f>100*(AA27-AA26)</f>
        <v/>
      </c>
      <c r="AB161" s="21">
        <f>100*(AB27-AB26)</f>
        <v/>
      </c>
      <c r="AC161" s="21">
        <f>100*(AC27-AC26)</f>
        <v/>
      </c>
      <c r="AD161" s="21">
        <f>100*(AD27-AD26)</f>
        <v/>
      </c>
      <c r="AE161" s="21">
        <f>100*(AE27-AE26)</f>
        <v/>
      </c>
      <c r="AF161" s="21">
        <f>100*(AF27-AF26)</f>
        <v/>
      </c>
      <c r="AG161" s="21">
        <f>100*(AG27-AG26)</f>
        <v/>
      </c>
      <c r="AH161" s="21">
        <f>100*(AH27-AH26)</f>
        <v/>
      </c>
      <c r="AI161" s="21">
        <f>100*(AI27-AI26)</f>
        <v/>
      </c>
      <c r="AJ161" s="21">
        <f>100*(AJ27-AJ26)</f>
        <v/>
      </c>
      <c r="AK161" s="21">
        <f>100*(AK27-AK26)</f>
        <v/>
      </c>
      <c r="AL161" s="21">
        <f>AVERAGE(C161:AK161)</f>
        <v/>
      </c>
    </row>
    <row r="162">
      <c r="A162" s="19">
        <f>A28</f>
        <v/>
      </c>
      <c r="B162" s="20">
        <f>B28</f>
        <v/>
      </c>
      <c r="C162" s="21">
        <f>100*(C28-C27)</f>
        <v/>
      </c>
      <c r="D162" s="21">
        <f>100*(D28-D27)</f>
        <v/>
      </c>
      <c r="E162" s="21">
        <f>100*(E28-E27)</f>
        <v/>
      </c>
      <c r="F162" s="21">
        <f>100*(F28-F27)</f>
        <v/>
      </c>
      <c r="G162" s="21">
        <f>100*(G28-G27)</f>
        <v/>
      </c>
      <c r="H162" s="21">
        <f>100*(H28-H27)</f>
        <v/>
      </c>
      <c r="I162" s="21">
        <f>100*(I28-I27)</f>
        <v/>
      </c>
      <c r="J162" s="21">
        <f>100*(J28-J27)</f>
        <v/>
      </c>
      <c r="K162" s="21">
        <f>100*(K28-K27)</f>
        <v/>
      </c>
      <c r="L162" s="21">
        <f>100*(L28-L27)</f>
        <v/>
      </c>
      <c r="M162" s="21">
        <f>100*(M28-M27)</f>
        <v/>
      </c>
      <c r="N162" s="21">
        <f>100*(N28-N27)</f>
        <v/>
      </c>
      <c r="O162" s="21">
        <f>100*(O28-O27)</f>
        <v/>
      </c>
      <c r="P162" s="21">
        <f>100*(P28-P27)</f>
        <v/>
      </c>
      <c r="Q162" s="21">
        <f>100*(Q28-Q27)</f>
        <v/>
      </c>
      <c r="R162" s="21">
        <f>100*(R28-R27)</f>
        <v/>
      </c>
      <c r="S162" s="21">
        <f>100*(S28-S27)</f>
        <v/>
      </c>
      <c r="T162" s="21">
        <f>100*(T28-T27)</f>
        <v/>
      </c>
      <c r="U162" s="21">
        <f>100*(U28-U27)</f>
        <v/>
      </c>
      <c r="V162" s="21">
        <f>100*(V28-V27)</f>
        <v/>
      </c>
      <c r="W162" s="21">
        <f>100*(W28-W27)</f>
        <v/>
      </c>
      <c r="X162" s="21">
        <f>100*(X28-X27)</f>
        <v/>
      </c>
      <c r="Y162" s="21">
        <f>100*(Y28-Y27)</f>
        <v/>
      </c>
      <c r="Z162" s="21">
        <f>100*(Z28-Z27)</f>
        <v/>
      </c>
      <c r="AA162" s="21">
        <f>100*(AA28-AA27)</f>
        <v/>
      </c>
      <c r="AB162" s="21">
        <f>100*(AB28-AB27)</f>
        <v/>
      </c>
      <c r="AC162" s="21">
        <f>100*(AC28-AC27)</f>
        <v/>
      </c>
      <c r="AD162" s="21">
        <f>100*(AD28-AD27)</f>
        <v/>
      </c>
      <c r="AE162" s="21">
        <f>100*(AE28-AE27)</f>
        <v/>
      </c>
      <c r="AF162" s="21">
        <f>100*(AF28-AF27)</f>
        <v/>
      </c>
      <c r="AG162" s="21">
        <f>100*(AG28-AG27)</f>
        <v/>
      </c>
      <c r="AH162" s="21">
        <f>100*(AH28-AH27)</f>
        <v/>
      </c>
      <c r="AI162" s="21">
        <f>100*(AI28-AI27)</f>
        <v/>
      </c>
      <c r="AJ162" s="21">
        <f>100*(AJ28-AJ27)</f>
        <v/>
      </c>
      <c r="AK162" s="21">
        <f>100*(AK28-AK27)</f>
        <v/>
      </c>
      <c r="AL162" s="21">
        <f>AVERAGE(C162:AK162)</f>
        <v/>
      </c>
    </row>
    <row r="163">
      <c r="A163" s="19">
        <f>A29</f>
        <v/>
      </c>
      <c r="B163" s="20">
        <f>B29</f>
        <v/>
      </c>
      <c r="C163" s="21">
        <f>100*(C29-C28)</f>
        <v/>
      </c>
      <c r="D163" s="21">
        <f>100*(D29-D28)</f>
        <v/>
      </c>
      <c r="E163" s="21">
        <f>100*(E29-E28)</f>
        <v/>
      </c>
      <c r="F163" s="21">
        <f>100*(F29-F28)</f>
        <v/>
      </c>
      <c r="G163" s="21">
        <f>100*(G29-G28)</f>
        <v/>
      </c>
      <c r="H163" s="21">
        <f>100*(H29-H28)</f>
        <v/>
      </c>
      <c r="I163" s="21">
        <f>100*(I29-I28)</f>
        <v/>
      </c>
      <c r="J163" s="21">
        <f>100*(J29-J28)</f>
        <v/>
      </c>
      <c r="K163" s="21">
        <f>100*(K29-K28)</f>
        <v/>
      </c>
      <c r="L163" s="21">
        <f>100*(L29-L28)</f>
        <v/>
      </c>
      <c r="M163" s="21">
        <f>100*(M29-M28)</f>
        <v/>
      </c>
      <c r="N163" s="21">
        <f>100*(N29-N28)</f>
        <v/>
      </c>
      <c r="O163" s="21">
        <f>100*(O29-O28)</f>
        <v/>
      </c>
      <c r="P163" s="21">
        <f>100*(P29-P28)</f>
        <v/>
      </c>
      <c r="Q163" s="21">
        <f>100*(Q29-Q28)</f>
        <v/>
      </c>
      <c r="R163" s="21">
        <f>100*(R29-R28)</f>
        <v/>
      </c>
      <c r="S163" s="21">
        <f>100*(S29-S28)</f>
        <v/>
      </c>
      <c r="T163" s="21">
        <f>100*(T29-T28)</f>
        <v/>
      </c>
      <c r="U163" s="21">
        <f>100*(U29-U28)</f>
        <v/>
      </c>
      <c r="V163" s="21">
        <f>100*(V29-V28)</f>
        <v/>
      </c>
      <c r="W163" s="21">
        <f>100*(W29-W28)</f>
        <v/>
      </c>
      <c r="X163" s="21">
        <f>100*(X29-X28)</f>
        <v/>
      </c>
      <c r="Y163" s="21">
        <f>100*(Y29-Y28)</f>
        <v/>
      </c>
      <c r="Z163" s="21">
        <f>100*(Z29-Z28)</f>
        <v/>
      </c>
      <c r="AA163" s="21">
        <f>100*(AA29-AA28)</f>
        <v/>
      </c>
      <c r="AB163" s="21">
        <f>100*(AB29-AB28)</f>
        <v/>
      </c>
      <c r="AC163" s="21">
        <f>100*(AC29-AC28)</f>
        <v/>
      </c>
      <c r="AD163" s="21">
        <f>100*(AD29-AD28)</f>
        <v/>
      </c>
      <c r="AE163" s="21">
        <f>100*(AE29-AE28)</f>
        <v/>
      </c>
      <c r="AF163" s="21">
        <f>100*(AF29-AF28)</f>
        <v/>
      </c>
      <c r="AG163" s="21">
        <f>100*(AG29-AG28)</f>
        <v/>
      </c>
      <c r="AH163" s="21">
        <f>100*(AH29-AH28)</f>
        <v/>
      </c>
      <c r="AI163" s="21">
        <f>100*(AI29-AI28)</f>
        <v/>
      </c>
      <c r="AJ163" s="21">
        <f>100*(AJ29-AJ28)</f>
        <v/>
      </c>
      <c r="AK163" s="21">
        <f>100*(AK29-AK28)</f>
        <v/>
      </c>
      <c r="AL163" s="21">
        <f>AVERAGE(C163:AK163)</f>
        <v/>
      </c>
    </row>
    <row r="164">
      <c r="A164" s="19">
        <f>A30</f>
        <v/>
      </c>
      <c r="B164" s="20">
        <f>B30</f>
        <v/>
      </c>
      <c r="C164" s="21">
        <f>100*(C30-C29)</f>
        <v/>
      </c>
      <c r="D164" s="21">
        <f>100*(D30-D29)</f>
        <v/>
      </c>
      <c r="E164" s="21">
        <f>100*(E30-E29)</f>
        <v/>
      </c>
      <c r="F164" s="21">
        <f>100*(F30-F29)</f>
        <v/>
      </c>
      <c r="G164" s="21">
        <f>100*(G30-G29)</f>
        <v/>
      </c>
      <c r="H164" s="21">
        <f>100*(H30-H29)</f>
        <v/>
      </c>
      <c r="I164" s="21">
        <f>100*(I30-I29)</f>
        <v/>
      </c>
      <c r="J164" s="21">
        <f>100*(J30-J29)</f>
        <v/>
      </c>
      <c r="K164" s="21">
        <f>100*(K30-K29)</f>
        <v/>
      </c>
      <c r="L164" s="21">
        <f>100*(L30-L29)</f>
        <v/>
      </c>
      <c r="M164" s="21">
        <f>100*(M30-M29)</f>
        <v/>
      </c>
      <c r="N164" s="21">
        <f>100*(N30-N29)</f>
        <v/>
      </c>
      <c r="O164" s="21">
        <f>100*(O30-O29)</f>
        <v/>
      </c>
      <c r="P164" s="21">
        <f>100*(P30-P29)</f>
        <v/>
      </c>
      <c r="Q164" s="21">
        <f>100*(Q30-Q29)</f>
        <v/>
      </c>
      <c r="R164" s="21">
        <f>100*(R30-R29)</f>
        <v/>
      </c>
      <c r="S164" s="21">
        <f>100*(S30-S29)</f>
        <v/>
      </c>
      <c r="T164" s="21">
        <f>100*(T30-T29)</f>
        <v/>
      </c>
      <c r="U164" s="21">
        <f>100*(U30-U29)</f>
        <v/>
      </c>
      <c r="V164" s="21">
        <f>100*(V30-V29)</f>
        <v/>
      </c>
      <c r="W164" s="21">
        <f>100*(W30-W29)</f>
        <v/>
      </c>
      <c r="X164" s="21">
        <f>100*(X30-X29)</f>
        <v/>
      </c>
      <c r="Y164" s="21">
        <f>100*(Y30-Y29)</f>
        <v/>
      </c>
      <c r="Z164" s="21">
        <f>100*(Z30-Z29)</f>
        <v/>
      </c>
      <c r="AA164" s="21">
        <f>100*(AA30-AA29)</f>
        <v/>
      </c>
      <c r="AB164" s="21">
        <f>100*(AB30-AB29)</f>
        <v/>
      </c>
      <c r="AC164" s="21">
        <f>100*(AC30-AC29)</f>
        <v/>
      </c>
      <c r="AD164" s="21">
        <f>100*(AD30-AD29)</f>
        <v/>
      </c>
      <c r="AE164" s="21">
        <f>100*(AE30-AE29)</f>
        <v/>
      </c>
      <c r="AF164" s="21">
        <f>100*(AF30-AF29)</f>
        <v/>
      </c>
      <c r="AG164" s="21">
        <f>100*(AG30-AG29)</f>
        <v/>
      </c>
      <c r="AH164" s="21">
        <f>100*(AH30-AH29)</f>
        <v/>
      </c>
      <c r="AI164" s="21">
        <f>100*(AI30-AI29)</f>
        <v/>
      </c>
      <c r="AJ164" s="21">
        <f>100*(AJ30-AJ29)</f>
        <v/>
      </c>
      <c r="AK164" s="21">
        <f>100*(AK30-AK29)</f>
        <v/>
      </c>
      <c r="AL164" s="21">
        <f>AVERAGE(C164:AK164)</f>
        <v/>
      </c>
    </row>
    <row r="165">
      <c r="A165" s="19">
        <f>A31</f>
        <v/>
      </c>
      <c r="B165" s="20">
        <f>B31</f>
        <v/>
      </c>
      <c r="C165" s="21">
        <f>100*(C31-C30)</f>
        <v/>
      </c>
      <c r="D165" s="21">
        <f>100*(D31-D30)</f>
        <v/>
      </c>
      <c r="E165" s="21">
        <f>100*(E31-E30)</f>
        <v/>
      </c>
      <c r="F165" s="21">
        <f>100*(F31-F30)</f>
        <v/>
      </c>
      <c r="G165" s="21">
        <f>100*(G31-G30)</f>
        <v/>
      </c>
      <c r="H165" s="21">
        <f>100*(H31-H30)</f>
        <v/>
      </c>
      <c r="I165" s="21">
        <f>100*(I31-I30)</f>
        <v/>
      </c>
      <c r="J165" s="21">
        <f>100*(J31-J30)</f>
        <v/>
      </c>
      <c r="K165" s="21">
        <f>100*(K31-K30)</f>
        <v/>
      </c>
      <c r="L165" s="21">
        <f>100*(L31-L30)</f>
        <v/>
      </c>
      <c r="M165" s="21">
        <f>100*(M31-M30)</f>
        <v/>
      </c>
      <c r="N165" s="21">
        <f>100*(N31-N30)</f>
        <v/>
      </c>
      <c r="O165" s="21">
        <f>100*(O31-O30)</f>
        <v/>
      </c>
      <c r="P165" s="21">
        <f>100*(P31-P30)</f>
        <v/>
      </c>
      <c r="Q165" s="21">
        <f>100*(Q31-Q30)</f>
        <v/>
      </c>
      <c r="R165" s="21">
        <f>100*(R31-R30)</f>
        <v/>
      </c>
      <c r="S165" s="21">
        <f>100*(S31-S30)</f>
        <v/>
      </c>
      <c r="T165" s="21">
        <f>100*(T31-T30)</f>
        <v/>
      </c>
      <c r="U165" s="21">
        <f>100*(U31-U30)</f>
        <v/>
      </c>
      <c r="V165" s="21">
        <f>100*(V31-V30)</f>
        <v/>
      </c>
      <c r="W165" s="21">
        <f>100*(W31-W30)</f>
        <v/>
      </c>
      <c r="X165" s="21">
        <f>100*(X31-X30)</f>
        <v/>
      </c>
      <c r="Y165" s="21">
        <f>100*(Y31-Y30)</f>
        <v/>
      </c>
      <c r="Z165" s="21">
        <f>100*(Z31-Z30)</f>
        <v/>
      </c>
      <c r="AA165" s="21">
        <f>100*(AA31-AA30)</f>
        <v/>
      </c>
      <c r="AB165" s="21">
        <f>100*(AB31-AB30)</f>
        <v/>
      </c>
      <c r="AC165" s="21">
        <f>100*(AC31-AC30)</f>
        <v/>
      </c>
      <c r="AD165" s="21">
        <f>100*(AD31-AD30)</f>
        <v/>
      </c>
      <c r="AE165" s="21">
        <f>100*(AE31-AE30)</f>
        <v/>
      </c>
      <c r="AF165" s="21">
        <f>100*(AF31-AF30)</f>
        <v/>
      </c>
      <c r="AG165" s="21">
        <f>100*(AG31-AG30)</f>
        <v/>
      </c>
      <c r="AH165" s="21">
        <f>100*(AH31-AH30)</f>
        <v/>
      </c>
      <c r="AI165" s="21">
        <f>100*(AI31-AI30)</f>
        <v/>
      </c>
      <c r="AJ165" s="21">
        <f>100*(AJ31-AJ30)</f>
        <v/>
      </c>
      <c r="AK165" s="21">
        <f>100*(AK31-AK30)</f>
        <v/>
      </c>
      <c r="AL165" s="21">
        <f>AVERAGE(C165:AK165)</f>
        <v/>
      </c>
    </row>
    <row r="166">
      <c r="A166" s="19">
        <f>A32</f>
        <v/>
      </c>
      <c r="B166" s="20">
        <f>B32</f>
        <v/>
      </c>
      <c r="C166" s="21">
        <f>100*(C32-C31)</f>
        <v/>
      </c>
      <c r="D166" s="21">
        <f>100*(D32-D31)</f>
        <v/>
      </c>
      <c r="E166" s="21">
        <f>100*(E32-E31)</f>
        <v/>
      </c>
      <c r="F166" s="21">
        <f>100*(F32-F31)</f>
        <v/>
      </c>
      <c r="G166" s="21">
        <f>100*(G32-G31)</f>
        <v/>
      </c>
      <c r="H166" s="21">
        <f>100*(H32-H31)</f>
        <v/>
      </c>
      <c r="I166" s="21">
        <f>100*(I32-I31)</f>
        <v/>
      </c>
      <c r="J166" s="21">
        <f>100*(J32-J31)</f>
        <v/>
      </c>
      <c r="K166" s="21">
        <f>100*(K32-K31)</f>
        <v/>
      </c>
      <c r="L166" s="21">
        <f>100*(L32-L31)</f>
        <v/>
      </c>
      <c r="M166" s="21">
        <f>100*(M32-M31)</f>
        <v/>
      </c>
      <c r="N166" s="21">
        <f>100*(N32-N31)</f>
        <v/>
      </c>
      <c r="O166" s="21">
        <f>100*(O32-O31)</f>
        <v/>
      </c>
      <c r="P166" s="21">
        <f>100*(P32-P31)</f>
        <v/>
      </c>
      <c r="Q166" s="21">
        <f>100*(Q32-Q31)</f>
        <v/>
      </c>
      <c r="R166" s="21">
        <f>100*(R32-R31)</f>
        <v/>
      </c>
      <c r="S166" s="21">
        <f>100*(S32-S31)</f>
        <v/>
      </c>
      <c r="T166" s="21">
        <f>100*(T32-T31)</f>
        <v/>
      </c>
      <c r="U166" s="21">
        <f>100*(U32-U31)</f>
        <v/>
      </c>
      <c r="V166" s="21">
        <f>100*(V32-V31)</f>
        <v/>
      </c>
      <c r="W166" s="21">
        <f>100*(W32-W31)</f>
        <v/>
      </c>
      <c r="X166" s="21">
        <f>100*(X32-X31)</f>
        <v/>
      </c>
      <c r="Y166" s="21">
        <f>100*(Y32-Y31)</f>
        <v/>
      </c>
      <c r="Z166" s="21">
        <f>100*(Z32-Z31)</f>
        <v/>
      </c>
      <c r="AA166" s="21">
        <f>100*(AA32-AA31)</f>
        <v/>
      </c>
      <c r="AB166" s="21">
        <f>100*(AB32-AB31)</f>
        <v/>
      </c>
      <c r="AC166" s="21">
        <f>100*(AC32-AC31)</f>
        <v/>
      </c>
      <c r="AD166" s="21">
        <f>100*(AD32-AD31)</f>
        <v/>
      </c>
      <c r="AE166" s="21">
        <f>100*(AE32-AE31)</f>
        <v/>
      </c>
      <c r="AF166" s="21">
        <f>100*(AF32-AF31)</f>
        <v/>
      </c>
      <c r="AG166" s="21">
        <f>100*(AG32-AG31)</f>
        <v/>
      </c>
      <c r="AH166" s="21">
        <f>100*(AH32-AH31)</f>
        <v/>
      </c>
      <c r="AI166" s="21">
        <f>100*(AI32-AI31)</f>
        <v/>
      </c>
      <c r="AJ166" s="21">
        <f>100*(AJ32-AJ31)</f>
        <v/>
      </c>
      <c r="AK166" s="21">
        <f>100*(AK32-AK31)</f>
        <v/>
      </c>
      <c r="AL166" s="21">
        <f>AVERAGE(C166:AK166)</f>
        <v/>
      </c>
    </row>
    <row r="167">
      <c r="A167" s="19">
        <f>A33</f>
        <v/>
      </c>
      <c r="B167" s="20">
        <f>B33</f>
        <v/>
      </c>
      <c r="C167" s="21">
        <f>100*(C33-C32)</f>
        <v/>
      </c>
      <c r="D167" s="21">
        <f>100*(D33-D32)</f>
        <v/>
      </c>
      <c r="E167" s="21">
        <f>100*(E33-E32)</f>
        <v/>
      </c>
      <c r="F167" s="21">
        <f>100*(F33-F32)</f>
        <v/>
      </c>
      <c r="G167" s="21">
        <f>100*(G33-G32)</f>
        <v/>
      </c>
      <c r="H167" s="21">
        <f>100*(H33-H32)</f>
        <v/>
      </c>
      <c r="I167" s="21">
        <f>100*(I33-I32)</f>
        <v/>
      </c>
      <c r="J167" s="21">
        <f>100*(J33-J32)</f>
        <v/>
      </c>
      <c r="K167" s="21">
        <f>100*(K33-K32)</f>
        <v/>
      </c>
      <c r="L167" s="21">
        <f>100*(L33-L32)</f>
        <v/>
      </c>
      <c r="M167" s="21">
        <f>100*(M33-M32)</f>
        <v/>
      </c>
      <c r="N167" s="21">
        <f>100*(N33-N32)</f>
        <v/>
      </c>
      <c r="O167" s="21">
        <f>100*(O33-O32)</f>
        <v/>
      </c>
      <c r="P167" s="21">
        <f>100*(P33-P32)</f>
        <v/>
      </c>
      <c r="Q167" s="21">
        <f>100*(Q33-Q32)</f>
        <v/>
      </c>
      <c r="R167" s="21">
        <f>100*(R33-R32)</f>
        <v/>
      </c>
      <c r="S167" s="21">
        <f>100*(S33-S32)</f>
        <v/>
      </c>
      <c r="T167" s="21">
        <f>100*(T33-T32)</f>
        <v/>
      </c>
      <c r="U167" s="21">
        <f>100*(U33-U32)</f>
        <v/>
      </c>
      <c r="V167" s="21">
        <f>100*(V33-V32)</f>
        <v/>
      </c>
      <c r="W167" s="21">
        <f>100*(W33-W32)</f>
        <v/>
      </c>
      <c r="X167" s="21">
        <f>100*(X33-X32)</f>
        <v/>
      </c>
      <c r="Y167" s="21">
        <f>100*(Y33-Y32)</f>
        <v/>
      </c>
      <c r="Z167" s="21">
        <f>100*(Z33-Z32)</f>
        <v/>
      </c>
      <c r="AA167" s="21">
        <f>100*(AA33-AA32)</f>
        <v/>
      </c>
      <c r="AB167" s="21">
        <f>100*(AB33-AB32)</f>
        <v/>
      </c>
      <c r="AC167" s="21">
        <f>100*(AC33-AC32)</f>
        <v/>
      </c>
      <c r="AD167" s="21">
        <f>100*(AD33-AD32)</f>
        <v/>
      </c>
      <c r="AE167" s="21">
        <f>100*(AE33-AE32)</f>
        <v/>
      </c>
      <c r="AF167" s="21">
        <f>100*(AF33-AF32)</f>
        <v/>
      </c>
      <c r="AG167" s="21">
        <f>100*(AG33-AG32)</f>
        <v/>
      </c>
      <c r="AH167" s="21">
        <f>100*(AH33-AH32)</f>
        <v/>
      </c>
      <c r="AI167" s="21">
        <f>100*(AI33-AI32)</f>
        <v/>
      </c>
      <c r="AJ167" s="21">
        <f>100*(AJ33-AJ32)</f>
        <v/>
      </c>
      <c r="AK167" s="21">
        <f>100*(AK33-AK32)</f>
        <v/>
      </c>
      <c r="AL167" s="21">
        <f>AVERAGE(C167:AK167)</f>
        <v/>
      </c>
    </row>
    <row r="168">
      <c r="A168" s="19">
        <f>A34</f>
        <v/>
      </c>
      <c r="B168" s="20">
        <f>B34</f>
        <v/>
      </c>
      <c r="C168" s="21">
        <f>100*(C34-C33)</f>
        <v/>
      </c>
      <c r="D168" s="21">
        <f>100*(D34-D33)</f>
        <v/>
      </c>
      <c r="E168" s="21">
        <f>100*(E34-E33)</f>
        <v/>
      </c>
      <c r="F168" s="21">
        <f>100*(F34-F33)</f>
        <v/>
      </c>
      <c r="G168" s="21">
        <f>100*(G34-G33)</f>
        <v/>
      </c>
      <c r="H168" s="21">
        <f>100*(H34-H33)</f>
        <v/>
      </c>
      <c r="I168" s="21">
        <f>100*(I34-I33)</f>
        <v/>
      </c>
      <c r="J168" s="21">
        <f>100*(J34-J33)</f>
        <v/>
      </c>
      <c r="K168" s="21">
        <f>100*(K34-K33)</f>
        <v/>
      </c>
      <c r="L168" s="21">
        <f>100*(L34-L33)</f>
        <v/>
      </c>
      <c r="M168" s="21">
        <f>100*(M34-M33)</f>
        <v/>
      </c>
      <c r="N168" s="21">
        <f>100*(N34-N33)</f>
        <v/>
      </c>
      <c r="O168" s="21">
        <f>100*(O34-O33)</f>
        <v/>
      </c>
      <c r="P168" s="21">
        <f>100*(P34-P33)</f>
        <v/>
      </c>
      <c r="Q168" s="21">
        <f>100*(Q34-Q33)</f>
        <v/>
      </c>
      <c r="R168" s="21">
        <f>100*(R34-R33)</f>
        <v/>
      </c>
      <c r="S168" s="21">
        <f>100*(S34-S33)</f>
        <v/>
      </c>
      <c r="T168" s="21">
        <f>100*(T34-T33)</f>
        <v/>
      </c>
      <c r="U168" s="21">
        <f>100*(U34-U33)</f>
        <v/>
      </c>
      <c r="V168" s="21">
        <f>100*(V34-V33)</f>
        <v/>
      </c>
      <c r="W168" s="21">
        <f>100*(W34-W33)</f>
        <v/>
      </c>
      <c r="X168" s="21">
        <f>100*(X34-X33)</f>
        <v/>
      </c>
      <c r="Y168" s="21">
        <f>100*(Y34-Y33)</f>
        <v/>
      </c>
      <c r="Z168" s="21">
        <f>100*(Z34-Z33)</f>
        <v/>
      </c>
      <c r="AA168" s="21">
        <f>100*(AA34-AA33)</f>
        <v/>
      </c>
      <c r="AB168" s="21">
        <f>100*(AB34-AB33)</f>
        <v/>
      </c>
      <c r="AC168" s="21">
        <f>100*(AC34-AC33)</f>
        <v/>
      </c>
      <c r="AD168" s="21">
        <f>100*(AD34-AD33)</f>
        <v/>
      </c>
      <c r="AE168" s="21">
        <f>100*(AE34-AE33)</f>
        <v/>
      </c>
      <c r="AF168" s="21">
        <f>100*(AF34-AF33)</f>
        <v/>
      </c>
      <c r="AG168" s="21">
        <f>100*(AG34-AG33)</f>
        <v/>
      </c>
      <c r="AH168" s="21">
        <f>100*(AH34-AH33)</f>
        <v/>
      </c>
      <c r="AI168" s="21">
        <f>100*(AI34-AI33)</f>
        <v/>
      </c>
      <c r="AJ168" s="21">
        <f>100*(AJ34-AJ33)</f>
        <v/>
      </c>
      <c r="AK168" s="21">
        <f>100*(AK34-AK33)</f>
        <v/>
      </c>
      <c r="AL168" s="21">
        <f>AVERAGE(C168:AK168)</f>
        <v/>
      </c>
    </row>
    <row r="169">
      <c r="A169" s="19">
        <f>A35</f>
        <v/>
      </c>
      <c r="B169" s="20">
        <f>B35</f>
        <v/>
      </c>
      <c r="C169" s="21">
        <f>100*(C35-C34)</f>
        <v/>
      </c>
      <c r="D169" s="21">
        <f>100*(D35-D34)</f>
        <v/>
      </c>
      <c r="E169" s="21">
        <f>100*(E35-E34)</f>
        <v/>
      </c>
      <c r="F169" s="21">
        <f>100*(F35-F34)</f>
        <v/>
      </c>
      <c r="G169" s="21">
        <f>100*(G35-G34)</f>
        <v/>
      </c>
      <c r="H169" s="21">
        <f>100*(H35-H34)</f>
        <v/>
      </c>
      <c r="I169" s="21">
        <f>100*(I35-I34)</f>
        <v/>
      </c>
      <c r="J169" s="21">
        <f>100*(J35-J34)</f>
        <v/>
      </c>
      <c r="K169" s="21">
        <f>100*(K35-K34)</f>
        <v/>
      </c>
      <c r="L169" s="21">
        <f>100*(L35-L34)</f>
        <v/>
      </c>
      <c r="M169" s="21">
        <f>100*(M35-M34)</f>
        <v/>
      </c>
      <c r="N169" s="21">
        <f>100*(N35-N34)</f>
        <v/>
      </c>
      <c r="O169" s="21">
        <f>100*(O35-O34)</f>
        <v/>
      </c>
      <c r="P169" s="21">
        <f>100*(P35-P34)</f>
        <v/>
      </c>
      <c r="Q169" s="21">
        <f>100*(Q35-Q34)</f>
        <v/>
      </c>
      <c r="R169" s="21">
        <f>100*(R35-R34)</f>
        <v/>
      </c>
      <c r="S169" s="21">
        <f>100*(S35-S34)</f>
        <v/>
      </c>
      <c r="T169" s="21">
        <f>100*(T35-T34)</f>
        <v/>
      </c>
      <c r="U169" s="21">
        <f>100*(U35-U34)</f>
        <v/>
      </c>
      <c r="V169" s="21">
        <f>100*(V35-V34)</f>
        <v/>
      </c>
      <c r="W169" s="21">
        <f>100*(W35-W34)</f>
        <v/>
      </c>
      <c r="X169" s="21">
        <f>100*(X35-X34)</f>
        <v/>
      </c>
      <c r="Y169" s="21">
        <f>100*(Y35-Y34)</f>
        <v/>
      </c>
      <c r="Z169" s="21">
        <f>100*(Z35-Z34)</f>
        <v/>
      </c>
      <c r="AA169" s="21">
        <f>100*(AA35-AA34)</f>
        <v/>
      </c>
      <c r="AB169" s="21">
        <f>100*(AB35-AB34)</f>
        <v/>
      </c>
      <c r="AC169" s="21">
        <f>100*(AC35-AC34)</f>
        <v/>
      </c>
      <c r="AD169" s="21">
        <f>100*(AD35-AD34)</f>
        <v/>
      </c>
      <c r="AE169" s="21">
        <f>100*(AE35-AE34)</f>
        <v/>
      </c>
      <c r="AF169" s="21">
        <f>100*(AF35-AF34)</f>
        <v/>
      </c>
      <c r="AG169" s="21">
        <f>100*(AG35-AG34)</f>
        <v/>
      </c>
      <c r="AH169" s="21">
        <f>100*(AH35-AH34)</f>
        <v/>
      </c>
      <c r="AI169" s="21">
        <f>100*(AI35-AI34)</f>
        <v/>
      </c>
      <c r="AJ169" s="21">
        <f>100*(AJ35-AJ34)</f>
        <v/>
      </c>
      <c r="AK169" s="21">
        <f>100*(AK35-AK34)</f>
        <v/>
      </c>
      <c r="AL169" s="21">
        <f>AVERAGE(C169:AK169)</f>
        <v/>
      </c>
    </row>
    <row r="170">
      <c r="A170" s="19">
        <f>A36</f>
        <v/>
      </c>
      <c r="B170" s="20">
        <f>B36</f>
        <v/>
      </c>
      <c r="C170" s="21">
        <f>100*(C36-C35)</f>
        <v/>
      </c>
      <c r="D170" s="21">
        <f>100*(D36-D35)</f>
        <v/>
      </c>
      <c r="E170" s="21">
        <f>100*(E36-E35)</f>
        <v/>
      </c>
      <c r="F170" s="21">
        <f>100*(F36-F35)</f>
        <v/>
      </c>
      <c r="G170" s="21">
        <f>100*(G36-G35)</f>
        <v/>
      </c>
      <c r="H170" s="21">
        <f>100*(H36-H35)</f>
        <v/>
      </c>
      <c r="I170" s="21">
        <f>100*(I36-I35)</f>
        <v/>
      </c>
      <c r="J170" s="21">
        <f>100*(J36-J35)</f>
        <v/>
      </c>
      <c r="K170" s="21">
        <f>100*(K36-K35)</f>
        <v/>
      </c>
      <c r="L170" s="21">
        <f>100*(L36-L35)</f>
        <v/>
      </c>
      <c r="M170" s="21">
        <f>100*(M36-M35)</f>
        <v/>
      </c>
      <c r="N170" s="21">
        <f>100*(N36-N35)</f>
        <v/>
      </c>
      <c r="O170" s="21">
        <f>100*(O36-O35)</f>
        <v/>
      </c>
      <c r="P170" s="21">
        <f>100*(P36-P35)</f>
        <v/>
      </c>
      <c r="Q170" s="21">
        <f>100*(Q36-Q35)</f>
        <v/>
      </c>
      <c r="R170" s="21">
        <f>100*(R36-R35)</f>
        <v/>
      </c>
      <c r="S170" s="21">
        <f>100*(S36-S35)</f>
        <v/>
      </c>
      <c r="T170" s="21">
        <f>100*(T36-T35)</f>
        <v/>
      </c>
      <c r="U170" s="21">
        <f>100*(U36-U35)</f>
        <v/>
      </c>
      <c r="V170" s="21">
        <f>100*(V36-V35)</f>
        <v/>
      </c>
      <c r="W170" s="21">
        <f>100*(W36-W35)</f>
        <v/>
      </c>
      <c r="X170" s="21">
        <f>100*(X36-X35)</f>
        <v/>
      </c>
      <c r="Y170" s="21">
        <f>100*(Y36-Y35)</f>
        <v/>
      </c>
      <c r="Z170" s="21">
        <f>100*(Z36-Z35)</f>
        <v/>
      </c>
      <c r="AA170" s="21">
        <f>100*(AA36-AA35)</f>
        <v/>
      </c>
      <c r="AB170" s="21">
        <f>100*(AB36-AB35)</f>
        <v/>
      </c>
      <c r="AC170" s="21">
        <f>100*(AC36-AC35)</f>
        <v/>
      </c>
      <c r="AD170" s="21">
        <f>100*(AD36-AD35)</f>
        <v/>
      </c>
      <c r="AE170" s="21">
        <f>100*(AE36-AE35)</f>
        <v/>
      </c>
      <c r="AF170" s="21">
        <f>100*(AF36-AF35)</f>
        <v/>
      </c>
      <c r="AG170" s="21">
        <f>100*(AG36-AG35)</f>
        <v/>
      </c>
      <c r="AH170" s="21">
        <f>100*(AH36-AH35)</f>
        <v/>
      </c>
      <c r="AI170" s="21">
        <f>100*(AI36-AI35)</f>
        <v/>
      </c>
      <c r="AJ170" s="21">
        <f>100*(AJ36-AJ35)</f>
        <v/>
      </c>
      <c r="AK170" s="21">
        <f>100*(AK36-AK35)</f>
        <v/>
      </c>
      <c r="AL170" s="21">
        <f>AVERAGE(C170:AK170)</f>
        <v/>
      </c>
    </row>
    <row r="171">
      <c r="A171" s="19">
        <f>A37</f>
        <v/>
      </c>
      <c r="B171" s="20">
        <f>B37</f>
        <v/>
      </c>
      <c r="C171" s="21">
        <f>100*(C37-C36)</f>
        <v/>
      </c>
      <c r="D171" s="21">
        <f>100*(D37-D36)</f>
        <v/>
      </c>
      <c r="E171" s="21">
        <f>100*(E37-E36)</f>
        <v/>
      </c>
      <c r="F171" s="21">
        <f>100*(F37-F36)</f>
        <v/>
      </c>
      <c r="G171" s="21">
        <f>100*(G37-G36)</f>
        <v/>
      </c>
      <c r="H171" s="21">
        <f>100*(H37-H36)</f>
        <v/>
      </c>
      <c r="I171" s="21">
        <f>100*(I37-I36)</f>
        <v/>
      </c>
      <c r="J171" s="21">
        <f>100*(J37-J36)</f>
        <v/>
      </c>
      <c r="K171" s="21">
        <f>100*(K37-K36)</f>
        <v/>
      </c>
      <c r="L171" s="21">
        <f>100*(L37-L36)</f>
        <v/>
      </c>
      <c r="M171" s="21">
        <f>100*(M37-M36)</f>
        <v/>
      </c>
      <c r="N171" s="21">
        <f>100*(N37-N36)</f>
        <v/>
      </c>
      <c r="O171" s="21">
        <f>100*(O37-O36)</f>
        <v/>
      </c>
      <c r="P171" s="21">
        <f>100*(P37-P36)</f>
        <v/>
      </c>
      <c r="Q171" s="21">
        <f>100*(Q37-Q36)</f>
        <v/>
      </c>
      <c r="R171" s="21">
        <f>100*(R37-R36)</f>
        <v/>
      </c>
      <c r="S171" s="21">
        <f>100*(S37-S36)</f>
        <v/>
      </c>
      <c r="T171" s="21">
        <f>100*(T37-T36)</f>
        <v/>
      </c>
      <c r="U171" s="21">
        <f>100*(U37-U36)</f>
        <v/>
      </c>
      <c r="V171" s="21">
        <f>100*(V37-V36)</f>
        <v/>
      </c>
      <c r="W171" s="21">
        <f>100*(W37-W36)</f>
        <v/>
      </c>
      <c r="X171" s="21">
        <f>100*(X37-X36)</f>
        <v/>
      </c>
      <c r="Y171" s="21">
        <f>100*(Y37-Y36)</f>
        <v/>
      </c>
      <c r="Z171" s="21">
        <f>100*(Z37-Z36)</f>
        <v/>
      </c>
      <c r="AA171" s="21">
        <f>100*(AA37-AA36)</f>
        <v/>
      </c>
      <c r="AB171" s="21">
        <f>100*(AB37-AB36)</f>
        <v/>
      </c>
      <c r="AC171" s="21">
        <f>100*(AC37-AC36)</f>
        <v/>
      </c>
      <c r="AD171" s="21">
        <f>100*(AD37-AD36)</f>
        <v/>
      </c>
      <c r="AE171" s="21">
        <f>100*(AE37-AE36)</f>
        <v/>
      </c>
      <c r="AF171" s="21">
        <f>100*(AF37-AF36)</f>
        <v/>
      </c>
      <c r="AG171" s="21">
        <f>100*(AG37-AG36)</f>
        <v/>
      </c>
      <c r="AH171" s="21">
        <f>100*(AH37-AH36)</f>
        <v/>
      </c>
      <c r="AI171" s="21">
        <f>100*(AI37-AI36)</f>
        <v/>
      </c>
      <c r="AJ171" s="21">
        <f>100*(AJ37-AJ36)</f>
        <v/>
      </c>
      <c r="AK171" s="21">
        <f>100*(AK37-AK36)</f>
        <v/>
      </c>
      <c r="AL171" s="21">
        <f>AVERAGE(C171:AK171)</f>
        <v/>
      </c>
    </row>
    <row r="172">
      <c r="A172" s="19">
        <f>A38</f>
        <v/>
      </c>
      <c r="B172" s="20">
        <f>B38</f>
        <v/>
      </c>
      <c r="C172" s="21">
        <f>100*(C38-C37)</f>
        <v/>
      </c>
      <c r="D172" s="21">
        <f>100*(D38-D37)</f>
        <v/>
      </c>
      <c r="E172" s="21">
        <f>100*(E38-E37)</f>
        <v/>
      </c>
      <c r="F172" s="21">
        <f>100*(F38-F37)</f>
        <v/>
      </c>
      <c r="G172" s="21">
        <f>100*(G38-G37)</f>
        <v/>
      </c>
      <c r="H172" s="21">
        <f>100*(H38-H37)</f>
        <v/>
      </c>
      <c r="I172" s="21">
        <f>100*(I38-I37)</f>
        <v/>
      </c>
      <c r="J172" s="21">
        <f>100*(J38-J37)</f>
        <v/>
      </c>
      <c r="K172" s="21">
        <f>100*(K38-K37)</f>
        <v/>
      </c>
      <c r="L172" s="21">
        <f>100*(L38-L37)</f>
        <v/>
      </c>
      <c r="M172" s="21">
        <f>100*(M38-M37)</f>
        <v/>
      </c>
      <c r="N172" s="21">
        <f>100*(N38-N37)</f>
        <v/>
      </c>
      <c r="O172" s="21">
        <f>100*(O38-O37)</f>
        <v/>
      </c>
      <c r="P172" s="21">
        <f>100*(P38-P37)</f>
        <v/>
      </c>
      <c r="Q172" s="21">
        <f>100*(Q38-Q37)</f>
        <v/>
      </c>
      <c r="R172" s="21">
        <f>100*(R38-R37)</f>
        <v/>
      </c>
      <c r="S172" s="21">
        <f>100*(S38-S37)</f>
        <v/>
      </c>
      <c r="T172" s="21">
        <f>100*(T38-T37)</f>
        <v/>
      </c>
      <c r="U172" s="21">
        <f>100*(U38-U37)</f>
        <v/>
      </c>
      <c r="V172" s="21">
        <f>100*(V38-V37)</f>
        <v/>
      </c>
      <c r="W172" s="21">
        <f>100*(W38-W37)</f>
        <v/>
      </c>
      <c r="X172" s="21">
        <f>100*(X38-X37)</f>
        <v/>
      </c>
      <c r="Y172" s="21">
        <f>100*(Y38-Y37)</f>
        <v/>
      </c>
      <c r="Z172" s="21">
        <f>100*(Z38-Z37)</f>
        <v/>
      </c>
      <c r="AA172" s="21">
        <f>100*(AA38-AA37)</f>
        <v/>
      </c>
      <c r="AB172" s="21">
        <f>100*(AB38-AB37)</f>
        <v/>
      </c>
      <c r="AC172" s="21">
        <f>100*(AC38-AC37)</f>
        <v/>
      </c>
      <c r="AD172" s="21">
        <f>100*(AD38-AD37)</f>
        <v/>
      </c>
      <c r="AE172" s="21">
        <f>100*(AE38-AE37)</f>
        <v/>
      </c>
      <c r="AF172" s="21">
        <f>100*(AF38-AF37)</f>
        <v/>
      </c>
      <c r="AG172" s="21">
        <f>100*(AG38-AG37)</f>
        <v/>
      </c>
      <c r="AH172" s="21">
        <f>100*(AH38-AH37)</f>
        <v/>
      </c>
      <c r="AI172" s="21">
        <f>100*(AI38-AI37)</f>
        <v/>
      </c>
      <c r="AJ172" s="21">
        <f>100*(AJ38-AJ37)</f>
        <v/>
      </c>
      <c r="AK172" s="21">
        <f>100*(AK38-AK37)</f>
        <v/>
      </c>
      <c r="AL172" s="21">
        <f>AVERAGE(C172:AK172)</f>
        <v/>
      </c>
    </row>
    <row r="173">
      <c r="A173" s="19">
        <f>A39</f>
        <v/>
      </c>
      <c r="B173" s="20">
        <f>B39</f>
        <v/>
      </c>
      <c r="C173" s="21">
        <f>100*(C39-C38)</f>
        <v/>
      </c>
      <c r="D173" s="21">
        <f>100*(D39-D38)</f>
        <v/>
      </c>
      <c r="E173" s="21">
        <f>100*(E39-E38)</f>
        <v/>
      </c>
      <c r="F173" s="21">
        <f>100*(F39-F38)</f>
        <v/>
      </c>
      <c r="G173" s="21">
        <f>100*(G39-G38)</f>
        <v/>
      </c>
      <c r="H173" s="21">
        <f>100*(H39-H38)</f>
        <v/>
      </c>
      <c r="I173" s="21">
        <f>100*(I39-I38)</f>
        <v/>
      </c>
      <c r="J173" s="21">
        <f>100*(J39-J38)</f>
        <v/>
      </c>
      <c r="K173" s="21">
        <f>100*(K39-K38)</f>
        <v/>
      </c>
      <c r="L173" s="21">
        <f>100*(L39-L38)</f>
        <v/>
      </c>
      <c r="M173" s="21">
        <f>100*(M39-M38)</f>
        <v/>
      </c>
      <c r="N173" s="21">
        <f>100*(N39-N38)</f>
        <v/>
      </c>
      <c r="O173" s="21">
        <f>100*(O39-O38)</f>
        <v/>
      </c>
      <c r="P173" s="21">
        <f>100*(P39-P38)</f>
        <v/>
      </c>
      <c r="Q173" s="21">
        <f>100*(Q39-Q38)</f>
        <v/>
      </c>
      <c r="R173" s="21">
        <f>100*(R39-R38)</f>
        <v/>
      </c>
      <c r="S173" s="21">
        <f>100*(S39-S38)</f>
        <v/>
      </c>
      <c r="T173" s="21">
        <f>100*(T39-T38)</f>
        <v/>
      </c>
      <c r="U173" s="21">
        <f>100*(U39-U38)</f>
        <v/>
      </c>
      <c r="V173" s="21">
        <f>100*(V39-V38)</f>
        <v/>
      </c>
      <c r="W173" s="21">
        <f>100*(W39-W38)</f>
        <v/>
      </c>
      <c r="X173" s="21">
        <f>100*(X39-X38)</f>
        <v/>
      </c>
      <c r="Y173" s="21">
        <f>100*(Y39-Y38)</f>
        <v/>
      </c>
      <c r="Z173" s="21">
        <f>100*(Z39-Z38)</f>
        <v/>
      </c>
      <c r="AA173" s="21">
        <f>100*(AA39-AA38)</f>
        <v/>
      </c>
      <c r="AB173" s="21">
        <f>100*(AB39-AB38)</f>
        <v/>
      </c>
      <c r="AC173" s="21">
        <f>100*(AC39-AC38)</f>
        <v/>
      </c>
      <c r="AD173" s="21">
        <f>100*(AD39-AD38)</f>
        <v/>
      </c>
      <c r="AE173" s="21">
        <f>100*(AE39-AE38)</f>
        <v/>
      </c>
      <c r="AF173" s="21">
        <f>100*(AF39-AF38)</f>
        <v/>
      </c>
      <c r="AG173" s="21">
        <f>100*(AG39-AG38)</f>
        <v/>
      </c>
      <c r="AH173" s="21">
        <f>100*(AH39-AH38)</f>
        <v/>
      </c>
      <c r="AI173" s="21">
        <f>100*(AI39-AI38)</f>
        <v/>
      </c>
      <c r="AJ173" s="21">
        <f>100*(AJ39-AJ38)</f>
        <v/>
      </c>
      <c r="AK173" s="21">
        <f>100*(AK39-AK38)</f>
        <v/>
      </c>
      <c r="AL173" s="21">
        <f>AVERAGE(C173:AK173)</f>
        <v/>
      </c>
    </row>
    <row r="174">
      <c r="A174" s="19">
        <f>A40</f>
        <v/>
      </c>
      <c r="B174" s="20">
        <f>B40</f>
        <v/>
      </c>
      <c r="C174" s="21">
        <f>100*(C40-C39)</f>
        <v/>
      </c>
      <c r="D174" s="21">
        <f>100*(D40-D39)</f>
        <v/>
      </c>
      <c r="E174" s="21">
        <f>100*(E40-E39)</f>
        <v/>
      </c>
      <c r="F174" s="21">
        <f>100*(F40-F39)</f>
        <v/>
      </c>
      <c r="G174" s="21">
        <f>100*(G40-G39)</f>
        <v/>
      </c>
      <c r="H174" s="21">
        <f>100*(H40-H39)</f>
        <v/>
      </c>
      <c r="I174" s="21">
        <f>100*(I40-I39)</f>
        <v/>
      </c>
      <c r="J174" s="21">
        <f>100*(J40-J39)</f>
        <v/>
      </c>
      <c r="K174" s="21">
        <f>100*(K40-K39)</f>
        <v/>
      </c>
      <c r="L174" s="21">
        <f>100*(L40-L39)</f>
        <v/>
      </c>
      <c r="M174" s="21">
        <f>100*(M40-M39)</f>
        <v/>
      </c>
      <c r="N174" s="21">
        <f>100*(N40-N39)</f>
        <v/>
      </c>
      <c r="O174" s="21">
        <f>100*(O40-O39)</f>
        <v/>
      </c>
      <c r="P174" s="21">
        <f>100*(P40-P39)</f>
        <v/>
      </c>
      <c r="Q174" s="21">
        <f>100*(Q40-Q39)</f>
        <v/>
      </c>
      <c r="R174" s="21">
        <f>100*(R40-R39)</f>
        <v/>
      </c>
      <c r="S174" s="21">
        <f>100*(S40-S39)</f>
        <v/>
      </c>
      <c r="T174" s="21">
        <f>100*(T40-T39)</f>
        <v/>
      </c>
      <c r="U174" s="21">
        <f>100*(U40-U39)</f>
        <v/>
      </c>
      <c r="V174" s="21">
        <f>100*(V40-V39)</f>
        <v/>
      </c>
      <c r="W174" s="21">
        <f>100*(W40-W39)</f>
        <v/>
      </c>
      <c r="X174" s="21">
        <f>100*(X40-X39)</f>
        <v/>
      </c>
      <c r="Y174" s="21">
        <f>100*(Y40-Y39)</f>
        <v/>
      </c>
      <c r="Z174" s="21">
        <f>100*(Z40-Z39)</f>
        <v/>
      </c>
      <c r="AA174" s="21">
        <f>100*(AA40-AA39)</f>
        <v/>
      </c>
      <c r="AB174" s="21">
        <f>100*(AB40-AB39)</f>
        <v/>
      </c>
      <c r="AC174" s="21">
        <f>100*(AC40-AC39)</f>
        <v/>
      </c>
      <c r="AD174" s="21">
        <f>100*(AD40-AD39)</f>
        <v/>
      </c>
      <c r="AE174" s="21">
        <f>100*(AE40-AE39)</f>
        <v/>
      </c>
      <c r="AF174" s="21">
        <f>100*(AF40-AF39)</f>
        <v/>
      </c>
      <c r="AG174" s="21">
        <f>100*(AG40-AG39)</f>
        <v/>
      </c>
      <c r="AH174" s="21">
        <f>100*(AH40-AH39)</f>
        <v/>
      </c>
      <c r="AI174" s="21">
        <f>100*(AI40-AI39)</f>
        <v/>
      </c>
      <c r="AJ174" s="21">
        <f>100*(AJ40-AJ39)</f>
        <v/>
      </c>
      <c r="AK174" s="21">
        <f>100*(AK40-AK39)</f>
        <v/>
      </c>
      <c r="AL174" s="21">
        <f>AVERAGE(C174:AK174)</f>
        <v/>
      </c>
    </row>
    <row r="175">
      <c r="A175" s="19">
        <f>A41</f>
        <v/>
      </c>
      <c r="B175" s="20">
        <f>B41</f>
        <v/>
      </c>
      <c r="C175" s="21">
        <f>100*(C41-C40)</f>
        <v/>
      </c>
      <c r="D175" s="21">
        <f>100*(D41-D40)</f>
        <v/>
      </c>
      <c r="E175" s="21">
        <f>100*(E41-E40)</f>
        <v/>
      </c>
      <c r="F175" s="21">
        <f>100*(F41-F40)</f>
        <v/>
      </c>
      <c r="G175" s="21">
        <f>100*(G41-G40)</f>
        <v/>
      </c>
      <c r="H175" s="21">
        <f>100*(H41-H40)</f>
        <v/>
      </c>
      <c r="I175" s="21">
        <f>100*(I41-I40)</f>
        <v/>
      </c>
      <c r="J175" s="21">
        <f>100*(J41-J40)</f>
        <v/>
      </c>
      <c r="K175" s="21">
        <f>100*(K41-K40)</f>
        <v/>
      </c>
      <c r="L175" s="21">
        <f>100*(L41-L40)</f>
        <v/>
      </c>
      <c r="M175" s="21">
        <f>100*(M41-M40)</f>
        <v/>
      </c>
      <c r="N175" s="21">
        <f>100*(N41-N40)</f>
        <v/>
      </c>
      <c r="O175" s="21">
        <f>100*(O41-O40)</f>
        <v/>
      </c>
      <c r="P175" s="21">
        <f>100*(P41-P40)</f>
        <v/>
      </c>
      <c r="Q175" s="21">
        <f>100*(Q41-Q40)</f>
        <v/>
      </c>
      <c r="R175" s="21">
        <f>100*(R41-R40)</f>
        <v/>
      </c>
      <c r="S175" s="21">
        <f>100*(S41-S40)</f>
        <v/>
      </c>
      <c r="T175" s="21">
        <f>100*(T41-T40)</f>
        <v/>
      </c>
      <c r="U175" s="21">
        <f>100*(U41-U40)</f>
        <v/>
      </c>
      <c r="V175" s="21">
        <f>100*(V41-V40)</f>
        <v/>
      </c>
      <c r="W175" s="21">
        <f>100*(W41-W40)</f>
        <v/>
      </c>
      <c r="X175" s="21">
        <f>100*(X41-X40)</f>
        <v/>
      </c>
      <c r="Y175" s="21">
        <f>100*(Y41-Y40)</f>
        <v/>
      </c>
      <c r="Z175" s="21">
        <f>100*(Z41-Z40)</f>
        <v/>
      </c>
      <c r="AA175" s="21">
        <f>100*(AA41-AA40)</f>
        <v/>
      </c>
      <c r="AB175" s="21">
        <f>100*(AB41-AB40)</f>
        <v/>
      </c>
      <c r="AC175" s="21">
        <f>100*(AC41-AC40)</f>
        <v/>
      </c>
      <c r="AD175" s="21">
        <f>100*(AD41-AD40)</f>
        <v/>
      </c>
      <c r="AE175" s="21">
        <f>100*(AE41-AE40)</f>
        <v/>
      </c>
      <c r="AF175" s="21">
        <f>100*(AF41-AF40)</f>
        <v/>
      </c>
      <c r="AG175" s="21">
        <f>100*(AG41-AG40)</f>
        <v/>
      </c>
      <c r="AH175" s="21">
        <f>100*(AH41-AH40)</f>
        <v/>
      </c>
      <c r="AI175" s="21">
        <f>100*(AI41-AI40)</f>
        <v/>
      </c>
      <c r="AJ175" s="21">
        <f>100*(AJ41-AJ40)</f>
        <v/>
      </c>
      <c r="AK175" s="21">
        <f>100*(AK41-AK40)</f>
        <v/>
      </c>
      <c r="AL175" s="21">
        <f>AVERAGE(C175:AK175)</f>
        <v/>
      </c>
    </row>
    <row r="176">
      <c r="A176" s="19">
        <f>A42</f>
        <v/>
      </c>
      <c r="B176" s="20">
        <f>B42</f>
        <v/>
      </c>
      <c r="C176" s="21">
        <f>100*(C42-C41)</f>
        <v/>
      </c>
      <c r="D176" s="21">
        <f>100*(D42-D41)</f>
        <v/>
      </c>
      <c r="E176" s="21">
        <f>100*(E42-E41)</f>
        <v/>
      </c>
      <c r="F176" s="21">
        <f>100*(F42-F41)</f>
        <v/>
      </c>
      <c r="G176" s="21">
        <f>100*(G42-G41)</f>
        <v/>
      </c>
      <c r="H176" s="21">
        <f>100*(H42-H41)</f>
        <v/>
      </c>
      <c r="I176" s="21">
        <f>100*(I42-I41)</f>
        <v/>
      </c>
      <c r="J176" s="21">
        <f>100*(J42-J41)</f>
        <v/>
      </c>
      <c r="K176" s="21">
        <f>100*(K42-K41)</f>
        <v/>
      </c>
      <c r="L176" s="21">
        <f>100*(L42-L41)</f>
        <v/>
      </c>
      <c r="M176" s="21">
        <f>100*(M42-M41)</f>
        <v/>
      </c>
      <c r="N176" s="21">
        <f>100*(N42-N41)</f>
        <v/>
      </c>
      <c r="O176" s="21">
        <f>100*(O42-O41)</f>
        <v/>
      </c>
      <c r="P176" s="21">
        <f>100*(P42-P41)</f>
        <v/>
      </c>
      <c r="Q176" s="21">
        <f>100*(Q42-Q41)</f>
        <v/>
      </c>
      <c r="R176" s="21">
        <f>100*(R42-R41)</f>
        <v/>
      </c>
      <c r="S176" s="21">
        <f>100*(S42-S41)</f>
        <v/>
      </c>
      <c r="T176" s="21">
        <f>100*(T42-T41)</f>
        <v/>
      </c>
      <c r="U176" s="21">
        <f>100*(U42-U41)</f>
        <v/>
      </c>
      <c r="V176" s="21">
        <f>100*(V42-V41)</f>
        <v/>
      </c>
      <c r="W176" s="21">
        <f>100*(W42-W41)</f>
        <v/>
      </c>
      <c r="X176" s="21">
        <f>100*(X42-X41)</f>
        <v/>
      </c>
      <c r="Y176" s="21">
        <f>100*(Y42-Y41)</f>
        <v/>
      </c>
      <c r="Z176" s="21">
        <f>100*(Z42-Z41)</f>
        <v/>
      </c>
      <c r="AA176" s="21">
        <f>100*(AA42-AA41)</f>
        <v/>
      </c>
      <c r="AB176" s="21">
        <f>100*(AB42-AB41)</f>
        <v/>
      </c>
      <c r="AC176" s="21">
        <f>100*(AC42-AC41)</f>
        <v/>
      </c>
      <c r="AD176" s="21">
        <f>100*(AD42-AD41)</f>
        <v/>
      </c>
      <c r="AE176" s="21">
        <f>100*(AE42-AE41)</f>
        <v/>
      </c>
      <c r="AF176" s="21">
        <f>100*(AF42-AF41)</f>
        <v/>
      </c>
      <c r="AG176" s="21">
        <f>100*(AG42-AG41)</f>
        <v/>
      </c>
      <c r="AH176" s="21">
        <f>100*(AH42-AH41)</f>
        <v/>
      </c>
      <c r="AI176" s="21">
        <f>100*(AI42-AI41)</f>
        <v/>
      </c>
      <c r="AJ176" s="21">
        <f>100*(AJ42-AJ41)</f>
        <v/>
      </c>
      <c r="AK176" s="21">
        <f>100*(AK42-AK41)</f>
        <v/>
      </c>
      <c r="AL176" s="21">
        <f>AVERAGE(C176:AK176)</f>
        <v/>
      </c>
    </row>
    <row r="177">
      <c r="A177" s="19">
        <f>A43</f>
        <v/>
      </c>
      <c r="B177" s="20">
        <f>B43</f>
        <v/>
      </c>
      <c r="C177" s="21">
        <f>100*(C43-C42)</f>
        <v/>
      </c>
      <c r="D177" s="21">
        <f>100*(D43-D42)</f>
        <v/>
      </c>
      <c r="E177" s="21">
        <f>100*(E43-E42)</f>
        <v/>
      </c>
      <c r="F177" s="21">
        <f>100*(F43-F42)</f>
        <v/>
      </c>
      <c r="G177" s="21">
        <f>100*(G43-G42)</f>
        <v/>
      </c>
      <c r="H177" s="21">
        <f>100*(H43-H42)</f>
        <v/>
      </c>
      <c r="I177" s="21">
        <f>100*(I43-I42)</f>
        <v/>
      </c>
      <c r="J177" s="21">
        <f>100*(J43-J42)</f>
        <v/>
      </c>
      <c r="K177" s="21">
        <f>100*(K43-K42)</f>
        <v/>
      </c>
      <c r="L177" s="21">
        <f>100*(L43-L42)</f>
        <v/>
      </c>
      <c r="M177" s="21">
        <f>100*(M43-M42)</f>
        <v/>
      </c>
      <c r="N177" s="21">
        <f>100*(N43-N42)</f>
        <v/>
      </c>
      <c r="O177" s="21">
        <f>100*(O43-O42)</f>
        <v/>
      </c>
      <c r="P177" s="21">
        <f>100*(P43-P42)</f>
        <v/>
      </c>
      <c r="Q177" s="21">
        <f>100*(Q43-Q42)</f>
        <v/>
      </c>
      <c r="R177" s="21">
        <f>100*(R43-R42)</f>
        <v/>
      </c>
      <c r="S177" s="21">
        <f>100*(S43-S42)</f>
        <v/>
      </c>
      <c r="T177" s="21">
        <f>100*(T43-T42)</f>
        <v/>
      </c>
      <c r="U177" s="21">
        <f>100*(U43-U42)</f>
        <v/>
      </c>
      <c r="V177" s="21">
        <f>100*(V43-V42)</f>
        <v/>
      </c>
      <c r="W177" s="21">
        <f>100*(W43-W42)</f>
        <v/>
      </c>
      <c r="X177" s="21">
        <f>100*(X43-X42)</f>
        <v/>
      </c>
      <c r="Y177" s="21">
        <f>100*(Y43-Y42)</f>
        <v/>
      </c>
      <c r="Z177" s="21">
        <f>100*(Z43-Z42)</f>
        <v/>
      </c>
      <c r="AA177" s="21">
        <f>100*(AA43-AA42)</f>
        <v/>
      </c>
      <c r="AB177" s="21">
        <f>100*(AB43-AB42)</f>
        <v/>
      </c>
      <c r="AC177" s="21">
        <f>100*(AC43-AC42)</f>
        <v/>
      </c>
      <c r="AD177" s="21">
        <f>100*(AD43-AD42)</f>
        <v/>
      </c>
      <c r="AE177" s="21">
        <f>100*(AE43-AE42)</f>
        <v/>
      </c>
      <c r="AF177" s="21">
        <f>100*(AF43-AF42)</f>
        <v/>
      </c>
      <c r="AG177" s="21">
        <f>100*(AG43-AG42)</f>
        <v/>
      </c>
      <c r="AH177" s="21">
        <f>100*(AH43-AH42)</f>
        <v/>
      </c>
      <c r="AI177" s="21">
        <f>100*(AI43-AI42)</f>
        <v/>
      </c>
      <c r="AJ177" s="21">
        <f>100*(AJ43-AJ42)</f>
        <v/>
      </c>
      <c r="AK177" s="21">
        <f>100*(AK43-AK42)</f>
        <v/>
      </c>
      <c r="AL177" s="21">
        <f>AVERAGE(C177:AK177)</f>
        <v/>
      </c>
    </row>
    <row r="178">
      <c r="A178" s="19">
        <f>A44</f>
        <v/>
      </c>
      <c r="B178" s="20">
        <f>B44</f>
        <v/>
      </c>
      <c r="C178" s="21">
        <f>100*(C44-C43)</f>
        <v/>
      </c>
      <c r="D178" s="21">
        <f>100*(D44-D43)</f>
        <v/>
      </c>
      <c r="E178" s="21">
        <f>100*(E44-E43)</f>
        <v/>
      </c>
      <c r="F178" s="21">
        <f>100*(F44-F43)</f>
        <v/>
      </c>
      <c r="G178" s="21">
        <f>100*(G44-G43)</f>
        <v/>
      </c>
      <c r="H178" s="21">
        <f>100*(H44-H43)</f>
        <v/>
      </c>
      <c r="I178" s="21">
        <f>100*(I44-I43)</f>
        <v/>
      </c>
      <c r="J178" s="21">
        <f>100*(J44-J43)</f>
        <v/>
      </c>
      <c r="K178" s="21">
        <f>100*(K44-K43)</f>
        <v/>
      </c>
      <c r="L178" s="21">
        <f>100*(L44-L43)</f>
        <v/>
      </c>
      <c r="M178" s="21">
        <f>100*(M44-M43)</f>
        <v/>
      </c>
      <c r="N178" s="21">
        <f>100*(N44-N43)</f>
        <v/>
      </c>
      <c r="O178" s="21">
        <f>100*(O44-O43)</f>
        <v/>
      </c>
      <c r="P178" s="21">
        <f>100*(P44-P43)</f>
        <v/>
      </c>
      <c r="Q178" s="21">
        <f>100*(Q44-Q43)</f>
        <v/>
      </c>
      <c r="R178" s="21">
        <f>100*(R44-R43)</f>
        <v/>
      </c>
      <c r="S178" s="21">
        <f>100*(S44-S43)</f>
        <v/>
      </c>
      <c r="T178" s="21">
        <f>100*(T44-T43)</f>
        <v/>
      </c>
      <c r="U178" s="21">
        <f>100*(U44-U43)</f>
        <v/>
      </c>
      <c r="V178" s="21">
        <f>100*(V44-V43)</f>
        <v/>
      </c>
      <c r="W178" s="21">
        <f>100*(W44-W43)</f>
        <v/>
      </c>
      <c r="X178" s="21">
        <f>100*(X44-X43)</f>
        <v/>
      </c>
      <c r="Y178" s="21">
        <f>100*(Y44-Y43)</f>
        <v/>
      </c>
      <c r="Z178" s="21">
        <f>100*(Z44-Z43)</f>
        <v/>
      </c>
      <c r="AA178" s="21">
        <f>100*(AA44-AA43)</f>
        <v/>
      </c>
      <c r="AB178" s="21">
        <f>100*(AB44-AB43)</f>
        <v/>
      </c>
      <c r="AC178" s="21">
        <f>100*(AC44-AC43)</f>
        <v/>
      </c>
      <c r="AD178" s="21">
        <f>100*(AD44-AD43)</f>
        <v/>
      </c>
      <c r="AE178" s="21">
        <f>100*(AE44-AE43)</f>
        <v/>
      </c>
      <c r="AF178" s="21">
        <f>100*(AF44-AF43)</f>
        <v/>
      </c>
      <c r="AG178" s="21">
        <f>100*(AG44-AG43)</f>
        <v/>
      </c>
      <c r="AH178" s="21">
        <f>100*(AH44-AH43)</f>
        <v/>
      </c>
      <c r="AI178" s="21">
        <f>100*(AI44-AI43)</f>
        <v/>
      </c>
      <c r="AJ178" s="21">
        <f>100*(AJ44-AJ43)</f>
        <v/>
      </c>
      <c r="AK178" s="21">
        <f>100*(AK44-AK43)</f>
        <v/>
      </c>
      <c r="AL178" s="21">
        <f>AVERAGE(C178:AK178)</f>
        <v/>
      </c>
    </row>
    <row r="179">
      <c r="A179" s="19">
        <f>A45</f>
        <v/>
      </c>
      <c r="B179" s="20">
        <f>B45</f>
        <v/>
      </c>
      <c r="C179" s="21">
        <f>100*(C45-C44)</f>
        <v/>
      </c>
      <c r="D179" s="21">
        <f>100*(D45-D44)</f>
        <v/>
      </c>
      <c r="E179" s="21">
        <f>100*(E45-E44)</f>
        <v/>
      </c>
      <c r="F179" s="21">
        <f>100*(F45-F44)</f>
        <v/>
      </c>
      <c r="G179" s="21">
        <f>100*(G45-G44)</f>
        <v/>
      </c>
      <c r="H179" s="21">
        <f>100*(H45-H44)</f>
        <v/>
      </c>
      <c r="I179" s="21">
        <f>100*(I45-I44)</f>
        <v/>
      </c>
      <c r="J179" s="21">
        <f>100*(J45-J44)</f>
        <v/>
      </c>
      <c r="K179" s="21">
        <f>100*(K45-K44)</f>
        <v/>
      </c>
      <c r="L179" s="21">
        <f>100*(L45-L44)</f>
        <v/>
      </c>
      <c r="M179" s="21">
        <f>100*(M45-M44)</f>
        <v/>
      </c>
      <c r="N179" s="21">
        <f>100*(N45-N44)</f>
        <v/>
      </c>
      <c r="O179" s="21">
        <f>100*(O45-O44)</f>
        <v/>
      </c>
      <c r="P179" s="21">
        <f>100*(P45-P44)</f>
        <v/>
      </c>
      <c r="Q179" s="21">
        <f>100*(Q45-Q44)</f>
        <v/>
      </c>
      <c r="R179" s="21">
        <f>100*(R45-R44)</f>
        <v/>
      </c>
      <c r="S179" s="21">
        <f>100*(S45-S44)</f>
        <v/>
      </c>
      <c r="T179" s="21">
        <f>100*(T45-T44)</f>
        <v/>
      </c>
      <c r="U179" s="21">
        <f>100*(U45-U44)</f>
        <v/>
      </c>
      <c r="V179" s="21">
        <f>100*(V45-V44)</f>
        <v/>
      </c>
      <c r="W179" s="21">
        <f>100*(W45-W44)</f>
        <v/>
      </c>
      <c r="X179" s="21">
        <f>100*(X45-X44)</f>
        <v/>
      </c>
      <c r="Y179" s="21">
        <f>100*(Y45-Y44)</f>
        <v/>
      </c>
      <c r="Z179" s="21">
        <f>100*(Z45-Z44)</f>
        <v/>
      </c>
      <c r="AA179" s="21">
        <f>100*(AA45-AA44)</f>
        <v/>
      </c>
      <c r="AB179" s="21">
        <f>100*(AB45-AB44)</f>
        <v/>
      </c>
      <c r="AC179" s="21">
        <f>100*(AC45-AC44)</f>
        <v/>
      </c>
      <c r="AD179" s="21">
        <f>100*(AD45-AD44)</f>
        <v/>
      </c>
      <c r="AE179" s="21">
        <f>100*(AE45-AE44)</f>
        <v/>
      </c>
      <c r="AF179" s="21">
        <f>100*(AF45-AF44)</f>
        <v/>
      </c>
      <c r="AG179" s="21">
        <f>100*(AG45-AG44)</f>
        <v/>
      </c>
      <c r="AH179" s="21">
        <f>100*(AH45-AH44)</f>
        <v/>
      </c>
      <c r="AI179" s="21">
        <f>100*(AI45-AI44)</f>
        <v/>
      </c>
      <c r="AJ179" s="21">
        <f>100*(AJ45-AJ44)</f>
        <v/>
      </c>
      <c r="AK179" s="21">
        <f>100*(AK45-AK44)</f>
        <v/>
      </c>
      <c r="AL179" s="21">
        <f>AVERAGE(C179:AK179)</f>
        <v/>
      </c>
    </row>
    <row r="180">
      <c r="A180" s="19">
        <f>A46</f>
        <v/>
      </c>
      <c r="B180" s="20">
        <f>B46</f>
        <v/>
      </c>
      <c r="C180" s="21">
        <f>100*(C46-C45)</f>
        <v/>
      </c>
      <c r="D180" s="21">
        <f>100*(D46-D45)</f>
        <v/>
      </c>
      <c r="E180" s="21">
        <f>100*(E46-E45)</f>
        <v/>
      </c>
      <c r="F180" s="21">
        <f>100*(F46-F45)</f>
        <v/>
      </c>
      <c r="G180" s="21">
        <f>100*(G46-G45)</f>
        <v/>
      </c>
      <c r="H180" s="21">
        <f>100*(H46-H45)</f>
        <v/>
      </c>
      <c r="I180" s="21">
        <f>100*(I46-I45)</f>
        <v/>
      </c>
      <c r="J180" s="21">
        <f>100*(J46-J45)</f>
        <v/>
      </c>
      <c r="K180" s="21">
        <f>100*(K46-K45)</f>
        <v/>
      </c>
      <c r="L180" s="21">
        <f>100*(L46-L45)</f>
        <v/>
      </c>
      <c r="M180" s="21">
        <f>100*(M46-M45)</f>
        <v/>
      </c>
      <c r="N180" s="21">
        <f>100*(N46-N45)</f>
        <v/>
      </c>
      <c r="O180" s="21">
        <f>100*(O46-O45)</f>
        <v/>
      </c>
      <c r="P180" s="21">
        <f>100*(P46-P45)</f>
        <v/>
      </c>
      <c r="Q180" s="21">
        <f>100*(Q46-Q45)</f>
        <v/>
      </c>
      <c r="R180" s="21">
        <f>100*(R46-R45)</f>
        <v/>
      </c>
      <c r="S180" s="21">
        <f>100*(S46-S45)</f>
        <v/>
      </c>
      <c r="T180" s="21">
        <f>100*(T46-T45)</f>
        <v/>
      </c>
      <c r="U180" s="21">
        <f>100*(U46-U45)</f>
        <v/>
      </c>
      <c r="V180" s="21">
        <f>100*(V46-V45)</f>
        <v/>
      </c>
      <c r="W180" s="21">
        <f>100*(W46-W45)</f>
        <v/>
      </c>
      <c r="X180" s="21">
        <f>100*(X46-X45)</f>
        <v/>
      </c>
      <c r="Y180" s="21">
        <f>100*(Y46-Y45)</f>
        <v/>
      </c>
      <c r="Z180" s="21">
        <f>100*(Z46-Z45)</f>
        <v/>
      </c>
      <c r="AA180" s="21">
        <f>100*(AA46-AA45)</f>
        <v/>
      </c>
      <c r="AB180" s="21">
        <f>100*(AB46-AB45)</f>
        <v/>
      </c>
      <c r="AC180" s="21">
        <f>100*(AC46-AC45)</f>
        <v/>
      </c>
      <c r="AD180" s="21">
        <f>100*(AD46-AD45)</f>
        <v/>
      </c>
      <c r="AE180" s="21">
        <f>100*(AE46-AE45)</f>
        <v/>
      </c>
      <c r="AF180" s="21">
        <f>100*(AF46-AF45)</f>
        <v/>
      </c>
      <c r="AG180" s="21">
        <f>100*(AG46-AG45)</f>
        <v/>
      </c>
      <c r="AH180" s="21">
        <f>100*(AH46-AH45)</f>
        <v/>
      </c>
      <c r="AI180" s="21">
        <f>100*(AI46-AI45)</f>
        <v/>
      </c>
      <c r="AJ180" s="21">
        <f>100*(AJ46-AJ45)</f>
        <v/>
      </c>
      <c r="AK180" s="21">
        <f>100*(AK46-AK45)</f>
        <v/>
      </c>
      <c r="AL180" s="21">
        <f>AVERAGE(C180:AK180)</f>
        <v/>
      </c>
    </row>
    <row r="181">
      <c r="A181" s="19">
        <f>A47</f>
        <v/>
      </c>
      <c r="B181" s="20">
        <f>B47</f>
        <v/>
      </c>
      <c r="C181" s="21">
        <f>100*(C47-C46)</f>
        <v/>
      </c>
      <c r="D181" s="21">
        <f>100*(D47-D46)</f>
        <v/>
      </c>
      <c r="E181" s="21">
        <f>100*(E47-E46)</f>
        <v/>
      </c>
      <c r="F181" s="21">
        <f>100*(F47-F46)</f>
        <v/>
      </c>
      <c r="G181" s="21">
        <f>100*(G47-G46)</f>
        <v/>
      </c>
      <c r="H181" s="21">
        <f>100*(H47-H46)</f>
        <v/>
      </c>
      <c r="I181" s="21">
        <f>100*(I47-I46)</f>
        <v/>
      </c>
      <c r="J181" s="21">
        <f>100*(J47-J46)</f>
        <v/>
      </c>
      <c r="K181" s="21">
        <f>100*(K47-K46)</f>
        <v/>
      </c>
      <c r="L181" s="21">
        <f>100*(L47-L46)</f>
        <v/>
      </c>
      <c r="M181" s="21">
        <f>100*(M47-M46)</f>
        <v/>
      </c>
      <c r="N181" s="21">
        <f>100*(N47-N46)</f>
        <v/>
      </c>
      <c r="O181" s="21">
        <f>100*(O47-O46)</f>
        <v/>
      </c>
      <c r="P181" s="21">
        <f>100*(P47-P46)</f>
        <v/>
      </c>
      <c r="Q181" s="21">
        <f>100*(Q47-Q46)</f>
        <v/>
      </c>
      <c r="R181" s="21">
        <f>100*(R47-R46)</f>
        <v/>
      </c>
      <c r="S181" s="21">
        <f>100*(S47-S46)</f>
        <v/>
      </c>
      <c r="T181" s="21">
        <f>100*(T47-T46)</f>
        <v/>
      </c>
      <c r="U181" s="21">
        <f>100*(U47-U46)</f>
        <v/>
      </c>
      <c r="V181" s="21">
        <f>100*(V47-V46)</f>
        <v/>
      </c>
      <c r="W181" s="21">
        <f>100*(W47-W46)</f>
        <v/>
      </c>
      <c r="X181" s="21">
        <f>100*(X47-X46)</f>
        <v/>
      </c>
      <c r="Y181" s="21">
        <f>100*(Y47-Y46)</f>
        <v/>
      </c>
      <c r="Z181" s="21">
        <f>100*(Z47-Z46)</f>
        <v/>
      </c>
      <c r="AA181" s="21">
        <f>100*(AA47-AA46)</f>
        <v/>
      </c>
      <c r="AB181" s="21">
        <f>100*(AB47-AB46)</f>
        <v/>
      </c>
      <c r="AC181" s="21">
        <f>100*(AC47-AC46)</f>
        <v/>
      </c>
      <c r="AD181" s="21">
        <f>100*(AD47-AD46)</f>
        <v/>
      </c>
      <c r="AE181" s="21">
        <f>100*(AE47-AE46)</f>
        <v/>
      </c>
      <c r="AF181" s="21">
        <f>100*(AF47-AF46)</f>
        <v/>
      </c>
      <c r="AG181" s="21">
        <f>100*(AG47-AG46)</f>
        <v/>
      </c>
      <c r="AH181" s="21">
        <f>100*(AH47-AH46)</f>
        <v/>
      </c>
      <c r="AI181" s="21">
        <f>100*(AI47-AI46)</f>
        <v/>
      </c>
      <c r="AJ181" s="21">
        <f>100*(AJ47-AJ46)</f>
        <v/>
      </c>
      <c r="AK181" s="21">
        <f>100*(AK47-AK46)</f>
        <v/>
      </c>
      <c r="AL181" s="21">
        <f>AVERAGE(C181:AK181)</f>
        <v/>
      </c>
    </row>
    <row r="182">
      <c r="A182" s="19">
        <f>A48</f>
        <v/>
      </c>
      <c r="B182" s="20">
        <f>B48</f>
        <v/>
      </c>
      <c r="C182" s="21">
        <f>100*(C48-C47)</f>
        <v/>
      </c>
      <c r="D182" s="21">
        <f>100*(D48-D47)</f>
        <v/>
      </c>
      <c r="E182" s="21">
        <f>100*(E48-E47)</f>
        <v/>
      </c>
      <c r="F182" s="21">
        <f>100*(F48-F47)</f>
        <v/>
      </c>
      <c r="G182" s="21">
        <f>100*(G48-G47)</f>
        <v/>
      </c>
      <c r="H182" s="21">
        <f>100*(H48-H47)</f>
        <v/>
      </c>
      <c r="I182" s="21">
        <f>100*(I48-I47)</f>
        <v/>
      </c>
      <c r="J182" s="21">
        <f>100*(J48-J47)</f>
        <v/>
      </c>
      <c r="K182" s="21">
        <f>100*(K48-K47)</f>
        <v/>
      </c>
      <c r="L182" s="21">
        <f>100*(L48-L47)</f>
        <v/>
      </c>
      <c r="M182" s="21">
        <f>100*(M48-M47)</f>
        <v/>
      </c>
      <c r="N182" s="21">
        <f>100*(N48-N47)</f>
        <v/>
      </c>
      <c r="O182" s="21">
        <f>100*(O48-O47)</f>
        <v/>
      </c>
      <c r="P182" s="21">
        <f>100*(P48-P47)</f>
        <v/>
      </c>
      <c r="Q182" s="21">
        <f>100*(Q48-Q47)</f>
        <v/>
      </c>
      <c r="R182" s="21">
        <f>100*(R48-R47)</f>
        <v/>
      </c>
      <c r="S182" s="21">
        <f>100*(S48-S47)</f>
        <v/>
      </c>
      <c r="T182" s="21">
        <f>100*(T48-T47)</f>
        <v/>
      </c>
      <c r="U182" s="21">
        <f>100*(U48-U47)</f>
        <v/>
      </c>
      <c r="V182" s="21">
        <f>100*(V48-V47)</f>
        <v/>
      </c>
      <c r="W182" s="21">
        <f>100*(W48-W47)</f>
        <v/>
      </c>
      <c r="X182" s="21">
        <f>100*(X48-X47)</f>
        <v/>
      </c>
      <c r="Y182" s="21">
        <f>100*(Y48-Y47)</f>
        <v/>
      </c>
      <c r="Z182" s="21">
        <f>100*(Z48-Z47)</f>
        <v/>
      </c>
      <c r="AA182" s="21">
        <f>100*(AA48-AA47)</f>
        <v/>
      </c>
      <c r="AB182" s="21">
        <f>100*(AB48-AB47)</f>
        <v/>
      </c>
      <c r="AC182" s="21">
        <f>100*(AC48-AC47)</f>
        <v/>
      </c>
      <c r="AD182" s="21">
        <f>100*(AD48-AD47)</f>
        <v/>
      </c>
      <c r="AE182" s="21">
        <f>100*(AE48-AE47)</f>
        <v/>
      </c>
      <c r="AF182" s="21">
        <f>100*(AF48-AF47)</f>
        <v/>
      </c>
      <c r="AG182" s="21">
        <f>100*(AG48-AG47)</f>
        <v/>
      </c>
      <c r="AH182" s="21">
        <f>100*(AH48-AH47)</f>
        <v/>
      </c>
      <c r="AI182" s="21">
        <f>100*(AI48-AI47)</f>
        <v/>
      </c>
      <c r="AJ182" s="21">
        <f>100*(AJ48-AJ47)</f>
        <v/>
      </c>
      <c r="AK182" s="21">
        <f>100*(AK48-AK47)</f>
        <v/>
      </c>
      <c r="AL182" s="21">
        <f>AVERAGE(C182:AK182)</f>
        <v/>
      </c>
    </row>
    <row r="183">
      <c r="A183" s="19">
        <f>A49</f>
        <v/>
      </c>
      <c r="B183" s="20">
        <f>B49</f>
        <v/>
      </c>
      <c r="C183" s="21">
        <f>100*(C49-C48)</f>
        <v/>
      </c>
      <c r="D183" s="21">
        <f>100*(D49-D48)</f>
        <v/>
      </c>
      <c r="E183" s="21">
        <f>100*(E49-E48)</f>
        <v/>
      </c>
      <c r="F183" s="21">
        <f>100*(F49-F48)</f>
        <v/>
      </c>
      <c r="G183" s="21">
        <f>100*(G49-G48)</f>
        <v/>
      </c>
      <c r="H183" s="21">
        <f>100*(H49-H48)</f>
        <v/>
      </c>
      <c r="I183" s="21">
        <f>100*(I49-I48)</f>
        <v/>
      </c>
      <c r="J183" s="21">
        <f>100*(J49-J48)</f>
        <v/>
      </c>
      <c r="K183" s="21">
        <f>100*(K49-K48)</f>
        <v/>
      </c>
      <c r="L183" s="21">
        <f>100*(L49-L48)</f>
        <v/>
      </c>
      <c r="M183" s="21">
        <f>100*(M49-M48)</f>
        <v/>
      </c>
      <c r="N183" s="21">
        <f>100*(N49-N48)</f>
        <v/>
      </c>
      <c r="O183" s="21">
        <f>100*(O49-O48)</f>
        <v/>
      </c>
      <c r="P183" s="21">
        <f>100*(P49-P48)</f>
        <v/>
      </c>
      <c r="Q183" s="21">
        <f>100*(Q49-Q48)</f>
        <v/>
      </c>
      <c r="R183" s="21">
        <f>100*(R49-R48)</f>
        <v/>
      </c>
      <c r="S183" s="21">
        <f>100*(S49-S48)</f>
        <v/>
      </c>
      <c r="T183" s="21">
        <f>100*(T49-T48)</f>
        <v/>
      </c>
      <c r="U183" s="21">
        <f>100*(U49-U48)</f>
        <v/>
      </c>
      <c r="V183" s="21">
        <f>100*(V49-V48)</f>
        <v/>
      </c>
      <c r="W183" s="21">
        <f>100*(W49-W48)</f>
        <v/>
      </c>
      <c r="X183" s="21">
        <f>100*(X49-X48)</f>
        <v/>
      </c>
      <c r="Y183" s="21">
        <f>100*(Y49-Y48)</f>
        <v/>
      </c>
      <c r="Z183" s="21">
        <f>100*(Z49-Z48)</f>
        <v/>
      </c>
      <c r="AA183" s="21">
        <f>100*(AA49-AA48)</f>
        <v/>
      </c>
      <c r="AB183" s="21">
        <f>100*(AB49-AB48)</f>
        <v/>
      </c>
      <c r="AC183" s="21">
        <f>100*(AC49-AC48)</f>
        <v/>
      </c>
      <c r="AD183" s="21">
        <f>100*(AD49-AD48)</f>
        <v/>
      </c>
      <c r="AE183" s="21">
        <f>100*(AE49-AE48)</f>
        <v/>
      </c>
      <c r="AF183" s="21">
        <f>100*(AF49-AF48)</f>
        <v/>
      </c>
      <c r="AG183" s="21">
        <f>100*(AG49-AG48)</f>
        <v/>
      </c>
      <c r="AH183" s="21">
        <f>100*(AH49-AH48)</f>
        <v/>
      </c>
      <c r="AI183" s="21">
        <f>100*(AI49-AI48)</f>
        <v/>
      </c>
      <c r="AJ183" s="21">
        <f>100*(AJ49-AJ48)</f>
        <v/>
      </c>
      <c r="AK183" s="21">
        <f>100*(AK49-AK48)</f>
        <v/>
      </c>
      <c r="AL183" s="21">
        <f>AVERAGE(C183:AK183)</f>
        <v/>
      </c>
    </row>
    <row r="184">
      <c r="A184" s="19">
        <f>A50</f>
        <v/>
      </c>
      <c r="B184" s="20">
        <f>B50</f>
        <v/>
      </c>
      <c r="C184" s="21">
        <f>100*(C50-C49)</f>
        <v/>
      </c>
      <c r="D184" s="21">
        <f>100*(D50-D49)</f>
        <v/>
      </c>
      <c r="E184" s="21">
        <f>100*(E50-E49)</f>
        <v/>
      </c>
      <c r="F184" s="21">
        <f>100*(F50-F49)</f>
        <v/>
      </c>
      <c r="G184" s="21">
        <f>100*(G50-G49)</f>
        <v/>
      </c>
      <c r="H184" s="21">
        <f>100*(H50-H49)</f>
        <v/>
      </c>
      <c r="I184" s="21">
        <f>100*(I50-I49)</f>
        <v/>
      </c>
      <c r="J184" s="21">
        <f>100*(J50-J49)</f>
        <v/>
      </c>
      <c r="K184" s="21">
        <f>100*(K50-K49)</f>
        <v/>
      </c>
      <c r="L184" s="21">
        <f>100*(L50-L49)</f>
        <v/>
      </c>
      <c r="M184" s="21">
        <f>100*(M50-M49)</f>
        <v/>
      </c>
      <c r="N184" s="21">
        <f>100*(N50-N49)</f>
        <v/>
      </c>
      <c r="O184" s="21">
        <f>100*(O50-O49)</f>
        <v/>
      </c>
      <c r="P184" s="21">
        <f>100*(P50-P49)</f>
        <v/>
      </c>
      <c r="Q184" s="21">
        <f>100*(Q50-Q49)</f>
        <v/>
      </c>
      <c r="R184" s="21">
        <f>100*(R50-R49)</f>
        <v/>
      </c>
      <c r="S184" s="21">
        <f>100*(S50-S49)</f>
        <v/>
      </c>
      <c r="T184" s="21">
        <f>100*(T50-T49)</f>
        <v/>
      </c>
      <c r="U184" s="21">
        <f>100*(U50-U49)</f>
        <v/>
      </c>
      <c r="V184" s="21">
        <f>100*(V50-V49)</f>
        <v/>
      </c>
      <c r="W184" s="21">
        <f>100*(W50-W49)</f>
        <v/>
      </c>
      <c r="X184" s="21">
        <f>100*(X50-X49)</f>
        <v/>
      </c>
      <c r="Y184" s="21">
        <f>100*(Y50-Y49)</f>
        <v/>
      </c>
      <c r="Z184" s="21">
        <f>100*(Z50-Z49)</f>
        <v/>
      </c>
      <c r="AA184" s="21">
        <f>100*(AA50-AA49)</f>
        <v/>
      </c>
      <c r="AB184" s="21">
        <f>100*(AB50-AB49)</f>
        <v/>
      </c>
      <c r="AC184" s="21">
        <f>100*(AC50-AC49)</f>
        <v/>
      </c>
      <c r="AD184" s="21">
        <f>100*(AD50-AD49)</f>
        <v/>
      </c>
      <c r="AE184" s="21">
        <f>100*(AE50-AE49)</f>
        <v/>
      </c>
      <c r="AF184" s="21">
        <f>100*(AF50-AF49)</f>
        <v/>
      </c>
      <c r="AG184" s="21">
        <f>100*(AG50-AG49)</f>
        <v/>
      </c>
      <c r="AH184" s="21">
        <f>100*(AH50-AH49)</f>
        <v/>
      </c>
      <c r="AI184" s="21">
        <f>100*(AI50-AI49)</f>
        <v/>
      </c>
      <c r="AJ184" s="21">
        <f>100*(AJ50-AJ49)</f>
        <v/>
      </c>
      <c r="AK184" s="21">
        <f>100*(AK50-AK49)</f>
        <v/>
      </c>
      <c r="AL184" s="21">
        <f>AVERAGE(C184:AK184)</f>
        <v/>
      </c>
    </row>
    <row r="185">
      <c r="A185" s="19">
        <f>A51</f>
        <v/>
      </c>
      <c r="B185" s="20">
        <f>B51</f>
        <v/>
      </c>
      <c r="C185" s="21">
        <f>100*(C51-C50)</f>
        <v/>
      </c>
      <c r="D185" s="21">
        <f>100*(D51-D50)</f>
        <v/>
      </c>
      <c r="E185" s="21">
        <f>100*(E51-E50)</f>
        <v/>
      </c>
      <c r="F185" s="21">
        <f>100*(F51-F50)</f>
        <v/>
      </c>
      <c r="G185" s="21">
        <f>100*(G51-G50)</f>
        <v/>
      </c>
      <c r="H185" s="21">
        <f>100*(H51-H50)</f>
        <v/>
      </c>
      <c r="I185" s="21">
        <f>100*(I51-I50)</f>
        <v/>
      </c>
      <c r="J185" s="21">
        <f>100*(J51-J50)</f>
        <v/>
      </c>
      <c r="K185" s="21">
        <f>100*(K51-K50)</f>
        <v/>
      </c>
      <c r="L185" s="21">
        <f>100*(L51-L50)</f>
        <v/>
      </c>
      <c r="M185" s="21">
        <f>100*(M51-M50)</f>
        <v/>
      </c>
      <c r="N185" s="21">
        <f>100*(N51-N50)</f>
        <v/>
      </c>
      <c r="O185" s="21">
        <f>100*(O51-O50)</f>
        <v/>
      </c>
      <c r="P185" s="21">
        <f>100*(P51-P50)</f>
        <v/>
      </c>
      <c r="Q185" s="21">
        <f>100*(Q51-Q50)</f>
        <v/>
      </c>
      <c r="R185" s="21">
        <f>100*(R51-R50)</f>
        <v/>
      </c>
      <c r="S185" s="21">
        <f>100*(S51-S50)</f>
        <v/>
      </c>
      <c r="T185" s="21">
        <f>100*(T51-T50)</f>
        <v/>
      </c>
      <c r="U185" s="21">
        <f>100*(U51-U50)</f>
        <v/>
      </c>
      <c r="V185" s="21">
        <f>100*(V51-V50)</f>
        <v/>
      </c>
      <c r="W185" s="21">
        <f>100*(W51-W50)</f>
        <v/>
      </c>
      <c r="X185" s="21">
        <f>100*(X51-X50)</f>
        <v/>
      </c>
      <c r="Y185" s="21">
        <f>100*(Y51-Y50)</f>
        <v/>
      </c>
      <c r="Z185" s="21">
        <f>100*(Z51-Z50)</f>
        <v/>
      </c>
      <c r="AA185" s="21">
        <f>100*(AA51-AA50)</f>
        <v/>
      </c>
      <c r="AB185" s="21">
        <f>100*(AB51-AB50)</f>
        <v/>
      </c>
      <c r="AC185" s="21">
        <f>100*(AC51-AC50)</f>
        <v/>
      </c>
      <c r="AD185" s="21">
        <f>100*(AD51-AD50)</f>
        <v/>
      </c>
      <c r="AE185" s="21">
        <f>100*(AE51-AE50)</f>
        <v/>
      </c>
      <c r="AF185" s="21">
        <f>100*(AF51-AF50)</f>
        <v/>
      </c>
      <c r="AG185" s="21">
        <f>100*(AG51-AG50)</f>
        <v/>
      </c>
      <c r="AH185" s="21">
        <f>100*(AH51-AH50)</f>
        <v/>
      </c>
      <c r="AI185" s="21">
        <f>100*(AI51-AI50)</f>
        <v/>
      </c>
      <c r="AJ185" s="21">
        <f>100*(AJ51-AJ50)</f>
        <v/>
      </c>
      <c r="AK185" s="21">
        <f>100*(AK51-AK50)</f>
        <v/>
      </c>
      <c r="AL185" s="21">
        <f>AVERAGE(C185:AK185)</f>
        <v/>
      </c>
    </row>
    <row r="186">
      <c r="A186" s="19">
        <f>A52</f>
        <v/>
      </c>
      <c r="B186" s="20">
        <f>B52</f>
        <v/>
      </c>
      <c r="C186" s="21">
        <f>100*(C52-C51)</f>
        <v/>
      </c>
      <c r="D186" s="21">
        <f>100*(D52-D51)</f>
        <v/>
      </c>
      <c r="E186" s="21">
        <f>100*(E52-E51)</f>
        <v/>
      </c>
      <c r="F186" s="21">
        <f>100*(F52-F51)</f>
        <v/>
      </c>
      <c r="G186" s="21">
        <f>100*(G52-G51)</f>
        <v/>
      </c>
      <c r="H186" s="21">
        <f>100*(H52-H51)</f>
        <v/>
      </c>
      <c r="I186" s="21">
        <f>100*(I52-I51)</f>
        <v/>
      </c>
      <c r="J186" s="21">
        <f>100*(J52-J51)</f>
        <v/>
      </c>
      <c r="K186" s="21">
        <f>100*(K52-K51)</f>
        <v/>
      </c>
      <c r="L186" s="21">
        <f>100*(L52-L51)</f>
        <v/>
      </c>
      <c r="M186" s="21">
        <f>100*(M52-M51)</f>
        <v/>
      </c>
      <c r="N186" s="21">
        <f>100*(N52-N51)</f>
        <v/>
      </c>
      <c r="O186" s="21">
        <f>100*(O52-O51)</f>
        <v/>
      </c>
      <c r="P186" s="21">
        <f>100*(P52-P51)</f>
        <v/>
      </c>
      <c r="Q186" s="21">
        <f>100*(Q52-Q51)</f>
        <v/>
      </c>
      <c r="R186" s="21">
        <f>100*(R52-R51)</f>
        <v/>
      </c>
      <c r="S186" s="21">
        <f>100*(S52-S51)</f>
        <v/>
      </c>
      <c r="T186" s="21">
        <f>100*(T52-T51)</f>
        <v/>
      </c>
      <c r="U186" s="21">
        <f>100*(U52-U51)</f>
        <v/>
      </c>
      <c r="V186" s="21">
        <f>100*(V52-V51)</f>
        <v/>
      </c>
      <c r="W186" s="21">
        <f>100*(W52-W51)</f>
        <v/>
      </c>
      <c r="X186" s="21">
        <f>100*(X52-X51)</f>
        <v/>
      </c>
      <c r="Y186" s="21">
        <f>100*(Y52-Y51)</f>
        <v/>
      </c>
      <c r="Z186" s="21">
        <f>100*(Z52-Z51)</f>
        <v/>
      </c>
      <c r="AA186" s="21">
        <f>100*(AA52-AA51)</f>
        <v/>
      </c>
      <c r="AB186" s="21">
        <f>100*(AB52-AB51)</f>
        <v/>
      </c>
      <c r="AC186" s="21">
        <f>100*(AC52-AC51)</f>
        <v/>
      </c>
      <c r="AD186" s="21">
        <f>100*(AD52-AD51)</f>
        <v/>
      </c>
      <c r="AE186" s="21">
        <f>100*(AE52-AE51)</f>
        <v/>
      </c>
      <c r="AF186" s="21">
        <f>100*(AF52-AF51)</f>
        <v/>
      </c>
      <c r="AG186" s="21">
        <f>100*(AG52-AG51)</f>
        <v/>
      </c>
      <c r="AH186" s="21">
        <f>100*(AH52-AH51)</f>
        <v/>
      </c>
      <c r="AI186" s="21">
        <f>100*(AI52-AI51)</f>
        <v/>
      </c>
      <c r="AJ186" s="21">
        <f>100*(AJ52-AJ51)</f>
        <v/>
      </c>
      <c r="AK186" s="21">
        <f>100*(AK52-AK51)</f>
        <v/>
      </c>
      <c r="AL186" s="21">
        <f>AVERAGE(C186:AK186)</f>
        <v/>
      </c>
    </row>
    <row r="187">
      <c r="A187" s="19">
        <f>A53</f>
        <v/>
      </c>
      <c r="B187" s="20">
        <f>B53</f>
        <v/>
      </c>
      <c r="C187" s="21">
        <f>100*(C53-C52)</f>
        <v/>
      </c>
      <c r="D187" s="21">
        <f>100*(D53-D52)</f>
        <v/>
      </c>
      <c r="E187" s="21">
        <f>100*(E53-E52)</f>
        <v/>
      </c>
      <c r="F187" s="21">
        <f>100*(F53-F52)</f>
        <v/>
      </c>
      <c r="G187" s="21">
        <f>100*(G53-G52)</f>
        <v/>
      </c>
      <c r="H187" s="21">
        <f>100*(H53-H52)</f>
        <v/>
      </c>
      <c r="I187" s="21">
        <f>100*(I53-I52)</f>
        <v/>
      </c>
      <c r="J187" s="21">
        <f>100*(J53-J52)</f>
        <v/>
      </c>
      <c r="K187" s="21">
        <f>100*(K53-K52)</f>
        <v/>
      </c>
      <c r="L187" s="21">
        <f>100*(L53-L52)</f>
        <v/>
      </c>
      <c r="M187" s="21">
        <f>100*(M53-M52)</f>
        <v/>
      </c>
      <c r="N187" s="21">
        <f>100*(N53-N52)</f>
        <v/>
      </c>
      <c r="O187" s="21">
        <f>100*(O53-O52)</f>
        <v/>
      </c>
      <c r="P187" s="21">
        <f>100*(P53-P52)</f>
        <v/>
      </c>
      <c r="Q187" s="21">
        <f>100*(Q53-Q52)</f>
        <v/>
      </c>
      <c r="R187" s="21">
        <f>100*(R53-R52)</f>
        <v/>
      </c>
      <c r="S187" s="21">
        <f>100*(S53-S52)</f>
        <v/>
      </c>
      <c r="T187" s="21">
        <f>100*(T53-T52)</f>
        <v/>
      </c>
      <c r="U187" s="21">
        <f>100*(U53-U52)</f>
        <v/>
      </c>
      <c r="V187" s="21">
        <f>100*(V53-V52)</f>
        <v/>
      </c>
      <c r="W187" s="21">
        <f>100*(W53-W52)</f>
        <v/>
      </c>
      <c r="X187" s="21">
        <f>100*(X53-X52)</f>
        <v/>
      </c>
      <c r="Y187" s="21">
        <f>100*(Y53-Y52)</f>
        <v/>
      </c>
      <c r="Z187" s="21">
        <f>100*(Z53-Z52)</f>
        <v/>
      </c>
      <c r="AA187" s="21">
        <f>100*(AA53-AA52)</f>
        <v/>
      </c>
      <c r="AB187" s="21">
        <f>100*(AB53-AB52)</f>
        <v/>
      </c>
      <c r="AC187" s="21">
        <f>100*(AC53-AC52)</f>
        <v/>
      </c>
      <c r="AD187" s="21">
        <f>100*(AD53-AD52)</f>
        <v/>
      </c>
      <c r="AE187" s="21">
        <f>100*(AE53-AE52)</f>
        <v/>
      </c>
      <c r="AF187" s="21">
        <f>100*(AF53-AF52)</f>
        <v/>
      </c>
      <c r="AG187" s="21">
        <f>100*(AG53-AG52)</f>
        <v/>
      </c>
      <c r="AH187" s="21">
        <f>100*(AH53-AH52)</f>
        <v/>
      </c>
      <c r="AI187" s="21">
        <f>100*(AI53-AI52)</f>
        <v/>
      </c>
      <c r="AJ187" s="21">
        <f>100*(AJ53-AJ52)</f>
        <v/>
      </c>
      <c r="AK187" s="21">
        <f>100*(AK53-AK52)</f>
        <v/>
      </c>
      <c r="AL187" s="21">
        <f>AVERAGE(C187:AK187)</f>
        <v/>
      </c>
    </row>
    <row r="188">
      <c r="A188" s="19">
        <f>A54</f>
        <v/>
      </c>
      <c r="B188" s="20">
        <f>B54</f>
        <v/>
      </c>
      <c r="C188" s="21">
        <f>100*(C54-C53)</f>
        <v/>
      </c>
      <c r="D188" s="21">
        <f>100*(D54-D53)</f>
        <v/>
      </c>
      <c r="E188" s="21">
        <f>100*(E54-E53)</f>
        <v/>
      </c>
      <c r="F188" s="21">
        <f>100*(F54-F53)</f>
        <v/>
      </c>
      <c r="G188" s="21">
        <f>100*(G54-G53)</f>
        <v/>
      </c>
      <c r="H188" s="21">
        <f>100*(H54-H53)</f>
        <v/>
      </c>
      <c r="I188" s="21">
        <f>100*(I54-I53)</f>
        <v/>
      </c>
      <c r="J188" s="21">
        <f>100*(J54-J53)</f>
        <v/>
      </c>
      <c r="K188" s="21">
        <f>100*(K54-K53)</f>
        <v/>
      </c>
      <c r="L188" s="21">
        <f>100*(L54-L53)</f>
        <v/>
      </c>
      <c r="M188" s="21">
        <f>100*(M54-M53)</f>
        <v/>
      </c>
      <c r="N188" s="21">
        <f>100*(N54-N53)</f>
        <v/>
      </c>
      <c r="O188" s="21">
        <f>100*(O54-O53)</f>
        <v/>
      </c>
      <c r="P188" s="21">
        <f>100*(P54-P53)</f>
        <v/>
      </c>
      <c r="Q188" s="21">
        <f>100*(Q54-Q53)</f>
        <v/>
      </c>
      <c r="R188" s="21">
        <f>100*(R54-R53)</f>
        <v/>
      </c>
      <c r="S188" s="21">
        <f>100*(S54-S53)</f>
        <v/>
      </c>
      <c r="T188" s="21">
        <f>100*(T54-T53)</f>
        <v/>
      </c>
      <c r="U188" s="21">
        <f>100*(U54-U53)</f>
        <v/>
      </c>
      <c r="V188" s="21">
        <f>100*(V54-V53)</f>
        <v/>
      </c>
      <c r="W188" s="21">
        <f>100*(W54-W53)</f>
        <v/>
      </c>
      <c r="X188" s="21">
        <f>100*(X54-X53)</f>
        <v/>
      </c>
      <c r="Y188" s="21">
        <f>100*(Y54-Y53)</f>
        <v/>
      </c>
      <c r="Z188" s="21">
        <f>100*(Z54-Z53)</f>
        <v/>
      </c>
      <c r="AA188" s="21">
        <f>100*(AA54-AA53)</f>
        <v/>
      </c>
      <c r="AB188" s="21">
        <f>100*(AB54-AB53)</f>
        <v/>
      </c>
      <c r="AC188" s="21">
        <f>100*(AC54-AC53)</f>
        <v/>
      </c>
      <c r="AD188" s="21">
        <f>100*(AD54-AD53)</f>
        <v/>
      </c>
      <c r="AE188" s="21">
        <f>100*(AE54-AE53)</f>
        <v/>
      </c>
      <c r="AF188" s="21">
        <f>100*(AF54-AF53)</f>
        <v/>
      </c>
      <c r="AG188" s="21">
        <f>100*(AG54-AG53)</f>
        <v/>
      </c>
      <c r="AH188" s="21">
        <f>100*(AH54-AH53)</f>
        <v/>
      </c>
      <c r="AI188" s="21">
        <f>100*(AI54-AI53)</f>
        <v/>
      </c>
      <c r="AJ188" s="21">
        <f>100*(AJ54-AJ53)</f>
        <v/>
      </c>
      <c r="AK188" s="21">
        <f>100*(AK54-AK53)</f>
        <v/>
      </c>
      <c r="AL188" s="21">
        <f>AVERAGE(C188:AK188)</f>
        <v/>
      </c>
    </row>
    <row r="189">
      <c r="A189" s="19">
        <f>A55</f>
        <v/>
      </c>
      <c r="B189" s="20">
        <f>B55</f>
        <v/>
      </c>
      <c r="C189" s="21">
        <f>100*(C55-C54)</f>
        <v/>
      </c>
      <c r="D189" s="21">
        <f>100*(D55-D54)</f>
        <v/>
      </c>
      <c r="E189" s="21">
        <f>100*(E55-E54)</f>
        <v/>
      </c>
      <c r="F189" s="21">
        <f>100*(F55-F54)</f>
        <v/>
      </c>
      <c r="G189" s="21">
        <f>100*(G55-G54)</f>
        <v/>
      </c>
      <c r="H189" s="21">
        <f>100*(H55-H54)</f>
        <v/>
      </c>
      <c r="I189" s="21">
        <f>100*(I55-I54)</f>
        <v/>
      </c>
      <c r="J189" s="21">
        <f>100*(J55-J54)</f>
        <v/>
      </c>
      <c r="K189" s="21">
        <f>100*(K55-K54)</f>
        <v/>
      </c>
      <c r="L189" s="21">
        <f>100*(L55-L54)</f>
        <v/>
      </c>
      <c r="M189" s="21">
        <f>100*(M55-M54)</f>
        <v/>
      </c>
      <c r="N189" s="21">
        <f>100*(N55-N54)</f>
        <v/>
      </c>
      <c r="O189" s="21">
        <f>100*(O55-O54)</f>
        <v/>
      </c>
      <c r="P189" s="21">
        <f>100*(P55-P54)</f>
        <v/>
      </c>
      <c r="Q189" s="21">
        <f>100*(Q55-Q54)</f>
        <v/>
      </c>
      <c r="R189" s="21">
        <f>100*(R55-R54)</f>
        <v/>
      </c>
      <c r="S189" s="21">
        <f>100*(S55-S54)</f>
        <v/>
      </c>
      <c r="T189" s="21">
        <f>100*(T55-T54)</f>
        <v/>
      </c>
      <c r="U189" s="21">
        <f>100*(U55-U54)</f>
        <v/>
      </c>
      <c r="V189" s="21">
        <f>100*(V55-V54)</f>
        <v/>
      </c>
      <c r="W189" s="21">
        <f>100*(W55-W54)</f>
        <v/>
      </c>
      <c r="X189" s="21">
        <f>100*(X55-X54)</f>
        <v/>
      </c>
      <c r="Y189" s="21">
        <f>100*(Y55-Y54)</f>
        <v/>
      </c>
      <c r="Z189" s="21">
        <f>100*(Z55-Z54)</f>
        <v/>
      </c>
      <c r="AA189" s="21">
        <f>100*(AA55-AA54)</f>
        <v/>
      </c>
      <c r="AB189" s="21">
        <f>100*(AB55-AB54)</f>
        <v/>
      </c>
      <c r="AC189" s="21">
        <f>100*(AC55-AC54)</f>
        <v/>
      </c>
      <c r="AD189" s="21">
        <f>100*(AD55-AD54)</f>
        <v/>
      </c>
      <c r="AE189" s="21">
        <f>100*(AE55-AE54)</f>
        <v/>
      </c>
      <c r="AF189" s="21">
        <f>100*(AF55-AF54)</f>
        <v/>
      </c>
      <c r="AG189" s="21">
        <f>100*(AG55-AG54)</f>
        <v/>
      </c>
      <c r="AH189" s="21">
        <f>100*(AH55-AH54)</f>
        <v/>
      </c>
      <c r="AI189" s="21">
        <f>100*(AI55-AI54)</f>
        <v/>
      </c>
      <c r="AJ189" s="21">
        <f>100*(AJ55-AJ54)</f>
        <v/>
      </c>
      <c r="AK189" s="21">
        <f>100*(AK55-AK54)</f>
        <v/>
      </c>
      <c r="AL189" s="21">
        <f>AVERAGE(C189:AK189)</f>
        <v/>
      </c>
    </row>
    <row r="190">
      <c r="A190" s="19">
        <f>A56</f>
        <v/>
      </c>
      <c r="B190" s="20">
        <f>B56</f>
        <v/>
      </c>
      <c r="C190" s="21">
        <f>100*(C56-C55)</f>
        <v/>
      </c>
      <c r="D190" s="21">
        <f>100*(D56-D55)</f>
        <v/>
      </c>
      <c r="E190" s="21">
        <f>100*(E56-E55)</f>
        <v/>
      </c>
      <c r="F190" s="21">
        <f>100*(F56-F55)</f>
        <v/>
      </c>
      <c r="G190" s="21">
        <f>100*(G56-G55)</f>
        <v/>
      </c>
      <c r="H190" s="21">
        <f>100*(H56-H55)</f>
        <v/>
      </c>
      <c r="I190" s="21">
        <f>100*(I56-I55)</f>
        <v/>
      </c>
      <c r="J190" s="21">
        <f>100*(J56-J55)</f>
        <v/>
      </c>
      <c r="K190" s="21">
        <f>100*(K56-K55)</f>
        <v/>
      </c>
      <c r="L190" s="21">
        <f>100*(L56-L55)</f>
        <v/>
      </c>
      <c r="M190" s="21">
        <f>100*(M56-M55)</f>
        <v/>
      </c>
      <c r="N190" s="21">
        <f>100*(N56-N55)</f>
        <v/>
      </c>
      <c r="O190" s="21">
        <f>100*(O56-O55)</f>
        <v/>
      </c>
      <c r="P190" s="21">
        <f>100*(P56-P55)</f>
        <v/>
      </c>
      <c r="Q190" s="21">
        <f>100*(Q56-Q55)</f>
        <v/>
      </c>
      <c r="R190" s="21">
        <f>100*(R56-R55)</f>
        <v/>
      </c>
      <c r="S190" s="21">
        <f>100*(S56-S55)</f>
        <v/>
      </c>
      <c r="T190" s="21">
        <f>100*(T56-T55)</f>
        <v/>
      </c>
      <c r="U190" s="21">
        <f>100*(U56-U55)</f>
        <v/>
      </c>
      <c r="V190" s="21">
        <f>100*(V56-V55)</f>
        <v/>
      </c>
      <c r="W190" s="21">
        <f>100*(W56-W55)</f>
        <v/>
      </c>
      <c r="X190" s="21">
        <f>100*(X56-X55)</f>
        <v/>
      </c>
      <c r="Y190" s="21">
        <f>100*(Y56-Y55)</f>
        <v/>
      </c>
      <c r="Z190" s="21">
        <f>100*(Z56-Z55)</f>
        <v/>
      </c>
      <c r="AA190" s="21">
        <f>100*(AA56-AA55)</f>
        <v/>
      </c>
      <c r="AB190" s="21">
        <f>100*(AB56-AB55)</f>
        <v/>
      </c>
      <c r="AC190" s="21">
        <f>100*(AC56-AC55)</f>
        <v/>
      </c>
      <c r="AD190" s="21">
        <f>100*(AD56-AD55)</f>
        <v/>
      </c>
      <c r="AE190" s="21">
        <f>100*(AE56-AE55)</f>
        <v/>
      </c>
      <c r="AF190" s="21">
        <f>100*(AF56-AF55)</f>
        <v/>
      </c>
      <c r="AG190" s="21">
        <f>100*(AG56-AG55)</f>
        <v/>
      </c>
      <c r="AH190" s="21">
        <f>100*(AH56-AH55)</f>
        <v/>
      </c>
      <c r="AI190" s="21">
        <f>100*(AI56-AI55)</f>
        <v/>
      </c>
      <c r="AJ190" s="21">
        <f>100*(AJ56-AJ55)</f>
        <v/>
      </c>
      <c r="AK190" s="21">
        <f>100*(AK56-AK55)</f>
        <v/>
      </c>
      <c r="AL190" s="21">
        <f>AVERAGE(C190:AK190)</f>
        <v/>
      </c>
    </row>
    <row r="191">
      <c r="A191" s="19">
        <f>A57</f>
        <v/>
      </c>
      <c r="B191" s="20">
        <f>B57</f>
        <v/>
      </c>
      <c r="C191" s="21">
        <f>100*(C57-C56)</f>
        <v/>
      </c>
      <c r="D191" s="21">
        <f>100*(D57-D56)</f>
        <v/>
      </c>
      <c r="E191" s="21">
        <f>100*(E57-E56)</f>
        <v/>
      </c>
      <c r="F191" s="21">
        <f>100*(F57-F56)</f>
        <v/>
      </c>
      <c r="G191" s="21">
        <f>100*(G57-G56)</f>
        <v/>
      </c>
      <c r="H191" s="21">
        <f>100*(H57-H56)</f>
        <v/>
      </c>
      <c r="I191" s="21">
        <f>100*(I57-I56)</f>
        <v/>
      </c>
      <c r="J191" s="21">
        <f>100*(J57-J56)</f>
        <v/>
      </c>
      <c r="K191" s="21">
        <f>100*(K57-K56)</f>
        <v/>
      </c>
      <c r="L191" s="21">
        <f>100*(L57-L56)</f>
        <v/>
      </c>
      <c r="M191" s="21">
        <f>100*(M57-M56)</f>
        <v/>
      </c>
      <c r="N191" s="21">
        <f>100*(N57-N56)</f>
        <v/>
      </c>
      <c r="O191" s="21">
        <f>100*(O57-O56)</f>
        <v/>
      </c>
      <c r="P191" s="21">
        <f>100*(P57-P56)</f>
        <v/>
      </c>
      <c r="Q191" s="21">
        <f>100*(Q57-Q56)</f>
        <v/>
      </c>
      <c r="R191" s="21">
        <f>100*(R57-R56)</f>
        <v/>
      </c>
      <c r="S191" s="21">
        <f>100*(S57-S56)</f>
        <v/>
      </c>
      <c r="T191" s="21">
        <f>100*(T57-T56)</f>
        <v/>
      </c>
      <c r="U191" s="21">
        <f>100*(U57-U56)</f>
        <v/>
      </c>
      <c r="V191" s="21">
        <f>100*(V57-V56)</f>
        <v/>
      </c>
      <c r="W191" s="21">
        <f>100*(W57-W56)</f>
        <v/>
      </c>
      <c r="X191" s="21">
        <f>100*(X57-X56)</f>
        <v/>
      </c>
      <c r="Y191" s="21">
        <f>100*(Y57-Y56)</f>
        <v/>
      </c>
      <c r="Z191" s="21">
        <f>100*(Z57-Z56)</f>
        <v/>
      </c>
      <c r="AA191" s="21">
        <f>100*(AA57-AA56)</f>
        <v/>
      </c>
      <c r="AB191" s="21">
        <f>100*(AB57-AB56)</f>
        <v/>
      </c>
      <c r="AC191" s="21">
        <f>100*(AC57-AC56)</f>
        <v/>
      </c>
      <c r="AD191" s="21">
        <f>100*(AD57-AD56)</f>
        <v/>
      </c>
      <c r="AE191" s="21">
        <f>100*(AE57-AE56)</f>
        <v/>
      </c>
      <c r="AF191" s="21">
        <f>100*(AF57-AF56)</f>
        <v/>
      </c>
      <c r="AG191" s="21">
        <f>100*(AG57-AG56)</f>
        <v/>
      </c>
      <c r="AH191" s="21">
        <f>100*(AH57-AH56)</f>
        <v/>
      </c>
      <c r="AI191" s="21">
        <f>100*(AI57-AI56)</f>
        <v/>
      </c>
      <c r="AJ191" s="21">
        <f>100*(AJ57-AJ56)</f>
        <v/>
      </c>
      <c r="AK191" s="21">
        <f>100*(AK57-AK56)</f>
        <v/>
      </c>
      <c r="AL191" s="21">
        <f>AVERAGE(C191:AK191)</f>
        <v/>
      </c>
    </row>
    <row r="192">
      <c r="A192" s="19">
        <f>A58</f>
        <v/>
      </c>
      <c r="B192" s="20">
        <f>B58</f>
        <v/>
      </c>
      <c r="C192" s="21">
        <f>100*(C58-C57)</f>
        <v/>
      </c>
      <c r="D192" s="21">
        <f>100*(D58-D57)</f>
        <v/>
      </c>
      <c r="E192" s="21">
        <f>100*(E58-E57)</f>
        <v/>
      </c>
      <c r="F192" s="21">
        <f>100*(F58-F57)</f>
        <v/>
      </c>
      <c r="G192" s="21">
        <f>100*(G58-G57)</f>
        <v/>
      </c>
      <c r="H192" s="21">
        <f>100*(H58-H57)</f>
        <v/>
      </c>
      <c r="I192" s="21">
        <f>100*(I58-I57)</f>
        <v/>
      </c>
      <c r="J192" s="21">
        <f>100*(J58-J57)</f>
        <v/>
      </c>
      <c r="K192" s="21">
        <f>100*(K58-K57)</f>
        <v/>
      </c>
      <c r="L192" s="21">
        <f>100*(L58-L57)</f>
        <v/>
      </c>
      <c r="M192" s="21">
        <f>100*(M58-M57)</f>
        <v/>
      </c>
      <c r="N192" s="21">
        <f>100*(N58-N57)</f>
        <v/>
      </c>
      <c r="O192" s="21">
        <f>100*(O58-O57)</f>
        <v/>
      </c>
      <c r="P192" s="21">
        <f>100*(P58-P57)</f>
        <v/>
      </c>
      <c r="Q192" s="21">
        <f>100*(Q58-Q57)</f>
        <v/>
      </c>
      <c r="R192" s="21">
        <f>100*(R58-R57)</f>
        <v/>
      </c>
      <c r="S192" s="21">
        <f>100*(S58-S57)</f>
        <v/>
      </c>
      <c r="T192" s="21">
        <f>100*(T58-T57)</f>
        <v/>
      </c>
      <c r="U192" s="21">
        <f>100*(U58-U57)</f>
        <v/>
      </c>
      <c r="V192" s="21">
        <f>100*(V58-V57)</f>
        <v/>
      </c>
      <c r="W192" s="21">
        <f>100*(W58-W57)</f>
        <v/>
      </c>
      <c r="X192" s="21">
        <f>100*(X58-X57)</f>
        <v/>
      </c>
      <c r="Y192" s="21">
        <f>100*(Y58-Y57)</f>
        <v/>
      </c>
      <c r="Z192" s="21">
        <f>100*(Z58-Z57)</f>
        <v/>
      </c>
      <c r="AA192" s="21">
        <f>100*(AA58-AA57)</f>
        <v/>
      </c>
      <c r="AB192" s="21">
        <f>100*(AB58-AB57)</f>
        <v/>
      </c>
      <c r="AC192" s="21">
        <f>100*(AC58-AC57)</f>
        <v/>
      </c>
      <c r="AD192" s="21">
        <f>100*(AD58-AD57)</f>
        <v/>
      </c>
      <c r="AE192" s="21">
        <f>100*(AE58-AE57)</f>
        <v/>
      </c>
      <c r="AF192" s="21">
        <f>100*(AF58-AF57)</f>
        <v/>
      </c>
      <c r="AG192" s="21">
        <f>100*(AG58-AG57)</f>
        <v/>
      </c>
      <c r="AH192" s="21">
        <f>100*(AH58-AH57)</f>
        <v/>
      </c>
      <c r="AI192" s="21">
        <f>100*(AI58-AI57)</f>
        <v/>
      </c>
      <c r="AJ192" s="21">
        <f>100*(AJ58-AJ57)</f>
        <v/>
      </c>
      <c r="AK192" s="21">
        <f>100*(AK58-AK57)</f>
        <v/>
      </c>
      <c r="AL192" s="21">
        <f>AVERAGE(C192:AK192)</f>
        <v/>
      </c>
    </row>
    <row r="193">
      <c r="A193" s="19">
        <f>A59</f>
        <v/>
      </c>
      <c r="B193" s="20">
        <f>B59</f>
        <v/>
      </c>
      <c r="C193" s="21">
        <f>100*(C59-C58)</f>
        <v/>
      </c>
      <c r="D193" s="21">
        <f>100*(D59-D58)</f>
        <v/>
      </c>
      <c r="E193" s="21">
        <f>100*(E59-E58)</f>
        <v/>
      </c>
      <c r="F193" s="21">
        <f>100*(F59-F58)</f>
        <v/>
      </c>
      <c r="G193" s="21">
        <f>100*(G59-G58)</f>
        <v/>
      </c>
      <c r="H193" s="21">
        <f>100*(H59-H58)</f>
        <v/>
      </c>
      <c r="I193" s="21">
        <f>100*(I59-I58)</f>
        <v/>
      </c>
      <c r="J193" s="21">
        <f>100*(J59-J58)</f>
        <v/>
      </c>
      <c r="K193" s="21">
        <f>100*(K59-K58)</f>
        <v/>
      </c>
      <c r="L193" s="21">
        <f>100*(L59-L58)</f>
        <v/>
      </c>
      <c r="M193" s="21">
        <f>100*(M59-M58)</f>
        <v/>
      </c>
      <c r="N193" s="21">
        <f>100*(N59-N58)</f>
        <v/>
      </c>
      <c r="O193" s="21">
        <f>100*(O59-O58)</f>
        <v/>
      </c>
      <c r="P193" s="21">
        <f>100*(P59-P58)</f>
        <v/>
      </c>
      <c r="Q193" s="21">
        <f>100*(Q59-Q58)</f>
        <v/>
      </c>
      <c r="R193" s="21">
        <f>100*(R59-R58)</f>
        <v/>
      </c>
      <c r="S193" s="21">
        <f>100*(S59-S58)</f>
        <v/>
      </c>
      <c r="T193" s="21">
        <f>100*(T59-T58)</f>
        <v/>
      </c>
      <c r="U193" s="21">
        <f>100*(U59-U58)</f>
        <v/>
      </c>
      <c r="V193" s="21">
        <f>100*(V59-V58)</f>
        <v/>
      </c>
      <c r="W193" s="21">
        <f>100*(W59-W58)</f>
        <v/>
      </c>
      <c r="X193" s="21">
        <f>100*(X59-X58)</f>
        <v/>
      </c>
      <c r="Y193" s="21">
        <f>100*(Y59-Y58)</f>
        <v/>
      </c>
      <c r="Z193" s="21">
        <f>100*(Z59-Z58)</f>
        <v/>
      </c>
      <c r="AA193" s="21">
        <f>100*(AA59-AA58)</f>
        <v/>
      </c>
      <c r="AB193" s="21">
        <f>100*(AB59-AB58)</f>
        <v/>
      </c>
      <c r="AC193" s="21">
        <f>100*(AC59-AC58)</f>
        <v/>
      </c>
      <c r="AD193" s="21">
        <f>100*(AD59-AD58)</f>
        <v/>
      </c>
      <c r="AE193" s="21">
        <f>100*(AE59-AE58)</f>
        <v/>
      </c>
      <c r="AF193" s="21">
        <f>100*(AF59-AF58)</f>
        <v/>
      </c>
      <c r="AG193" s="21">
        <f>100*(AG59-AG58)</f>
        <v/>
      </c>
      <c r="AH193" s="21">
        <f>100*(AH59-AH58)</f>
        <v/>
      </c>
      <c r="AI193" s="21">
        <f>100*(AI59-AI58)</f>
        <v/>
      </c>
      <c r="AJ193" s="21">
        <f>100*(AJ59-AJ58)</f>
        <v/>
      </c>
      <c r="AK193" s="21">
        <f>100*(AK59-AK58)</f>
        <v/>
      </c>
      <c r="AL193" s="21">
        <f>AVERAGE(C193:AK193)</f>
        <v/>
      </c>
    </row>
    <row r="194">
      <c r="A194" s="19">
        <f>A60</f>
        <v/>
      </c>
      <c r="B194" s="20">
        <f>B60</f>
        <v/>
      </c>
      <c r="C194" s="21">
        <f>100*(C60-C59)</f>
        <v/>
      </c>
      <c r="D194" s="21">
        <f>100*(D60-D59)</f>
        <v/>
      </c>
      <c r="E194" s="21">
        <f>100*(E60-E59)</f>
        <v/>
      </c>
      <c r="F194" s="21">
        <f>100*(F60-F59)</f>
        <v/>
      </c>
      <c r="G194" s="21">
        <f>100*(G60-G59)</f>
        <v/>
      </c>
      <c r="H194" s="21">
        <f>100*(H60-H59)</f>
        <v/>
      </c>
      <c r="I194" s="21">
        <f>100*(I60-I59)</f>
        <v/>
      </c>
      <c r="J194" s="21">
        <f>100*(J60-J59)</f>
        <v/>
      </c>
      <c r="K194" s="21">
        <f>100*(K60-K59)</f>
        <v/>
      </c>
      <c r="L194" s="21">
        <f>100*(L60-L59)</f>
        <v/>
      </c>
      <c r="M194" s="21">
        <f>100*(M60-M59)</f>
        <v/>
      </c>
      <c r="N194" s="21">
        <f>100*(N60-N59)</f>
        <v/>
      </c>
      <c r="O194" s="21">
        <f>100*(O60-O59)</f>
        <v/>
      </c>
      <c r="P194" s="21">
        <f>100*(P60-P59)</f>
        <v/>
      </c>
      <c r="Q194" s="21">
        <f>100*(Q60-Q59)</f>
        <v/>
      </c>
      <c r="R194" s="21">
        <f>100*(R60-R59)</f>
        <v/>
      </c>
      <c r="S194" s="21">
        <f>100*(S60-S59)</f>
        <v/>
      </c>
      <c r="T194" s="21">
        <f>100*(T60-T59)</f>
        <v/>
      </c>
      <c r="U194" s="21">
        <f>100*(U60-U59)</f>
        <v/>
      </c>
      <c r="V194" s="21">
        <f>100*(V60-V59)</f>
        <v/>
      </c>
      <c r="W194" s="21">
        <f>100*(W60-W59)</f>
        <v/>
      </c>
      <c r="X194" s="21">
        <f>100*(X60-X59)</f>
        <v/>
      </c>
      <c r="Y194" s="21">
        <f>100*(Y60-Y59)</f>
        <v/>
      </c>
      <c r="Z194" s="21">
        <f>100*(Z60-Z59)</f>
        <v/>
      </c>
      <c r="AA194" s="21">
        <f>100*(AA60-AA59)</f>
        <v/>
      </c>
      <c r="AB194" s="21">
        <f>100*(AB60-AB59)</f>
        <v/>
      </c>
      <c r="AC194" s="21">
        <f>100*(AC60-AC59)</f>
        <v/>
      </c>
      <c r="AD194" s="21">
        <f>100*(AD60-AD59)</f>
        <v/>
      </c>
      <c r="AE194" s="21">
        <f>100*(AE60-AE59)</f>
        <v/>
      </c>
      <c r="AF194" s="21">
        <f>100*(AF60-AF59)</f>
        <v/>
      </c>
      <c r="AG194" s="21">
        <f>100*(AG60-AG59)</f>
        <v/>
      </c>
      <c r="AH194" s="21">
        <f>100*(AH60-AH59)</f>
        <v/>
      </c>
      <c r="AI194" s="21">
        <f>100*(AI60-AI59)</f>
        <v/>
      </c>
      <c r="AJ194" s="21">
        <f>100*(AJ60-AJ59)</f>
        <v/>
      </c>
      <c r="AK194" s="21">
        <f>100*(AK60-AK59)</f>
        <v/>
      </c>
      <c r="AL194" s="21">
        <f>AVERAGE(C194:AK194)</f>
        <v/>
      </c>
    </row>
    <row r="195">
      <c r="A195" s="19">
        <f>A61</f>
        <v/>
      </c>
      <c r="B195" s="20">
        <f>B61</f>
        <v/>
      </c>
      <c r="C195" s="21">
        <f>100*(C61-C60)</f>
        <v/>
      </c>
      <c r="D195" s="21">
        <f>100*(D61-D60)</f>
        <v/>
      </c>
      <c r="E195" s="21">
        <f>100*(E61-E60)</f>
        <v/>
      </c>
      <c r="F195" s="21">
        <f>100*(F61-F60)</f>
        <v/>
      </c>
      <c r="G195" s="21">
        <f>100*(G61-G60)</f>
        <v/>
      </c>
      <c r="H195" s="21">
        <f>100*(H61-H60)</f>
        <v/>
      </c>
      <c r="I195" s="21">
        <f>100*(I61-I60)</f>
        <v/>
      </c>
      <c r="J195" s="21">
        <f>100*(J61-J60)</f>
        <v/>
      </c>
      <c r="K195" s="21">
        <f>100*(K61-K60)</f>
        <v/>
      </c>
      <c r="L195" s="21">
        <f>100*(L61-L60)</f>
        <v/>
      </c>
      <c r="M195" s="21">
        <f>100*(M61-M60)</f>
        <v/>
      </c>
      <c r="N195" s="21">
        <f>100*(N61-N60)</f>
        <v/>
      </c>
      <c r="O195" s="21">
        <f>100*(O61-O60)</f>
        <v/>
      </c>
      <c r="P195" s="21">
        <f>100*(P61-P60)</f>
        <v/>
      </c>
      <c r="Q195" s="21">
        <f>100*(Q61-Q60)</f>
        <v/>
      </c>
      <c r="R195" s="21">
        <f>100*(R61-R60)</f>
        <v/>
      </c>
      <c r="S195" s="21">
        <f>100*(S61-S60)</f>
        <v/>
      </c>
      <c r="T195" s="21">
        <f>100*(T61-T60)</f>
        <v/>
      </c>
      <c r="U195" s="21">
        <f>100*(U61-U60)</f>
        <v/>
      </c>
      <c r="V195" s="21">
        <f>100*(V61-V60)</f>
        <v/>
      </c>
      <c r="W195" s="21">
        <f>100*(W61-W60)</f>
        <v/>
      </c>
      <c r="X195" s="21">
        <f>100*(X61-X60)</f>
        <v/>
      </c>
      <c r="Y195" s="21">
        <f>100*(Y61-Y60)</f>
        <v/>
      </c>
      <c r="Z195" s="21">
        <f>100*(Z61-Z60)</f>
        <v/>
      </c>
      <c r="AA195" s="21">
        <f>100*(AA61-AA60)</f>
        <v/>
      </c>
      <c r="AB195" s="21">
        <f>100*(AB61-AB60)</f>
        <v/>
      </c>
      <c r="AC195" s="21">
        <f>100*(AC61-AC60)</f>
        <v/>
      </c>
      <c r="AD195" s="21">
        <f>100*(AD61-AD60)</f>
        <v/>
      </c>
      <c r="AE195" s="21">
        <f>100*(AE61-AE60)</f>
        <v/>
      </c>
      <c r="AF195" s="21">
        <f>100*(AF61-AF60)</f>
        <v/>
      </c>
      <c r="AG195" s="21">
        <f>100*(AG61-AG60)</f>
        <v/>
      </c>
      <c r="AH195" s="21">
        <f>100*(AH61-AH60)</f>
        <v/>
      </c>
      <c r="AI195" s="21">
        <f>100*(AI61-AI60)</f>
        <v/>
      </c>
      <c r="AJ195" s="21">
        <f>100*(AJ61-AJ60)</f>
        <v/>
      </c>
      <c r="AK195" s="21">
        <f>100*(AK61-AK60)</f>
        <v/>
      </c>
      <c r="AL195" s="21">
        <f>AVERAGE(C195:AK195)</f>
        <v/>
      </c>
    </row>
    <row r="196">
      <c r="A196" s="19">
        <f>A62</f>
        <v/>
      </c>
      <c r="B196" s="20">
        <f>B62</f>
        <v/>
      </c>
      <c r="C196" s="21">
        <f>100*(C62-C61)</f>
        <v/>
      </c>
      <c r="D196" s="21">
        <f>100*(D62-D61)</f>
        <v/>
      </c>
      <c r="E196" s="21">
        <f>100*(E62-E61)</f>
        <v/>
      </c>
      <c r="F196" s="21">
        <f>100*(F62-F61)</f>
        <v/>
      </c>
      <c r="G196" s="21">
        <f>100*(G62-G61)</f>
        <v/>
      </c>
      <c r="H196" s="21">
        <f>100*(H62-H61)</f>
        <v/>
      </c>
      <c r="I196" s="21">
        <f>100*(I62-I61)</f>
        <v/>
      </c>
      <c r="J196" s="21">
        <f>100*(J62-J61)</f>
        <v/>
      </c>
      <c r="K196" s="21">
        <f>100*(K62-K61)</f>
        <v/>
      </c>
      <c r="L196" s="21">
        <f>100*(L62-L61)</f>
        <v/>
      </c>
      <c r="M196" s="21">
        <f>100*(M62-M61)</f>
        <v/>
      </c>
      <c r="N196" s="21">
        <f>100*(N62-N61)</f>
        <v/>
      </c>
      <c r="O196" s="21">
        <f>100*(O62-O61)</f>
        <v/>
      </c>
      <c r="P196" s="21">
        <f>100*(P62-P61)</f>
        <v/>
      </c>
      <c r="Q196" s="21">
        <f>100*(Q62-Q61)</f>
        <v/>
      </c>
      <c r="R196" s="21">
        <f>100*(R62-R61)</f>
        <v/>
      </c>
      <c r="S196" s="21">
        <f>100*(S62-S61)</f>
        <v/>
      </c>
      <c r="T196" s="21">
        <f>100*(T62-T61)</f>
        <v/>
      </c>
      <c r="U196" s="21">
        <f>100*(U62-U61)</f>
        <v/>
      </c>
      <c r="V196" s="21">
        <f>100*(V62-V61)</f>
        <v/>
      </c>
      <c r="W196" s="21">
        <f>100*(W62-W61)</f>
        <v/>
      </c>
      <c r="X196" s="21">
        <f>100*(X62-X61)</f>
        <v/>
      </c>
      <c r="Y196" s="21">
        <f>100*(Y62-Y61)</f>
        <v/>
      </c>
      <c r="Z196" s="21">
        <f>100*(Z62-Z61)</f>
        <v/>
      </c>
      <c r="AA196" s="21">
        <f>100*(AA62-AA61)</f>
        <v/>
      </c>
      <c r="AB196" s="21">
        <f>100*(AB62-AB61)</f>
        <v/>
      </c>
      <c r="AC196" s="21">
        <f>100*(AC62-AC61)</f>
        <v/>
      </c>
      <c r="AD196" s="21">
        <f>100*(AD62-AD61)</f>
        <v/>
      </c>
      <c r="AE196" s="21">
        <f>100*(AE62-AE61)</f>
        <v/>
      </c>
      <c r="AF196" s="21">
        <f>100*(AF62-AF61)</f>
        <v/>
      </c>
      <c r="AG196" s="21">
        <f>100*(AG62-AG61)</f>
        <v/>
      </c>
      <c r="AH196" s="21">
        <f>100*(AH62-AH61)</f>
        <v/>
      </c>
      <c r="AI196" s="21">
        <f>100*(AI62-AI61)</f>
        <v/>
      </c>
      <c r="AJ196" s="21">
        <f>100*(AJ62-AJ61)</f>
        <v/>
      </c>
      <c r="AK196" s="21">
        <f>100*(AK62-AK61)</f>
        <v/>
      </c>
      <c r="AL196" s="21">
        <f>AVERAGE(C196:AK196)</f>
        <v/>
      </c>
    </row>
    <row r="197">
      <c r="A197" s="19">
        <f>A63</f>
        <v/>
      </c>
      <c r="B197" s="20">
        <f>B63</f>
        <v/>
      </c>
      <c r="C197" s="21">
        <f>100*(C63-C62)</f>
        <v/>
      </c>
      <c r="D197" s="21">
        <f>100*(D63-D62)</f>
        <v/>
      </c>
      <c r="E197" s="21">
        <f>100*(E63-E62)</f>
        <v/>
      </c>
      <c r="F197" s="21">
        <f>100*(F63-F62)</f>
        <v/>
      </c>
      <c r="G197" s="21">
        <f>100*(G63-G62)</f>
        <v/>
      </c>
      <c r="H197" s="21">
        <f>100*(H63-H62)</f>
        <v/>
      </c>
      <c r="I197" s="21">
        <f>100*(I63-I62)</f>
        <v/>
      </c>
      <c r="J197" s="21">
        <f>100*(J63-J62)</f>
        <v/>
      </c>
      <c r="K197" s="21">
        <f>100*(K63-K62)</f>
        <v/>
      </c>
      <c r="L197" s="21">
        <f>100*(L63-L62)</f>
        <v/>
      </c>
      <c r="M197" s="21">
        <f>100*(M63-M62)</f>
        <v/>
      </c>
      <c r="N197" s="21">
        <f>100*(N63-N62)</f>
        <v/>
      </c>
      <c r="O197" s="21">
        <f>100*(O63-O62)</f>
        <v/>
      </c>
      <c r="P197" s="21">
        <f>100*(P63-P62)</f>
        <v/>
      </c>
      <c r="Q197" s="21">
        <f>100*(Q63-Q62)</f>
        <v/>
      </c>
      <c r="R197" s="21">
        <f>100*(R63-R62)</f>
        <v/>
      </c>
      <c r="S197" s="21">
        <f>100*(S63-S62)</f>
        <v/>
      </c>
      <c r="T197" s="21">
        <f>100*(T63-T62)</f>
        <v/>
      </c>
      <c r="U197" s="21">
        <f>100*(U63-U62)</f>
        <v/>
      </c>
      <c r="V197" s="21">
        <f>100*(V63-V62)</f>
        <v/>
      </c>
      <c r="W197" s="21">
        <f>100*(W63-W62)</f>
        <v/>
      </c>
      <c r="X197" s="21">
        <f>100*(X63-X62)</f>
        <v/>
      </c>
      <c r="Y197" s="21">
        <f>100*(Y63-Y62)</f>
        <v/>
      </c>
      <c r="Z197" s="21">
        <f>100*(Z63-Z62)</f>
        <v/>
      </c>
      <c r="AA197" s="21">
        <f>100*(AA63-AA62)</f>
        <v/>
      </c>
      <c r="AB197" s="21">
        <f>100*(AB63-AB62)</f>
        <v/>
      </c>
      <c r="AC197" s="21">
        <f>100*(AC63-AC62)</f>
        <v/>
      </c>
      <c r="AD197" s="21">
        <f>100*(AD63-AD62)</f>
        <v/>
      </c>
      <c r="AE197" s="21">
        <f>100*(AE63-AE62)</f>
        <v/>
      </c>
      <c r="AF197" s="21">
        <f>100*(AF63-AF62)</f>
        <v/>
      </c>
      <c r="AG197" s="21">
        <f>100*(AG63-AG62)</f>
        <v/>
      </c>
      <c r="AH197" s="21">
        <f>100*(AH63-AH62)</f>
        <v/>
      </c>
      <c r="AI197" s="21">
        <f>100*(AI63-AI62)</f>
        <v/>
      </c>
      <c r="AJ197" s="21">
        <f>100*(AJ63-AJ62)</f>
        <v/>
      </c>
      <c r="AK197" s="21">
        <f>100*(AK63-AK62)</f>
        <v/>
      </c>
      <c r="AL197" s="21">
        <f>AVERAGE(C197:AK197)</f>
        <v/>
      </c>
    </row>
    <row r="198">
      <c r="A198" s="19">
        <f>A64</f>
        <v/>
      </c>
      <c r="B198" s="20">
        <f>B64</f>
        <v/>
      </c>
      <c r="C198" s="21">
        <f>100*(C64-C63)</f>
        <v/>
      </c>
      <c r="D198" s="21">
        <f>100*(D64-D63)</f>
        <v/>
      </c>
      <c r="E198" s="21">
        <f>100*(E64-E63)</f>
        <v/>
      </c>
      <c r="F198" s="21">
        <f>100*(F64-F63)</f>
        <v/>
      </c>
      <c r="G198" s="21">
        <f>100*(G64-G63)</f>
        <v/>
      </c>
      <c r="H198" s="21">
        <f>100*(H64-H63)</f>
        <v/>
      </c>
      <c r="I198" s="21">
        <f>100*(I64-I63)</f>
        <v/>
      </c>
      <c r="J198" s="21">
        <f>100*(J64-J63)</f>
        <v/>
      </c>
      <c r="K198" s="21">
        <f>100*(K64-K63)</f>
        <v/>
      </c>
      <c r="L198" s="21">
        <f>100*(L64-L63)</f>
        <v/>
      </c>
      <c r="M198" s="21">
        <f>100*(M64-M63)</f>
        <v/>
      </c>
      <c r="N198" s="21">
        <f>100*(N64-N63)</f>
        <v/>
      </c>
      <c r="O198" s="21">
        <f>100*(O64-O63)</f>
        <v/>
      </c>
      <c r="P198" s="21">
        <f>100*(P64-P63)</f>
        <v/>
      </c>
      <c r="Q198" s="21">
        <f>100*(Q64-Q63)</f>
        <v/>
      </c>
      <c r="R198" s="21">
        <f>100*(R64-R63)</f>
        <v/>
      </c>
      <c r="S198" s="21">
        <f>100*(S64-S63)</f>
        <v/>
      </c>
      <c r="T198" s="21">
        <f>100*(T64-T63)</f>
        <v/>
      </c>
      <c r="U198" s="21">
        <f>100*(U64-U63)</f>
        <v/>
      </c>
      <c r="V198" s="21">
        <f>100*(V64-V63)</f>
        <v/>
      </c>
      <c r="W198" s="21">
        <f>100*(W64-W63)</f>
        <v/>
      </c>
      <c r="X198" s="21">
        <f>100*(X64-X63)</f>
        <v/>
      </c>
      <c r="Y198" s="21">
        <f>100*(Y64-Y63)</f>
        <v/>
      </c>
      <c r="Z198" s="21">
        <f>100*(Z64-Z63)</f>
        <v/>
      </c>
      <c r="AA198" s="21">
        <f>100*(AA64-AA63)</f>
        <v/>
      </c>
      <c r="AB198" s="21">
        <f>100*(AB64-AB63)</f>
        <v/>
      </c>
      <c r="AC198" s="21">
        <f>100*(AC64-AC63)</f>
        <v/>
      </c>
      <c r="AD198" s="21">
        <f>100*(AD64-AD63)</f>
        <v/>
      </c>
      <c r="AE198" s="21">
        <f>100*(AE64-AE63)</f>
        <v/>
      </c>
      <c r="AF198" s="21">
        <f>100*(AF64-AF63)</f>
        <v/>
      </c>
      <c r="AG198" s="21">
        <f>100*(AG64-AG63)</f>
        <v/>
      </c>
      <c r="AH198" s="21">
        <f>100*(AH64-AH63)</f>
        <v/>
      </c>
      <c r="AI198" s="21">
        <f>100*(AI64-AI63)</f>
        <v/>
      </c>
      <c r="AJ198" s="21">
        <f>100*(AJ64-AJ63)</f>
        <v/>
      </c>
      <c r="AK198" s="21">
        <f>100*(AK64-AK63)</f>
        <v/>
      </c>
      <c r="AL198" s="21">
        <f>AVERAGE(C198:AK198)</f>
        <v/>
      </c>
    </row>
    <row r="199">
      <c r="A199" s="19">
        <f>A65</f>
        <v/>
      </c>
      <c r="B199" s="20">
        <f>B65</f>
        <v/>
      </c>
      <c r="C199" s="21">
        <f>100*(C65-C64)</f>
        <v/>
      </c>
      <c r="D199" s="21">
        <f>100*(D65-D64)</f>
        <v/>
      </c>
      <c r="E199" s="21">
        <f>100*(E65-E64)</f>
        <v/>
      </c>
      <c r="F199" s="21">
        <f>100*(F65-F64)</f>
        <v/>
      </c>
      <c r="G199" s="21">
        <f>100*(G65-G64)</f>
        <v/>
      </c>
      <c r="H199" s="21">
        <f>100*(H65-H64)</f>
        <v/>
      </c>
      <c r="I199" s="21">
        <f>100*(I65-I64)</f>
        <v/>
      </c>
      <c r="J199" s="21">
        <f>100*(J65-J64)</f>
        <v/>
      </c>
      <c r="K199" s="21">
        <f>100*(K65-K64)</f>
        <v/>
      </c>
      <c r="L199" s="21">
        <f>100*(L65-L64)</f>
        <v/>
      </c>
      <c r="M199" s="21">
        <f>100*(M65-M64)</f>
        <v/>
      </c>
      <c r="N199" s="21">
        <f>100*(N65-N64)</f>
        <v/>
      </c>
      <c r="O199" s="21">
        <f>100*(O65-O64)</f>
        <v/>
      </c>
      <c r="P199" s="21">
        <f>100*(P65-P64)</f>
        <v/>
      </c>
      <c r="Q199" s="21">
        <f>100*(Q65-Q64)</f>
        <v/>
      </c>
      <c r="R199" s="21">
        <f>100*(R65-R64)</f>
        <v/>
      </c>
      <c r="S199" s="21">
        <f>100*(S65-S64)</f>
        <v/>
      </c>
      <c r="T199" s="21">
        <f>100*(T65-T64)</f>
        <v/>
      </c>
      <c r="U199" s="21">
        <f>100*(U65-U64)</f>
        <v/>
      </c>
      <c r="V199" s="21">
        <f>100*(V65-V64)</f>
        <v/>
      </c>
      <c r="W199" s="21">
        <f>100*(W65-W64)</f>
        <v/>
      </c>
      <c r="X199" s="21">
        <f>100*(X65-X64)</f>
        <v/>
      </c>
      <c r="Y199" s="21">
        <f>100*(Y65-Y64)</f>
        <v/>
      </c>
      <c r="Z199" s="21">
        <f>100*(Z65-Z64)</f>
        <v/>
      </c>
      <c r="AA199" s="21">
        <f>100*(AA65-AA64)</f>
        <v/>
      </c>
      <c r="AB199" s="21">
        <f>100*(AB65-AB64)</f>
        <v/>
      </c>
      <c r="AC199" s="21">
        <f>100*(AC65-AC64)</f>
        <v/>
      </c>
      <c r="AD199" s="21">
        <f>100*(AD65-AD64)</f>
        <v/>
      </c>
      <c r="AE199" s="21">
        <f>100*(AE65-AE64)</f>
        <v/>
      </c>
      <c r="AF199" s="21">
        <f>100*(AF65-AF64)</f>
        <v/>
      </c>
      <c r="AG199" s="21">
        <f>100*(AG65-AG64)</f>
        <v/>
      </c>
      <c r="AH199" s="21">
        <f>100*(AH65-AH64)</f>
        <v/>
      </c>
      <c r="AI199" s="21">
        <f>100*(AI65-AI64)</f>
        <v/>
      </c>
      <c r="AJ199" s="21">
        <f>100*(AJ65-AJ64)</f>
        <v/>
      </c>
      <c r="AK199" s="21">
        <f>100*(AK65-AK64)</f>
        <v/>
      </c>
      <c r="AL199" s="21">
        <f>AVERAGE(C199:AK199)</f>
        <v/>
      </c>
    </row>
    <row r="200">
      <c r="A200" s="19">
        <f>A66</f>
        <v/>
      </c>
      <c r="B200" s="20">
        <f>B66</f>
        <v/>
      </c>
      <c r="C200" s="21">
        <f>100*(C66-C65)</f>
        <v/>
      </c>
      <c r="D200" s="21">
        <f>100*(D66-D65)</f>
        <v/>
      </c>
      <c r="E200" s="21">
        <f>100*(E66-E65)</f>
        <v/>
      </c>
      <c r="F200" s="21">
        <f>100*(F66-F65)</f>
        <v/>
      </c>
      <c r="G200" s="21">
        <f>100*(G66-G65)</f>
        <v/>
      </c>
      <c r="H200" s="21">
        <f>100*(H66-H65)</f>
        <v/>
      </c>
      <c r="I200" s="21">
        <f>100*(I66-I65)</f>
        <v/>
      </c>
      <c r="J200" s="21">
        <f>100*(J66-J65)</f>
        <v/>
      </c>
      <c r="K200" s="21">
        <f>100*(K66-K65)</f>
        <v/>
      </c>
      <c r="L200" s="21">
        <f>100*(L66-L65)</f>
        <v/>
      </c>
      <c r="M200" s="21">
        <f>100*(M66-M65)</f>
        <v/>
      </c>
      <c r="N200" s="21">
        <f>100*(N66-N65)</f>
        <v/>
      </c>
      <c r="O200" s="21">
        <f>100*(O66-O65)</f>
        <v/>
      </c>
      <c r="P200" s="21">
        <f>100*(P66-P65)</f>
        <v/>
      </c>
      <c r="Q200" s="21">
        <f>100*(Q66-Q65)</f>
        <v/>
      </c>
      <c r="R200" s="21">
        <f>100*(R66-R65)</f>
        <v/>
      </c>
      <c r="S200" s="21">
        <f>100*(S66-S65)</f>
        <v/>
      </c>
      <c r="T200" s="21">
        <f>100*(T66-T65)</f>
        <v/>
      </c>
      <c r="U200" s="21">
        <f>100*(U66-U65)</f>
        <v/>
      </c>
      <c r="V200" s="21">
        <f>100*(V66-V65)</f>
        <v/>
      </c>
      <c r="W200" s="21">
        <f>100*(W66-W65)</f>
        <v/>
      </c>
      <c r="X200" s="21">
        <f>100*(X66-X65)</f>
        <v/>
      </c>
      <c r="Y200" s="21">
        <f>100*(Y66-Y65)</f>
        <v/>
      </c>
      <c r="Z200" s="21">
        <f>100*(Z66-Z65)</f>
        <v/>
      </c>
      <c r="AA200" s="21">
        <f>100*(AA66-AA65)</f>
        <v/>
      </c>
      <c r="AB200" s="21">
        <f>100*(AB66-AB65)</f>
        <v/>
      </c>
      <c r="AC200" s="21">
        <f>100*(AC66-AC65)</f>
        <v/>
      </c>
      <c r="AD200" s="21">
        <f>100*(AD66-AD65)</f>
        <v/>
      </c>
      <c r="AE200" s="21">
        <f>100*(AE66-AE65)</f>
        <v/>
      </c>
      <c r="AF200" s="21">
        <f>100*(AF66-AF65)</f>
        <v/>
      </c>
      <c r="AG200" s="21">
        <f>100*(AG66-AG65)</f>
        <v/>
      </c>
      <c r="AH200" s="21">
        <f>100*(AH66-AH65)</f>
        <v/>
      </c>
      <c r="AI200" s="21">
        <f>100*(AI66-AI65)</f>
        <v/>
      </c>
      <c r="AJ200" s="21">
        <f>100*(AJ66-AJ65)</f>
        <v/>
      </c>
      <c r="AK200" s="21">
        <f>100*(AK66-AK65)</f>
        <v/>
      </c>
      <c r="AL200" s="21">
        <f>AVERAGE(C200:AK200)</f>
        <v/>
      </c>
    </row>
    <row r="201">
      <c r="A201" s="19">
        <f>A67</f>
        <v/>
      </c>
      <c r="B201" s="20">
        <f>B67</f>
        <v/>
      </c>
      <c r="C201" s="21">
        <f>100*(C67-C66)</f>
        <v/>
      </c>
      <c r="D201" s="21">
        <f>100*(D67-D66)</f>
        <v/>
      </c>
      <c r="E201" s="21">
        <f>100*(E67-E66)</f>
        <v/>
      </c>
      <c r="F201" s="21">
        <f>100*(F67-F66)</f>
        <v/>
      </c>
      <c r="G201" s="21">
        <f>100*(G67-G66)</f>
        <v/>
      </c>
      <c r="H201" s="21">
        <f>100*(H67-H66)</f>
        <v/>
      </c>
      <c r="I201" s="21">
        <f>100*(I67-I66)</f>
        <v/>
      </c>
      <c r="J201" s="21">
        <f>100*(J67-J66)</f>
        <v/>
      </c>
      <c r="K201" s="21">
        <f>100*(K67-K66)</f>
        <v/>
      </c>
      <c r="L201" s="21">
        <f>100*(L67-L66)</f>
        <v/>
      </c>
      <c r="M201" s="21">
        <f>100*(M67-M66)</f>
        <v/>
      </c>
      <c r="N201" s="21">
        <f>100*(N67-N66)</f>
        <v/>
      </c>
      <c r="O201" s="21">
        <f>100*(O67-O66)</f>
        <v/>
      </c>
      <c r="P201" s="21">
        <f>100*(P67-P66)</f>
        <v/>
      </c>
      <c r="Q201" s="21">
        <f>100*(Q67-Q66)</f>
        <v/>
      </c>
      <c r="R201" s="21">
        <f>100*(R67-R66)</f>
        <v/>
      </c>
      <c r="S201" s="21">
        <f>100*(S67-S66)</f>
        <v/>
      </c>
      <c r="T201" s="21">
        <f>100*(T67-T66)</f>
        <v/>
      </c>
      <c r="U201" s="21">
        <f>100*(U67-U66)</f>
        <v/>
      </c>
      <c r="V201" s="21">
        <f>100*(V67-V66)</f>
        <v/>
      </c>
      <c r="W201" s="21">
        <f>100*(W67-W66)</f>
        <v/>
      </c>
      <c r="X201" s="21">
        <f>100*(X67-X66)</f>
        <v/>
      </c>
      <c r="Y201" s="21">
        <f>100*(Y67-Y66)</f>
        <v/>
      </c>
      <c r="Z201" s="21">
        <f>100*(Z67-Z66)</f>
        <v/>
      </c>
      <c r="AA201" s="21">
        <f>100*(AA67-AA66)</f>
        <v/>
      </c>
      <c r="AB201" s="21">
        <f>100*(AB67-AB66)</f>
        <v/>
      </c>
      <c r="AC201" s="21">
        <f>100*(AC67-AC66)</f>
        <v/>
      </c>
      <c r="AD201" s="21">
        <f>100*(AD67-AD66)</f>
        <v/>
      </c>
      <c r="AE201" s="21">
        <f>100*(AE67-AE66)</f>
        <v/>
      </c>
      <c r="AF201" s="21">
        <f>100*(AF67-AF66)</f>
        <v/>
      </c>
      <c r="AG201" s="21">
        <f>100*(AG67-AG66)</f>
        <v/>
      </c>
      <c r="AH201" s="21">
        <f>100*(AH67-AH66)</f>
        <v/>
      </c>
      <c r="AI201" s="21">
        <f>100*(AI67-AI66)</f>
        <v/>
      </c>
      <c r="AJ201" s="21">
        <f>100*(AJ67-AJ66)</f>
        <v/>
      </c>
      <c r="AK201" s="21">
        <f>100*(AK67-AK66)</f>
        <v/>
      </c>
      <c r="AL201" s="21">
        <f>AVERAGE(C201:AK201)</f>
        <v/>
      </c>
    </row>
    <row r="202">
      <c r="A202" s="19">
        <f>A68</f>
        <v/>
      </c>
      <c r="B202" s="20">
        <f>B68</f>
        <v/>
      </c>
      <c r="C202" s="21">
        <f>100*(C68-C67)</f>
        <v/>
      </c>
      <c r="D202" s="21">
        <f>100*(D68-D67)</f>
        <v/>
      </c>
      <c r="E202" s="21">
        <f>100*(E68-E67)</f>
        <v/>
      </c>
      <c r="F202" s="21">
        <f>100*(F68-F67)</f>
        <v/>
      </c>
      <c r="G202" s="21">
        <f>100*(G68-G67)</f>
        <v/>
      </c>
      <c r="H202" s="21">
        <f>100*(H68-H67)</f>
        <v/>
      </c>
      <c r="I202" s="21">
        <f>100*(I68-I67)</f>
        <v/>
      </c>
      <c r="J202" s="21">
        <f>100*(J68-J67)</f>
        <v/>
      </c>
      <c r="K202" s="21">
        <f>100*(K68-K67)</f>
        <v/>
      </c>
      <c r="L202" s="21">
        <f>100*(L68-L67)</f>
        <v/>
      </c>
      <c r="M202" s="21">
        <f>100*(M68-M67)</f>
        <v/>
      </c>
      <c r="N202" s="21">
        <f>100*(N68-N67)</f>
        <v/>
      </c>
      <c r="O202" s="21">
        <f>100*(O68-O67)</f>
        <v/>
      </c>
      <c r="P202" s="21">
        <f>100*(P68-P67)</f>
        <v/>
      </c>
      <c r="Q202" s="21">
        <f>100*(Q68-Q67)</f>
        <v/>
      </c>
      <c r="R202" s="21">
        <f>100*(R68-R67)</f>
        <v/>
      </c>
      <c r="S202" s="21">
        <f>100*(S68-S67)</f>
        <v/>
      </c>
      <c r="T202" s="21">
        <f>100*(T68-T67)</f>
        <v/>
      </c>
      <c r="U202" s="21">
        <f>100*(U68-U67)</f>
        <v/>
      </c>
      <c r="V202" s="21">
        <f>100*(V68-V67)</f>
        <v/>
      </c>
      <c r="W202" s="21">
        <f>100*(W68-W67)</f>
        <v/>
      </c>
      <c r="X202" s="21">
        <f>100*(X68-X67)</f>
        <v/>
      </c>
      <c r="Y202" s="21">
        <f>100*(Y68-Y67)</f>
        <v/>
      </c>
      <c r="Z202" s="21">
        <f>100*(Z68-Z67)</f>
        <v/>
      </c>
      <c r="AA202" s="21">
        <f>100*(AA68-AA67)</f>
        <v/>
      </c>
      <c r="AB202" s="21">
        <f>100*(AB68-AB67)</f>
        <v/>
      </c>
      <c r="AC202" s="21">
        <f>100*(AC68-AC67)</f>
        <v/>
      </c>
      <c r="AD202" s="21">
        <f>100*(AD68-AD67)</f>
        <v/>
      </c>
      <c r="AE202" s="21">
        <f>100*(AE68-AE67)</f>
        <v/>
      </c>
      <c r="AF202" s="21">
        <f>100*(AF68-AF67)</f>
        <v/>
      </c>
      <c r="AG202" s="21">
        <f>100*(AG68-AG67)</f>
        <v/>
      </c>
      <c r="AH202" s="21">
        <f>100*(AH68-AH67)</f>
        <v/>
      </c>
      <c r="AI202" s="21">
        <f>100*(AI68-AI67)</f>
        <v/>
      </c>
      <c r="AJ202" s="21">
        <f>100*(AJ68-AJ67)</f>
        <v/>
      </c>
      <c r="AK202" s="21">
        <f>100*(AK68-AK67)</f>
        <v/>
      </c>
      <c r="AL202" s="21">
        <f>AVERAGE(C202:AK202)</f>
        <v/>
      </c>
    </row>
    <row r="203">
      <c r="A203" s="19">
        <f>A69</f>
        <v/>
      </c>
      <c r="B203" s="20">
        <f>B69</f>
        <v/>
      </c>
      <c r="C203" s="21">
        <f>100*(C69-C68)</f>
        <v/>
      </c>
      <c r="D203" s="21">
        <f>100*(D69-D68)</f>
        <v/>
      </c>
      <c r="E203" s="21">
        <f>100*(E69-E68)</f>
        <v/>
      </c>
      <c r="F203" s="21">
        <f>100*(F69-F68)</f>
        <v/>
      </c>
      <c r="G203" s="21">
        <f>100*(G69-G68)</f>
        <v/>
      </c>
      <c r="H203" s="21">
        <f>100*(H69-H68)</f>
        <v/>
      </c>
      <c r="I203" s="21">
        <f>100*(I69-I68)</f>
        <v/>
      </c>
      <c r="J203" s="21">
        <f>100*(J69-J68)</f>
        <v/>
      </c>
      <c r="K203" s="21">
        <f>100*(K69-K68)</f>
        <v/>
      </c>
      <c r="L203" s="21">
        <f>100*(L69-L68)</f>
        <v/>
      </c>
      <c r="M203" s="21">
        <f>100*(M69-M68)</f>
        <v/>
      </c>
      <c r="N203" s="21">
        <f>100*(N69-N68)</f>
        <v/>
      </c>
      <c r="O203" s="21">
        <f>100*(O69-O68)</f>
        <v/>
      </c>
      <c r="P203" s="21">
        <f>100*(P69-P68)</f>
        <v/>
      </c>
      <c r="Q203" s="21">
        <f>100*(Q69-Q68)</f>
        <v/>
      </c>
      <c r="R203" s="21">
        <f>100*(R69-R68)</f>
        <v/>
      </c>
      <c r="S203" s="21">
        <f>100*(S69-S68)</f>
        <v/>
      </c>
      <c r="T203" s="21">
        <f>100*(T69-T68)</f>
        <v/>
      </c>
      <c r="U203" s="21">
        <f>100*(U69-U68)</f>
        <v/>
      </c>
      <c r="V203" s="21">
        <f>100*(V69-V68)</f>
        <v/>
      </c>
      <c r="W203" s="21">
        <f>100*(W69-W68)</f>
        <v/>
      </c>
      <c r="X203" s="21">
        <f>100*(X69-X68)</f>
        <v/>
      </c>
      <c r="Y203" s="21">
        <f>100*(Y69-Y68)</f>
        <v/>
      </c>
      <c r="Z203" s="21">
        <f>100*(Z69-Z68)</f>
        <v/>
      </c>
      <c r="AA203" s="21">
        <f>100*(AA69-AA68)</f>
        <v/>
      </c>
      <c r="AB203" s="21">
        <f>100*(AB69-AB68)</f>
        <v/>
      </c>
      <c r="AC203" s="21">
        <f>100*(AC69-AC68)</f>
        <v/>
      </c>
      <c r="AD203" s="21">
        <f>100*(AD69-AD68)</f>
        <v/>
      </c>
      <c r="AE203" s="21">
        <f>100*(AE69-AE68)</f>
        <v/>
      </c>
      <c r="AF203" s="21">
        <f>100*(AF69-AF68)</f>
        <v/>
      </c>
      <c r="AG203" s="21">
        <f>100*(AG69-AG68)</f>
        <v/>
      </c>
      <c r="AH203" s="21">
        <f>100*(AH69-AH68)</f>
        <v/>
      </c>
      <c r="AI203" s="21">
        <f>100*(AI69-AI68)</f>
        <v/>
      </c>
      <c r="AJ203" s="21">
        <f>100*(AJ69-AJ68)</f>
        <v/>
      </c>
      <c r="AK203" s="21">
        <f>100*(AK69-AK68)</f>
        <v/>
      </c>
      <c r="AL203" s="21">
        <f>AVERAGE(C203:AK203)</f>
        <v/>
      </c>
    </row>
    <row r="204">
      <c r="A204" s="19">
        <f>A70</f>
        <v/>
      </c>
      <c r="B204" s="20">
        <f>B70</f>
        <v/>
      </c>
      <c r="C204" s="21">
        <f>100*(C70-C69)</f>
        <v/>
      </c>
      <c r="D204" s="21">
        <f>100*(D70-D69)</f>
        <v/>
      </c>
      <c r="E204" s="21">
        <f>100*(E70-E69)</f>
        <v/>
      </c>
      <c r="F204" s="21">
        <f>100*(F70-F69)</f>
        <v/>
      </c>
      <c r="G204" s="21">
        <f>100*(G70-G69)</f>
        <v/>
      </c>
      <c r="H204" s="21">
        <f>100*(H70-H69)</f>
        <v/>
      </c>
      <c r="I204" s="21">
        <f>100*(I70-I69)</f>
        <v/>
      </c>
      <c r="J204" s="21">
        <f>100*(J70-J69)</f>
        <v/>
      </c>
      <c r="K204" s="21">
        <f>100*(K70-K69)</f>
        <v/>
      </c>
      <c r="L204" s="21">
        <f>100*(L70-L69)</f>
        <v/>
      </c>
      <c r="M204" s="21">
        <f>100*(M70-M69)</f>
        <v/>
      </c>
      <c r="N204" s="21">
        <f>100*(N70-N69)</f>
        <v/>
      </c>
      <c r="O204" s="21">
        <f>100*(O70-O69)</f>
        <v/>
      </c>
      <c r="P204" s="21">
        <f>100*(P70-P69)</f>
        <v/>
      </c>
      <c r="Q204" s="21">
        <f>100*(Q70-Q69)</f>
        <v/>
      </c>
      <c r="R204" s="21">
        <f>100*(R70-R69)</f>
        <v/>
      </c>
      <c r="S204" s="21">
        <f>100*(S70-S69)</f>
        <v/>
      </c>
      <c r="T204" s="21">
        <f>100*(T70-T69)</f>
        <v/>
      </c>
      <c r="U204" s="21">
        <f>100*(U70-U69)</f>
        <v/>
      </c>
      <c r="V204" s="21">
        <f>100*(V70-V69)</f>
        <v/>
      </c>
      <c r="W204" s="21">
        <f>100*(W70-W69)</f>
        <v/>
      </c>
      <c r="X204" s="21">
        <f>100*(X70-X69)</f>
        <v/>
      </c>
      <c r="Y204" s="21">
        <f>100*(Y70-Y69)</f>
        <v/>
      </c>
      <c r="Z204" s="21">
        <f>100*(Z70-Z69)</f>
        <v/>
      </c>
      <c r="AA204" s="21">
        <f>100*(AA70-AA69)</f>
        <v/>
      </c>
      <c r="AB204" s="21">
        <f>100*(AB70-AB69)</f>
        <v/>
      </c>
      <c r="AC204" s="21">
        <f>100*(AC70-AC69)</f>
        <v/>
      </c>
      <c r="AD204" s="21">
        <f>100*(AD70-AD69)</f>
        <v/>
      </c>
      <c r="AE204" s="21">
        <f>100*(AE70-AE69)</f>
        <v/>
      </c>
      <c r="AF204" s="21">
        <f>100*(AF70-AF69)</f>
        <v/>
      </c>
      <c r="AG204" s="21">
        <f>100*(AG70-AG69)</f>
        <v/>
      </c>
      <c r="AH204" s="21">
        <f>100*(AH70-AH69)</f>
        <v/>
      </c>
      <c r="AI204" s="21">
        <f>100*(AI70-AI69)</f>
        <v/>
      </c>
      <c r="AJ204" s="21">
        <f>100*(AJ70-AJ69)</f>
        <v/>
      </c>
      <c r="AK204" s="21">
        <f>100*(AK70-AK69)</f>
        <v/>
      </c>
      <c r="AL204" s="21">
        <f>AVERAGE(C204:AK204)</f>
        <v/>
      </c>
    </row>
    <row r="205">
      <c r="A205" s="19">
        <f>A71</f>
        <v/>
      </c>
      <c r="B205" s="20">
        <f>B71</f>
        <v/>
      </c>
      <c r="C205" s="21">
        <f>100*(C71-C70)</f>
        <v/>
      </c>
      <c r="D205" s="21">
        <f>100*(D71-D70)</f>
        <v/>
      </c>
      <c r="E205" s="21">
        <f>100*(E71-E70)</f>
        <v/>
      </c>
      <c r="F205" s="21">
        <f>100*(F71-F70)</f>
        <v/>
      </c>
      <c r="G205" s="21">
        <f>100*(G71-G70)</f>
        <v/>
      </c>
      <c r="H205" s="21">
        <f>100*(H71-H70)</f>
        <v/>
      </c>
      <c r="I205" s="21">
        <f>100*(I71-I70)</f>
        <v/>
      </c>
      <c r="J205" s="21">
        <f>100*(J71-J70)</f>
        <v/>
      </c>
      <c r="K205" s="21">
        <f>100*(K71-K70)</f>
        <v/>
      </c>
      <c r="L205" s="21">
        <f>100*(L71-L70)</f>
        <v/>
      </c>
      <c r="M205" s="21">
        <f>100*(M71-M70)</f>
        <v/>
      </c>
      <c r="N205" s="21">
        <f>100*(N71-N70)</f>
        <v/>
      </c>
      <c r="O205" s="21">
        <f>100*(O71-O70)</f>
        <v/>
      </c>
      <c r="P205" s="21">
        <f>100*(P71-P70)</f>
        <v/>
      </c>
      <c r="Q205" s="21">
        <f>100*(Q71-Q70)</f>
        <v/>
      </c>
      <c r="R205" s="21">
        <f>100*(R71-R70)</f>
        <v/>
      </c>
      <c r="S205" s="21">
        <f>100*(S71-S70)</f>
        <v/>
      </c>
      <c r="T205" s="21">
        <f>100*(T71-T70)</f>
        <v/>
      </c>
      <c r="U205" s="21">
        <f>100*(U71-U70)</f>
        <v/>
      </c>
      <c r="V205" s="21">
        <f>100*(V71-V70)</f>
        <v/>
      </c>
      <c r="W205" s="21">
        <f>100*(W71-W70)</f>
        <v/>
      </c>
      <c r="X205" s="21">
        <f>100*(X71-X70)</f>
        <v/>
      </c>
      <c r="Y205" s="21">
        <f>100*(Y71-Y70)</f>
        <v/>
      </c>
      <c r="Z205" s="21">
        <f>100*(Z71-Z70)</f>
        <v/>
      </c>
      <c r="AA205" s="21">
        <f>100*(AA71-AA70)</f>
        <v/>
      </c>
      <c r="AB205" s="21">
        <f>100*(AB71-AB70)</f>
        <v/>
      </c>
      <c r="AC205" s="21">
        <f>100*(AC71-AC70)</f>
        <v/>
      </c>
      <c r="AD205" s="21">
        <f>100*(AD71-AD70)</f>
        <v/>
      </c>
      <c r="AE205" s="21">
        <f>100*(AE71-AE70)</f>
        <v/>
      </c>
      <c r="AF205" s="21">
        <f>100*(AF71-AF70)</f>
        <v/>
      </c>
      <c r="AG205" s="21">
        <f>100*(AG71-AG70)</f>
        <v/>
      </c>
      <c r="AH205" s="21">
        <f>100*(AH71-AH70)</f>
        <v/>
      </c>
      <c r="AI205" s="21">
        <f>100*(AI71-AI70)</f>
        <v/>
      </c>
      <c r="AJ205" s="21">
        <f>100*(AJ71-AJ70)</f>
        <v/>
      </c>
      <c r="AK205" s="21">
        <f>100*(AK71-AK70)</f>
        <v/>
      </c>
      <c r="AL205" s="21">
        <f>AVERAGE(C205:AK205)</f>
        <v/>
      </c>
    </row>
    <row r="206">
      <c r="A206" s="19">
        <f>A72</f>
        <v/>
      </c>
      <c r="B206" s="20">
        <f>B72</f>
        <v/>
      </c>
      <c r="C206" s="21">
        <f>100*(C72-C71)</f>
        <v/>
      </c>
      <c r="D206" s="21">
        <f>100*(D72-D71)</f>
        <v/>
      </c>
      <c r="E206" s="21">
        <f>100*(E72-E71)</f>
        <v/>
      </c>
      <c r="F206" s="21">
        <f>100*(F72-F71)</f>
        <v/>
      </c>
      <c r="G206" s="21">
        <f>100*(G72-G71)</f>
        <v/>
      </c>
      <c r="H206" s="21">
        <f>100*(H72-H71)</f>
        <v/>
      </c>
      <c r="I206" s="21">
        <f>100*(I72-I71)</f>
        <v/>
      </c>
      <c r="J206" s="21">
        <f>100*(J72-J71)</f>
        <v/>
      </c>
      <c r="K206" s="21">
        <f>100*(K72-K71)</f>
        <v/>
      </c>
      <c r="L206" s="21">
        <f>100*(L72-L71)</f>
        <v/>
      </c>
      <c r="M206" s="21">
        <f>100*(M72-M71)</f>
        <v/>
      </c>
      <c r="N206" s="21">
        <f>100*(N72-N71)</f>
        <v/>
      </c>
      <c r="O206" s="21">
        <f>100*(O72-O71)</f>
        <v/>
      </c>
      <c r="P206" s="21">
        <f>100*(P72-P71)</f>
        <v/>
      </c>
      <c r="Q206" s="21">
        <f>100*(Q72-Q71)</f>
        <v/>
      </c>
      <c r="R206" s="21">
        <f>100*(R72-R71)</f>
        <v/>
      </c>
      <c r="S206" s="21">
        <f>100*(S72-S71)</f>
        <v/>
      </c>
      <c r="T206" s="21">
        <f>100*(T72-T71)</f>
        <v/>
      </c>
      <c r="U206" s="21">
        <f>100*(U72-U71)</f>
        <v/>
      </c>
      <c r="V206" s="21">
        <f>100*(V72-V71)</f>
        <v/>
      </c>
      <c r="W206" s="21">
        <f>100*(W72-W71)</f>
        <v/>
      </c>
      <c r="X206" s="21">
        <f>100*(X72-X71)</f>
        <v/>
      </c>
      <c r="Y206" s="21">
        <f>100*(Y72-Y71)</f>
        <v/>
      </c>
      <c r="Z206" s="21">
        <f>100*(Z72-Z71)</f>
        <v/>
      </c>
      <c r="AA206" s="21">
        <f>100*(AA72-AA71)</f>
        <v/>
      </c>
      <c r="AB206" s="21">
        <f>100*(AB72-AB71)</f>
        <v/>
      </c>
      <c r="AC206" s="21">
        <f>100*(AC72-AC71)</f>
        <v/>
      </c>
      <c r="AD206" s="21">
        <f>100*(AD72-AD71)</f>
        <v/>
      </c>
      <c r="AE206" s="21">
        <f>100*(AE72-AE71)</f>
        <v/>
      </c>
      <c r="AF206" s="21">
        <f>100*(AF72-AF71)</f>
        <v/>
      </c>
      <c r="AG206" s="21">
        <f>100*(AG72-AG71)</f>
        <v/>
      </c>
      <c r="AH206" s="21">
        <f>100*(AH72-AH71)</f>
        <v/>
      </c>
      <c r="AI206" s="21">
        <f>100*(AI72-AI71)</f>
        <v/>
      </c>
      <c r="AJ206" s="21">
        <f>100*(AJ72-AJ71)</f>
        <v/>
      </c>
      <c r="AK206" s="21">
        <f>100*(AK72-AK71)</f>
        <v/>
      </c>
      <c r="AL206" s="21">
        <f>AVERAGE(C206:AK206)</f>
        <v/>
      </c>
    </row>
    <row r="207">
      <c r="A207" s="19">
        <f>A73</f>
        <v/>
      </c>
      <c r="B207" s="20">
        <f>B73</f>
        <v/>
      </c>
      <c r="C207" s="21">
        <f>100*(C73-C72)</f>
        <v/>
      </c>
      <c r="D207" s="21">
        <f>100*(D73-D72)</f>
        <v/>
      </c>
      <c r="E207" s="21">
        <f>100*(E73-E72)</f>
        <v/>
      </c>
      <c r="F207" s="21">
        <f>100*(F73-F72)</f>
        <v/>
      </c>
      <c r="G207" s="21">
        <f>100*(G73-G72)</f>
        <v/>
      </c>
      <c r="H207" s="21">
        <f>100*(H73-H72)</f>
        <v/>
      </c>
      <c r="I207" s="21">
        <f>100*(I73-I72)</f>
        <v/>
      </c>
      <c r="J207" s="21">
        <f>100*(J73-J72)</f>
        <v/>
      </c>
      <c r="K207" s="21">
        <f>100*(K73-K72)</f>
        <v/>
      </c>
      <c r="L207" s="21">
        <f>100*(L73-L72)</f>
        <v/>
      </c>
      <c r="M207" s="21">
        <f>100*(M73-M72)</f>
        <v/>
      </c>
      <c r="N207" s="21">
        <f>100*(N73-N72)</f>
        <v/>
      </c>
      <c r="O207" s="21">
        <f>100*(O73-O72)</f>
        <v/>
      </c>
      <c r="P207" s="21">
        <f>100*(P73-P72)</f>
        <v/>
      </c>
      <c r="Q207" s="21">
        <f>100*(Q73-Q72)</f>
        <v/>
      </c>
      <c r="R207" s="21">
        <f>100*(R73-R72)</f>
        <v/>
      </c>
      <c r="S207" s="21">
        <f>100*(S73-S72)</f>
        <v/>
      </c>
      <c r="T207" s="21">
        <f>100*(T73-T72)</f>
        <v/>
      </c>
      <c r="U207" s="21">
        <f>100*(U73-U72)</f>
        <v/>
      </c>
      <c r="V207" s="21">
        <f>100*(V73-V72)</f>
        <v/>
      </c>
      <c r="W207" s="21">
        <f>100*(W73-W72)</f>
        <v/>
      </c>
      <c r="X207" s="21">
        <f>100*(X73-X72)</f>
        <v/>
      </c>
      <c r="Y207" s="21">
        <f>100*(Y73-Y72)</f>
        <v/>
      </c>
      <c r="Z207" s="21">
        <f>100*(Z73-Z72)</f>
        <v/>
      </c>
      <c r="AA207" s="21">
        <f>100*(AA73-AA72)</f>
        <v/>
      </c>
      <c r="AB207" s="21">
        <f>100*(AB73-AB72)</f>
        <v/>
      </c>
      <c r="AC207" s="21">
        <f>100*(AC73-AC72)</f>
        <v/>
      </c>
      <c r="AD207" s="21">
        <f>100*(AD73-AD72)</f>
        <v/>
      </c>
      <c r="AE207" s="21">
        <f>100*(AE73-AE72)</f>
        <v/>
      </c>
      <c r="AF207" s="21">
        <f>100*(AF73-AF72)</f>
        <v/>
      </c>
      <c r="AG207" s="21">
        <f>100*(AG73-AG72)</f>
        <v/>
      </c>
      <c r="AH207" s="21">
        <f>100*(AH73-AH72)</f>
        <v/>
      </c>
      <c r="AI207" s="21">
        <f>100*(AI73-AI72)</f>
        <v/>
      </c>
      <c r="AJ207" s="21">
        <f>100*(AJ73-AJ72)</f>
        <v/>
      </c>
      <c r="AK207" s="21">
        <f>100*(AK73-AK72)</f>
        <v/>
      </c>
      <c r="AL207" s="21">
        <f>AVERAGE(C207:AK207)</f>
        <v/>
      </c>
    </row>
    <row r="208">
      <c r="A208" s="19">
        <f>A74</f>
        <v/>
      </c>
      <c r="B208" s="20">
        <f>B74</f>
        <v/>
      </c>
      <c r="C208" s="21">
        <f>100*(C74-C73)</f>
        <v/>
      </c>
      <c r="D208" s="21">
        <f>100*(D74-D73)</f>
        <v/>
      </c>
      <c r="E208" s="21">
        <f>100*(E74-E73)</f>
        <v/>
      </c>
      <c r="F208" s="21">
        <f>100*(F74-F73)</f>
        <v/>
      </c>
      <c r="G208" s="21">
        <f>100*(G74-G73)</f>
        <v/>
      </c>
      <c r="H208" s="21">
        <f>100*(H74-H73)</f>
        <v/>
      </c>
      <c r="I208" s="21">
        <f>100*(I74-I73)</f>
        <v/>
      </c>
      <c r="J208" s="21">
        <f>100*(J74-J73)</f>
        <v/>
      </c>
      <c r="K208" s="21">
        <f>100*(K74-K73)</f>
        <v/>
      </c>
      <c r="L208" s="21">
        <f>100*(L74-L73)</f>
        <v/>
      </c>
      <c r="M208" s="21">
        <f>100*(M74-M73)</f>
        <v/>
      </c>
      <c r="N208" s="21">
        <f>100*(N74-N73)</f>
        <v/>
      </c>
      <c r="O208" s="21">
        <f>100*(O74-O73)</f>
        <v/>
      </c>
      <c r="P208" s="21">
        <f>100*(P74-P73)</f>
        <v/>
      </c>
      <c r="Q208" s="21">
        <f>100*(Q74-Q73)</f>
        <v/>
      </c>
      <c r="R208" s="21">
        <f>100*(R74-R73)</f>
        <v/>
      </c>
      <c r="S208" s="21">
        <f>100*(S74-S73)</f>
        <v/>
      </c>
      <c r="T208" s="21">
        <f>100*(T74-T73)</f>
        <v/>
      </c>
      <c r="U208" s="21">
        <f>100*(U74-U73)</f>
        <v/>
      </c>
      <c r="V208" s="21">
        <f>100*(V74-V73)</f>
        <v/>
      </c>
      <c r="W208" s="21">
        <f>100*(W74-W73)</f>
        <v/>
      </c>
      <c r="X208" s="21">
        <f>100*(X74-X73)</f>
        <v/>
      </c>
      <c r="Y208" s="21">
        <f>100*(Y74-Y73)</f>
        <v/>
      </c>
      <c r="Z208" s="21">
        <f>100*(Z74-Z73)</f>
        <v/>
      </c>
      <c r="AA208" s="21">
        <f>100*(AA74-AA73)</f>
        <v/>
      </c>
      <c r="AB208" s="21">
        <f>100*(AB74-AB73)</f>
        <v/>
      </c>
      <c r="AC208" s="21">
        <f>100*(AC74-AC73)</f>
        <v/>
      </c>
      <c r="AD208" s="21">
        <f>100*(AD74-AD73)</f>
        <v/>
      </c>
      <c r="AE208" s="21">
        <f>100*(AE74-AE73)</f>
        <v/>
      </c>
      <c r="AF208" s="21">
        <f>100*(AF74-AF73)</f>
        <v/>
      </c>
      <c r="AG208" s="21">
        <f>100*(AG74-AG73)</f>
        <v/>
      </c>
      <c r="AH208" s="21">
        <f>100*(AH74-AH73)</f>
        <v/>
      </c>
      <c r="AI208" s="21">
        <f>100*(AI74-AI73)</f>
        <v/>
      </c>
      <c r="AJ208" s="21">
        <f>100*(AJ74-AJ73)</f>
        <v/>
      </c>
      <c r="AK208" s="21">
        <f>100*(AK74-AK73)</f>
        <v/>
      </c>
      <c r="AL208" s="21">
        <f>AVERAGE(C208:AK208)</f>
        <v/>
      </c>
    </row>
    <row r="209">
      <c r="A209" s="19">
        <f>A75</f>
        <v/>
      </c>
      <c r="B209" s="20">
        <f>B75</f>
        <v/>
      </c>
      <c r="C209" s="21">
        <f>100*(C75-C74)</f>
        <v/>
      </c>
      <c r="D209" s="21">
        <f>100*(D75-D74)</f>
        <v/>
      </c>
      <c r="E209" s="21">
        <f>100*(E75-E74)</f>
        <v/>
      </c>
      <c r="F209" s="21">
        <f>100*(F75-F74)</f>
        <v/>
      </c>
      <c r="G209" s="21">
        <f>100*(G75-G74)</f>
        <v/>
      </c>
      <c r="H209" s="21">
        <f>100*(H75-H74)</f>
        <v/>
      </c>
      <c r="I209" s="21">
        <f>100*(I75-I74)</f>
        <v/>
      </c>
      <c r="J209" s="21">
        <f>100*(J75-J74)</f>
        <v/>
      </c>
      <c r="K209" s="21">
        <f>100*(K75-K74)</f>
        <v/>
      </c>
      <c r="L209" s="21">
        <f>100*(L75-L74)</f>
        <v/>
      </c>
      <c r="M209" s="21">
        <f>100*(M75-M74)</f>
        <v/>
      </c>
      <c r="N209" s="21">
        <f>100*(N75-N74)</f>
        <v/>
      </c>
      <c r="O209" s="21">
        <f>100*(O75-O74)</f>
        <v/>
      </c>
      <c r="P209" s="21">
        <f>100*(P75-P74)</f>
        <v/>
      </c>
      <c r="Q209" s="21">
        <f>100*(Q75-Q74)</f>
        <v/>
      </c>
      <c r="R209" s="21">
        <f>100*(R75-R74)</f>
        <v/>
      </c>
      <c r="S209" s="21">
        <f>100*(S75-S74)</f>
        <v/>
      </c>
      <c r="T209" s="21">
        <f>100*(T75-T74)</f>
        <v/>
      </c>
      <c r="U209" s="21">
        <f>100*(U75-U74)</f>
        <v/>
      </c>
      <c r="V209" s="21">
        <f>100*(V75-V74)</f>
        <v/>
      </c>
      <c r="W209" s="21">
        <f>100*(W75-W74)</f>
        <v/>
      </c>
      <c r="X209" s="21">
        <f>100*(X75-X74)</f>
        <v/>
      </c>
      <c r="Y209" s="21">
        <f>100*(Y75-Y74)</f>
        <v/>
      </c>
      <c r="Z209" s="21">
        <f>100*(Z75-Z74)</f>
        <v/>
      </c>
      <c r="AA209" s="21">
        <f>100*(AA75-AA74)</f>
        <v/>
      </c>
      <c r="AB209" s="21">
        <f>100*(AB75-AB74)</f>
        <v/>
      </c>
      <c r="AC209" s="21">
        <f>100*(AC75-AC74)</f>
        <v/>
      </c>
      <c r="AD209" s="21">
        <f>100*(AD75-AD74)</f>
        <v/>
      </c>
      <c r="AE209" s="21">
        <f>100*(AE75-AE74)</f>
        <v/>
      </c>
      <c r="AF209" s="21">
        <f>100*(AF75-AF74)</f>
        <v/>
      </c>
      <c r="AG209" s="21">
        <f>100*(AG75-AG74)</f>
        <v/>
      </c>
      <c r="AH209" s="21">
        <f>100*(AH75-AH74)</f>
        <v/>
      </c>
      <c r="AI209" s="21">
        <f>100*(AI75-AI74)</f>
        <v/>
      </c>
      <c r="AJ209" s="21">
        <f>100*(AJ75-AJ74)</f>
        <v/>
      </c>
      <c r="AK209" s="21">
        <f>100*(AK75-AK74)</f>
        <v/>
      </c>
      <c r="AL209" s="21">
        <f>AVERAGE(C209:AK209)</f>
        <v/>
      </c>
    </row>
    <row r="210">
      <c r="A210" s="19">
        <f>A76</f>
        <v/>
      </c>
      <c r="B210" s="20">
        <f>B76</f>
        <v/>
      </c>
      <c r="C210" s="21">
        <f>100*(C76-C75)</f>
        <v/>
      </c>
      <c r="D210" s="21">
        <f>100*(D76-D75)</f>
        <v/>
      </c>
      <c r="E210" s="21">
        <f>100*(E76-E75)</f>
        <v/>
      </c>
      <c r="F210" s="21">
        <f>100*(F76-F75)</f>
        <v/>
      </c>
      <c r="G210" s="21">
        <f>100*(G76-G75)</f>
        <v/>
      </c>
      <c r="H210" s="21">
        <f>100*(H76-H75)</f>
        <v/>
      </c>
      <c r="I210" s="21">
        <f>100*(I76-I75)</f>
        <v/>
      </c>
      <c r="J210" s="21">
        <f>100*(J76-J75)</f>
        <v/>
      </c>
      <c r="K210" s="21">
        <f>100*(K76-K75)</f>
        <v/>
      </c>
      <c r="L210" s="21">
        <f>100*(L76-L75)</f>
        <v/>
      </c>
      <c r="M210" s="21">
        <f>100*(M76-M75)</f>
        <v/>
      </c>
      <c r="N210" s="21">
        <f>100*(N76-N75)</f>
        <v/>
      </c>
      <c r="O210" s="21">
        <f>100*(O76-O75)</f>
        <v/>
      </c>
      <c r="P210" s="21">
        <f>100*(P76-P75)</f>
        <v/>
      </c>
      <c r="Q210" s="21">
        <f>100*(Q76-Q75)</f>
        <v/>
      </c>
      <c r="R210" s="21">
        <f>100*(R76-R75)</f>
        <v/>
      </c>
      <c r="S210" s="21">
        <f>100*(S76-S75)</f>
        <v/>
      </c>
      <c r="T210" s="21">
        <f>100*(T76-T75)</f>
        <v/>
      </c>
      <c r="U210" s="21">
        <f>100*(U76-U75)</f>
        <v/>
      </c>
      <c r="V210" s="21">
        <f>100*(V76-V75)</f>
        <v/>
      </c>
      <c r="W210" s="21">
        <f>100*(W76-W75)</f>
        <v/>
      </c>
      <c r="X210" s="21">
        <f>100*(X76-X75)</f>
        <v/>
      </c>
      <c r="Y210" s="21">
        <f>100*(Y76-Y75)</f>
        <v/>
      </c>
      <c r="Z210" s="21">
        <f>100*(Z76-Z75)</f>
        <v/>
      </c>
      <c r="AA210" s="21">
        <f>100*(AA76-AA75)</f>
        <v/>
      </c>
      <c r="AB210" s="21">
        <f>100*(AB76-AB75)</f>
        <v/>
      </c>
      <c r="AC210" s="21">
        <f>100*(AC76-AC75)</f>
        <v/>
      </c>
      <c r="AD210" s="21">
        <f>100*(AD76-AD75)</f>
        <v/>
      </c>
      <c r="AE210" s="21">
        <f>100*(AE76-AE75)</f>
        <v/>
      </c>
      <c r="AF210" s="21">
        <f>100*(AF76-AF75)</f>
        <v/>
      </c>
      <c r="AG210" s="21">
        <f>100*(AG76-AG75)</f>
        <v/>
      </c>
      <c r="AH210" s="21">
        <f>100*(AH76-AH75)</f>
        <v/>
      </c>
      <c r="AI210" s="21">
        <f>100*(AI76-AI75)</f>
        <v/>
      </c>
      <c r="AJ210" s="21">
        <f>100*(AJ76-AJ75)</f>
        <v/>
      </c>
      <c r="AK210" s="21">
        <f>100*(AK76-AK75)</f>
        <v/>
      </c>
      <c r="AL210" s="21">
        <f>AVERAGE(C210:AK210)</f>
        <v/>
      </c>
    </row>
    <row r="211">
      <c r="A211" s="19">
        <f>A77</f>
        <v/>
      </c>
      <c r="B211" s="20">
        <f>B77</f>
        <v/>
      </c>
      <c r="C211" s="21">
        <f>100*(C77-C76)</f>
        <v/>
      </c>
      <c r="D211" s="21">
        <f>100*(D77-D76)</f>
        <v/>
      </c>
      <c r="E211" s="21">
        <f>100*(E77-E76)</f>
        <v/>
      </c>
      <c r="F211" s="21">
        <f>100*(F77-F76)</f>
        <v/>
      </c>
      <c r="G211" s="21">
        <f>100*(G77-G76)</f>
        <v/>
      </c>
      <c r="H211" s="21">
        <f>100*(H77-H76)</f>
        <v/>
      </c>
      <c r="I211" s="21">
        <f>100*(I77-I76)</f>
        <v/>
      </c>
      <c r="J211" s="21">
        <f>100*(J77-J76)</f>
        <v/>
      </c>
      <c r="K211" s="21">
        <f>100*(K77-K76)</f>
        <v/>
      </c>
      <c r="L211" s="21">
        <f>100*(L77-L76)</f>
        <v/>
      </c>
      <c r="M211" s="21">
        <f>100*(M77-M76)</f>
        <v/>
      </c>
      <c r="N211" s="21">
        <f>100*(N77-N76)</f>
        <v/>
      </c>
      <c r="O211" s="21">
        <f>100*(O77-O76)</f>
        <v/>
      </c>
      <c r="P211" s="21">
        <f>100*(P77-P76)</f>
        <v/>
      </c>
      <c r="Q211" s="21">
        <f>100*(Q77-Q76)</f>
        <v/>
      </c>
      <c r="R211" s="21">
        <f>100*(R77-R76)</f>
        <v/>
      </c>
      <c r="S211" s="21">
        <f>100*(S77-S76)</f>
        <v/>
      </c>
      <c r="T211" s="21">
        <f>100*(T77-T76)</f>
        <v/>
      </c>
      <c r="U211" s="21">
        <f>100*(U77-U76)</f>
        <v/>
      </c>
      <c r="V211" s="21">
        <f>100*(V77-V76)</f>
        <v/>
      </c>
      <c r="W211" s="21">
        <f>100*(W77-W76)</f>
        <v/>
      </c>
      <c r="X211" s="21">
        <f>100*(X77-X76)</f>
        <v/>
      </c>
      <c r="Y211" s="21">
        <f>100*(Y77-Y76)</f>
        <v/>
      </c>
      <c r="Z211" s="21">
        <f>100*(Z77-Z76)</f>
        <v/>
      </c>
      <c r="AA211" s="21">
        <f>100*(AA77-AA76)</f>
        <v/>
      </c>
      <c r="AB211" s="21">
        <f>100*(AB77-AB76)</f>
        <v/>
      </c>
      <c r="AC211" s="21">
        <f>100*(AC77-AC76)</f>
        <v/>
      </c>
      <c r="AD211" s="21">
        <f>100*(AD77-AD76)</f>
        <v/>
      </c>
      <c r="AE211" s="21">
        <f>100*(AE77-AE76)</f>
        <v/>
      </c>
      <c r="AF211" s="21">
        <f>100*(AF77-AF76)</f>
        <v/>
      </c>
      <c r="AG211" s="21">
        <f>100*(AG77-AG76)</f>
        <v/>
      </c>
      <c r="AH211" s="21">
        <f>100*(AH77-AH76)</f>
        <v/>
      </c>
      <c r="AI211" s="21">
        <f>100*(AI77-AI76)</f>
        <v/>
      </c>
      <c r="AJ211" s="21">
        <f>100*(AJ77-AJ76)</f>
        <v/>
      </c>
      <c r="AK211" s="21">
        <f>100*(AK77-AK76)</f>
        <v/>
      </c>
      <c r="AL211" s="21">
        <f>AVERAGE(C211:AK211)</f>
        <v/>
      </c>
    </row>
    <row r="212">
      <c r="A212" s="19">
        <f>A78</f>
        <v/>
      </c>
      <c r="B212" s="20">
        <f>B78</f>
        <v/>
      </c>
      <c r="C212" s="21">
        <f>100*(C78-C77)</f>
        <v/>
      </c>
      <c r="D212" s="21">
        <f>100*(D78-D77)</f>
        <v/>
      </c>
      <c r="E212" s="21">
        <f>100*(E78-E77)</f>
        <v/>
      </c>
      <c r="F212" s="21">
        <f>100*(F78-F77)</f>
        <v/>
      </c>
      <c r="G212" s="21">
        <f>100*(G78-G77)</f>
        <v/>
      </c>
      <c r="H212" s="21">
        <f>100*(H78-H77)</f>
        <v/>
      </c>
      <c r="I212" s="21">
        <f>100*(I78-I77)</f>
        <v/>
      </c>
      <c r="J212" s="21">
        <f>100*(J78-J77)</f>
        <v/>
      </c>
      <c r="K212" s="21">
        <f>100*(K78-K77)</f>
        <v/>
      </c>
      <c r="L212" s="21">
        <f>100*(L78-L77)</f>
        <v/>
      </c>
      <c r="M212" s="21">
        <f>100*(M78-M77)</f>
        <v/>
      </c>
      <c r="N212" s="21">
        <f>100*(N78-N77)</f>
        <v/>
      </c>
      <c r="O212" s="21">
        <f>100*(O78-O77)</f>
        <v/>
      </c>
      <c r="P212" s="21">
        <f>100*(P78-P77)</f>
        <v/>
      </c>
      <c r="Q212" s="21">
        <f>100*(Q78-Q77)</f>
        <v/>
      </c>
      <c r="R212" s="21">
        <f>100*(R78-R77)</f>
        <v/>
      </c>
      <c r="S212" s="21">
        <f>100*(S78-S77)</f>
        <v/>
      </c>
      <c r="T212" s="21">
        <f>100*(T78-T77)</f>
        <v/>
      </c>
      <c r="U212" s="21">
        <f>100*(U78-U77)</f>
        <v/>
      </c>
      <c r="V212" s="21">
        <f>100*(V78-V77)</f>
        <v/>
      </c>
      <c r="W212" s="21">
        <f>100*(W78-W77)</f>
        <v/>
      </c>
      <c r="X212" s="21">
        <f>100*(X78-X77)</f>
        <v/>
      </c>
      <c r="Y212" s="21">
        <f>100*(Y78-Y77)</f>
        <v/>
      </c>
      <c r="Z212" s="21">
        <f>100*(Z78-Z77)</f>
        <v/>
      </c>
      <c r="AA212" s="21">
        <f>100*(AA78-AA77)</f>
        <v/>
      </c>
      <c r="AB212" s="21">
        <f>100*(AB78-AB77)</f>
        <v/>
      </c>
      <c r="AC212" s="21">
        <f>100*(AC78-AC77)</f>
        <v/>
      </c>
      <c r="AD212" s="21">
        <f>100*(AD78-AD77)</f>
        <v/>
      </c>
      <c r="AE212" s="21">
        <f>100*(AE78-AE77)</f>
        <v/>
      </c>
      <c r="AF212" s="21">
        <f>100*(AF78-AF77)</f>
        <v/>
      </c>
      <c r="AG212" s="21">
        <f>100*(AG78-AG77)</f>
        <v/>
      </c>
      <c r="AH212" s="21">
        <f>100*(AH78-AH77)</f>
        <v/>
      </c>
      <c r="AI212" s="21">
        <f>100*(AI78-AI77)</f>
        <v/>
      </c>
      <c r="AJ212" s="21">
        <f>100*(AJ78-AJ77)</f>
        <v/>
      </c>
      <c r="AK212" s="21">
        <f>100*(AK78-AK77)</f>
        <v/>
      </c>
      <c r="AL212" s="21">
        <f>AVERAGE(C212:AK212)</f>
        <v/>
      </c>
    </row>
    <row r="213">
      <c r="A213" s="19">
        <f>A79</f>
        <v/>
      </c>
      <c r="B213" s="20">
        <f>B79</f>
        <v/>
      </c>
      <c r="C213" s="21">
        <f>100*(C79-C78)</f>
        <v/>
      </c>
      <c r="D213" s="21">
        <f>100*(D79-D78)</f>
        <v/>
      </c>
      <c r="E213" s="21">
        <f>100*(E79-E78)</f>
        <v/>
      </c>
      <c r="F213" s="21">
        <f>100*(F79-F78)</f>
        <v/>
      </c>
      <c r="G213" s="21">
        <f>100*(G79-G78)</f>
        <v/>
      </c>
      <c r="H213" s="21">
        <f>100*(H79-H78)</f>
        <v/>
      </c>
      <c r="I213" s="21">
        <f>100*(I79-I78)</f>
        <v/>
      </c>
      <c r="J213" s="21">
        <f>100*(J79-J78)</f>
        <v/>
      </c>
      <c r="K213" s="21">
        <f>100*(K79-K78)</f>
        <v/>
      </c>
      <c r="L213" s="21">
        <f>100*(L79-L78)</f>
        <v/>
      </c>
      <c r="M213" s="21">
        <f>100*(M79-M78)</f>
        <v/>
      </c>
      <c r="N213" s="21">
        <f>100*(N79-N78)</f>
        <v/>
      </c>
      <c r="O213" s="21">
        <f>100*(O79-O78)</f>
        <v/>
      </c>
      <c r="P213" s="21">
        <f>100*(P79-P78)</f>
        <v/>
      </c>
      <c r="Q213" s="21">
        <f>100*(Q79-Q78)</f>
        <v/>
      </c>
      <c r="R213" s="21">
        <f>100*(R79-R78)</f>
        <v/>
      </c>
      <c r="S213" s="21">
        <f>100*(S79-S78)</f>
        <v/>
      </c>
      <c r="T213" s="21">
        <f>100*(T79-T78)</f>
        <v/>
      </c>
      <c r="U213" s="21">
        <f>100*(U79-U78)</f>
        <v/>
      </c>
      <c r="V213" s="21">
        <f>100*(V79-V78)</f>
        <v/>
      </c>
      <c r="W213" s="21">
        <f>100*(W79-W78)</f>
        <v/>
      </c>
      <c r="X213" s="21">
        <f>100*(X79-X78)</f>
        <v/>
      </c>
      <c r="Y213" s="21">
        <f>100*(Y79-Y78)</f>
        <v/>
      </c>
      <c r="Z213" s="21">
        <f>100*(Z79-Z78)</f>
        <v/>
      </c>
      <c r="AA213" s="21">
        <f>100*(AA79-AA78)</f>
        <v/>
      </c>
      <c r="AB213" s="21">
        <f>100*(AB79-AB78)</f>
        <v/>
      </c>
      <c r="AC213" s="21">
        <f>100*(AC79-AC78)</f>
        <v/>
      </c>
      <c r="AD213" s="21">
        <f>100*(AD79-AD78)</f>
        <v/>
      </c>
      <c r="AE213" s="21">
        <f>100*(AE79-AE78)</f>
        <v/>
      </c>
      <c r="AF213" s="21">
        <f>100*(AF79-AF78)</f>
        <v/>
      </c>
      <c r="AG213" s="21">
        <f>100*(AG79-AG78)</f>
        <v/>
      </c>
      <c r="AH213" s="21">
        <f>100*(AH79-AH78)</f>
        <v/>
      </c>
      <c r="AI213" s="21">
        <f>100*(AI79-AI78)</f>
        <v/>
      </c>
      <c r="AJ213" s="21">
        <f>100*(AJ79-AJ78)</f>
        <v/>
      </c>
      <c r="AK213" s="21">
        <f>100*(AK79-AK78)</f>
        <v/>
      </c>
      <c r="AL213" s="21">
        <f>AVERAGE(C213:AK213)</f>
        <v/>
      </c>
    </row>
    <row r="214">
      <c r="A214" s="19">
        <f>A80</f>
        <v/>
      </c>
      <c r="B214" s="20">
        <f>B80</f>
        <v/>
      </c>
      <c r="C214" s="21">
        <f>100*(C80-C79)</f>
        <v/>
      </c>
      <c r="D214" s="21">
        <f>100*(D80-D79)</f>
        <v/>
      </c>
      <c r="E214" s="21">
        <f>100*(E80-E79)</f>
        <v/>
      </c>
      <c r="F214" s="21">
        <f>100*(F80-F79)</f>
        <v/>
      </c>
      <c r="G214" s="21">
        <f>100*(G80-G79)</f>
        <v/>
      </c>
      <c r="H214" s="21">
        <f>100*(H80-H79)</f>
        <v/>
      </c>
      <c r="I214" s="21">
        <f>100*(I80-I79)</f>
        <v/>
      </c>
      <c r="J214" s="21">
        <f>100*(J80-J79)</f>
        <v/>
      </c>
      <c r="K214" s="21">
        <f>100*(K80-K79)</f>
        <v/>
      </c>
      <c r="L214" s="21">
        <f>100*(L80-L79)</f>
        <v/>
      </c>
      <c r="M214" s="21">
        <f>100*(M80-M79)</f>
        <v/>
      </c>
      <c r="N214" s="21">
        <f>100*(N80-N79)</f>
        <v/>
      </c>
      <c r="O214" s="21">
        <f>100*(O80-O79)</f>
        <v/>
      </c>
      <c r="P214" s="21">
        <f>100*(P80-P79)</f>
        <v/>
      </c>
      <c r="Q214" s="21">
        <f>100*(Q80-Q79)</f>
        <v/>
      </c>
      <c r="R214" s="21">
        <f>100*(R80-R79)</f>
        <v/>
      </c>
      <c r="S214" s="21">
        <f>100*(S80-S79)</f>
        <v/>
      </c>
      <c r="T214" s="21">
        <f>100*(T80-T79)</f>
        <v/>
      </c>
      <c r="U214" s="21">
        <f>100*(U80-U79)</f>
        <v/>
      </c>
      <c r="V214" s="21">
        <f>100*(V80-V79)</f>
        <v/>
      </c>
      <c r="W214" s="21">
        <f>100*(W80-W79)</f>
        <v/>
      </c>
      <c r="X214" s="21">
        <f>100*(X80-X79)</f>
        <v/>
      </c>
      <c r="Y214" s="21">
        <f>100*(Y80-Y79)</f>
        <v/>
      </c>
      <c r="Z214" s="21">
        <f>100*(Z80-Z79)</f>
        <v/>
      </c>
      <c r="AA214" s="21">
        <f>100*(AA80-AA79)</f>
        <v/>
      </c>
      <c r="AB214" s="21">
        <f>100*(AB80-AB79)</f>
        <v/>
      </c>
      <c r="AC214" s="21">
        <f>100*(AC80-AC79)</f>
        <v/>
      </c>
      <c r="AD214" s="21">
        <f>100*(AD80-AD79)</f>
        <v/>
      </c>
      <c r="AE214" s="21">
        <f>100*(AE80-AE79)</f>
        <v/>
      </c>
      <c r="AF214" s="21">
        <f>100*(AF80-AF79)</f>
        <v/>
      </c>
      <c r="AG214" s="21">
        <f>100*(AG80-AG79)</f>
        <v/>
      </c>
      <c r="AH214" s="21">
        <f>100*(AH80-AH79)</f>
        <v/>
      </c>
      <c r="AI214" s="21">
        <f>100*(AI80-AI79)</f>
        <v/>
      </c>
      <c r="AJ214" s="21">
        <f>100*(AJ80-AJ79)</f>
        <v/>
      </c>
      <c r="AK214" s="21">
        <f>100*(AK80-AK79)</f>
        <v/>
      </c>
      <c r="AL214" s="21">
        <f>AVERAGE(C214:AK214)</f>
        <v/>
      </c>
    </row>
    <row r="215">
      <c r="A215" s="19">
        <f>A81</f>
        <v/>
      </c>
      <c r="B215" s="20">
        <f>B81</f>
        <v/>
      </c>
      <c r="C215" s="21">
        <f>100*(C81-C80)</f>
        <v/>
      </c>
      <c r="D215" s="21">
        <f>100*(D81-D80)</f>
        <v/>
      </c>
      <c r="E215" s="21">
        <f>100*(E81-E80)</f>
        <v/>
      </c>
      <c r="F215" s="21">
        <f>100*(F81-F80)</f>
        <v/>
      </c>
      <c r="G215" s="21">
        <f>100*(G81-G80)</f>
        <v/>
      </c>
      <c r="H215" s="21">
        <f>100*(H81-H80)</f>
        <v/>
      </c>
      <c r="I215" s="21">
        <f>100*(I81-I80)</f>
        <v/>
      </c>
      <c r="J215" s="21">
        <f>100*(J81-J80)</f>
        <v/>
      </c>
      <c r="K215" s="21">
        <f>100*(K81-K80)</f>
        <v/>
      </c>
      <c r="L215" s="21">
        <f>100*(L81-L80)</f>
        <v/>
      </c>
      <c r="M215" s="21">
        <f>100*(M81-M80)</f>
        <v/>
      </c>
      <c r="N215" s="21">
        <f>100*(N81-N80)</f>
        <v/>
      </c>
      <c r="O215" s="21">
        <f>100*(O81-O80)</f>
        <v/>
      </c>
      <c r="P215" s="21">
        <f>100*(P81-P80)</f>
        <v/>
      </c>
      <c r="Q215" s="21">
        <f>100*(Q81-Q80)</f>
        <v/>
      </c>
      <c r="R215" s="21">
        <f>100*(R81-R80)</f>
        <v/>
      </c>
      <c r="S215" s="21">
        <f>100*(S81-S80)</f>
        <v/>
      </c>
      <c r="T215" s="21">
        <f>100*(T81-T80)</f>
        <v/>
      </c>
      <c r="U215" s="21">
        <f>100*(U81-U80)</f>
        <v/>
      </c>
      <c r="V215" s="21">
        <f>100*(V81-V80)</f>
        <v/>
      </c>
      <c r="W215" s="21">
        <f>100*(W81-W80)</f>
        <v/>
      </c>
      <c r="X215" s="21">
        <f>100*(X81-X80)</f>
        <v/>
      </c>
      <c r="Y215" s="21">
        <f>100*(Y81-Y80)</f>
        <v/>
      </c>
      <c r="Z215" s="21">
        <f>100*(Z81-Z80)</f>
        <v/>
      </c>
      <c r="AA215" s="21">
        <f>100*(AA81-AA80)</f>
        <v/>
      </c>
      <c r="AB215" s="21">
        <f>100*(AB81-AB80)</f>
        <v/>
      </c>
      <c r="AC215" s="21">
        <f>100*(AC81-AC80)</f>
        <v/>
      </c>
      <c r="AD215" s="21">
        <f>100*(AD81-AD80)</f>
        <v/>
      </c>
      <c r="AE215" s="21">
        <f>100*(AE81-AE80)</f>
        <v/>
      </c>
      <c r="AF215" s="21">
        <f>100*(AF81-AF80)</f>
        <v/>
      </c>
      <c r="AG215" s="21">
        <f>100*(AG81-AG80)</f>
        <v/>
      </c>
      <c r="AH215" s="21">
        <f>100*(AH81-AH80)</f>
        <v/>
      </c>
      <c r="AI215" s="21">
        <f>100*(AI81-AI80)</f>
        <v/>
      </c>
      <c r="AJ215" s="21">
        <f>100*(AJ81-AJ80)</f>
        <v/>
      </c>
      <c r="AK215" s="21">
        <f>100*(AK81-AK80)</f>
        <v/>
      </c>
      <c r="AL215" s="21">
        <f>AVERAGE(C215:AK215)</f>
        <v/>
      </c>
    </row>
    <row r="216">
      <c r="A216" s="19">
        <f>A82</f>
        <v/>
      </c>
      <c r="B216" s="20">
        <f>B82</f>
        <v/>
      </c>
      <c r="C216" s="21">
        <f>100*(C82-C81)</f>
        <v/>
      </c>
      <c r="D216" s="21">
        <f>100*(D82-D81)</f>
        <v/>
      </c>
      <c r="E216" s="21">
        <f>100*(E82-E81)</f>
        <v/>
      </c>
      <c r="F216" s="21">
        <f>100*(F82-F81)</f>
        <v/>
      </c>
      <c r="G216" s="21">
        <f>100*(G82-G81)</f>
        <v/>
      </c>
      <c r="H216" s="21">
        <f>100*(H82-H81)</f>
        <v/>
      </c>
      <c r="I216" s="21">
        <f>100*(I82-I81)</f>
        <v/>
      </c>
      <c r="J216" s="21">
        <f>100*(J82-J81)</f>
        <v/>
      </c>
      <c r="K216" s="21">
        <f>100*(K82-K81)</f>
        <v/>
      </c>
      <c r="L216" s="21">
        <f>100*(L82-L81)</f>
        <v/>
      </c>
      <c r="M216" s="21">
        <f>100*(M82-M81)</f>
        <v/>
      </c>
      <c r="N216" s="21">
        <f>100*(N82-N81)</f>
        <v/>
      </c>
      <c r="O216" s="21">
        <f>100*(O82-O81)</f>
        <v/>
      </c>
      <c r="P216" s="21">
        <f>100*(P82-P81)</f>
        <v/>
      </c>
      <c r="Q216" s="21">
        <f>100*(Q82-Q81)</f>
        <v/>
      </c>
      <c r="R216" s="21">
        <f>100*(R82-R81)</f>
        <v/>
      </c>
      <c r="S216" s="21">
        <f>100*(S82-S81)</f>
        <v/>
      </c>
      <c r="T216" s="21">
        <f>100*(T82-T81)</f>
        <v/>
      </c>
      <c r="U216" s="21">
        <f>100*(U82-U81)</f>
        <v/>
      </c>
      <c r="V216" s="21">
        <f>100*(V82-V81)</f>
        <v/>
      </c>
      <c r="W216" s="21">
        <f>100*(W82-W81)</f>
        <v/>
      </c>
      <c r="X216" s="21">
        <f>100*(X82-X81)</f>
        <v/>
      </c>
      <c r="Y216" s="21">
        <f>100*(Y82-Y81)</f>
        <v/>
      </c>
      <c r="Z216" s="21">
        <f>100*(Z82-Z81)</f>
        <v/>
      </c>
      <c r="AA216" s="21">
        <f>100*(AA82-AA81)</f>
        <v/>
      </c>
      <c r="AB216" s="21">
        <f>100*(AB82-AB81)</f>
        <v/>
      </c>
      <c r="AC216" s="21">
        <f>100*(AC82-AC81)</f>
        <v/>
      </c>
      <c r="AD216" s="21">
        <f>100*(AD82-AD81)</f>
        <v/>
      </c>
      <c r="AE216" s="21">
        <f>100*(AE82-AE81)</f>
        <v/>
      </c>
      <c r="AF216" s="21">
        <f>100*(AF82-AF81)</f>
        <v/>
      </c>
      <c r="AG216" s="21">
        <f>100*(AG82-AG81)</f>
        <v/>
      </c>
      <c r="AH216" s="21">
        <f>100*(AH82-AH81)</f>
        <v/>
      </c>
      <c r="AI216" s="21">
        <f>100*(AI82-AI81)</f>
        <v/>
      </c>
      <c r="AJ216" s="21">
        <f>100*(AJ82-AJ81)</f>
        <v/>
      </c>
      <c r="AK216" s="21">
        <f>100*(AK82-AK81)</f>
        <v/>
      </c>
      <c r="AL216" s="21">
        <f>AVERAGE(C216:AK216)</f>
        <v/>
      </c>
    </row>
    <row r="217">
      <c r="A217" s="19">
        <f>A83</f>
        <v/>
      </c>
      <c r="B217" s="20">
        <f>B83</f>
        <v/>
      </c>
      <c r="C217" s="21">
        <f>100*(C83-C82)</f>
        <v/>
      </c>
      <c r="D217" s="21">
        <f>100*(D83-D82)</f>
        <v/>
      </c>
      <c r="E217" s="21">
        <f>100*(E83-E82)</f>
        <v/>
      </c>
      <c r="F217" s="21">
        <f>100*(F83-F82)</f>
        <v/>
      </c>
      <c r="G217" s="21">
        <f>100*(G83-G82)</f>
        <v/>
      </c>
      <c r="H217" s="21">
        <f>100*(H83-H82)</f>
        <v/>
      </c>
      <c r="I217" s="21">
        <f>100*(I83-I82)</f>
        <v/>
      </c>
      <c r="J217" s="21">
        <f>100*(J83-J82)</f>
        <v/>
      </c>
      <c r="K217" s="21">
        <f>100*(K83-K82)</f>
        <v/>
      </c>
      <c r="L217" s="21">
        <f>100*(L83-L82)</f>
        <v/>
      </c>
      <c r="M217" s="21">
        <f>100*(M83-M82)</f>
        <v/>
      </c>
      <c r="N217" s="21">
        <f>100*(N83-N82)</f>
        <v/>
      </c>
      <c r="O217" s="21">
        <f>100*(O83-O82)</f>
        <v/>
      </c>
      <c r="P217" s="21">
        <f>100*(P83-P82)</f>
        <v/>
      </c>
      <c r="Q217" s="21">
        <f>100*(Q83-Q82)</f>
        <v/>
      </c>
      <c r="R217" s="21">
        <f>100*(R83-R82)</f>
        <v/>
      </c>
      <c r="S217" s="21">
        <f>100*(S83-S82)</f>
        <v/>
      </c>
      <c r="T217" s="21">
        <f>100*(T83-T82)</f>
        <v/>
      </c>
      <c r="U217" s="21">
        <f>100*(U83-U82)</f>
        <v/>
      </c>
      <c r="V217" s="21">
        <f>100*(V83-V82)</f>
        <v/>
      </c>
      <c r="W217" s="21">
        <f>100*(W83-W82)</f>
        <v/>
      </c>
      <c r="X217" s="21">
        <f>100*(X83-X82)</f>
        <v/>
      </c>
      <c r="Y217" s="21">
        <f>100*(Y83-Y82)</f>
        <v/>
      </c>
      <c r="Z217" s="21">
        <f>100*(Z83-Z82)</f>
        <v/>
      </c>
      <c r="AA217" s="21">
        <f>100*(AA83-AA82)</f>
        <v/>
      </c>
      <c r="AB217" s="21">
        <f>100*(AB83-AB82)</f>
        <v/>
      </c>
      <c r="AC217" s="21">
        <f>100*(AC83-AC82)</f>
        <v/>
      </c>
      <c r="AD217" s="21">
        <f>100*(AD83-AD82)</f>
        <v/>
      </c>
      <c r="AE217" s="21">
        <f>100*(AE83-AE82)</f>
        <v/>
      </c>
      <c r="AF217" s="21">
        <f>100*(AF83-AF82)</f>
        <v/>
      </c>
      <c r="AG217" s="21">
        <f>100*(AG83-AG82)</f>
        <v/>
      </c>
      <c r="AH217" s="21">
        <f>100*(AH83-AH82)</f>
        <v/>
      </c>
      <c r="AI217" s="21">
        <f>100*(AI83-AI82)</f>
        <v/>
      </c>
      <c r="AJ217" s="21">
        <f>100*(AJ83-AJ82)</f>
        <v/>
      </c>
      <c r="AK217" s="21">
        <f>100*(AK83-AK82)</f>
        <v/>
      </c>
      <c r="AL217" s="21">
        <f>AVERAGE(C217:AK217)</f>
        <v/>
      </c>
    </row>
    <row r="218">
      <c r="A218" s="19">
        <f>A84</f>
        <v/>
      </c>
      <c r="B218" s="20">
        <f>B84</f>
        <v/>
      </c>
      <c r="C218" s="21">
        <f>100*(C84-C83)</f>
        <v/>
      </c>
      <c r="D218" s="21">
        <f>100*(D84-D83)</f>
        <v/>
      </c>
      <c r="E218" s="21">
        <f>100*(E84-E83)</f>
        <v/>
      </c>
      <c r="F218" s="21">
        <f>100*(F84-F83)</f>
        <v/>
      </c>
      <c r="G218" s="21">
        <f>100*(G84-G83)</f>
        <v/>
      </c>
      <c r="H218" s="21">
        <f>100*(H84-H83)</f>
        <v/>
      </c>
      <c r="I218" s="21">
        <f>100*(I84-I83)</f>
        <v/>
      </c>
      <c r="J218" s="21">
        <f>100*(J84-J83)</f>
        <v/>
      </c>
      <c r="K218" s="21">
        <f>100*(K84-K83)</f>
        <v/>
      </c>
      <c r="L218" s="21">
        <f>100*(L84-L83)</f>
        <v/>
      </c>
      <c r="M218" s="21">
        <f>100*(M84-M83)</f>
        <v/>
      </c>
      <c r="N218" s="21">
        <f>100*(N84-N83)</f>
        <v/>
      </c>
      <c r="O218" s="21">
        <f>100*(O84-O83)</f>
        <v/>
      </c>
      <c r="P218" s="21">
        <f>100*(P84-P83)</f>
        <v/>
      </c>
      <c r="Q218" s="21">
        <f>100*(Q84-Q83)</f>
        <v/>
      </c>
      <c r="R218" s="21">
        <f>100*(R84-R83)</f>
        <v/>
      </c>
      <c r="S218" s="21">
        <f>100*(S84-S83)</f>
        <v/>
      </c>
      <c r="T218" s="21">
        <f>100*(T84-T83)</f>
        <v/>
      </c>
      <c r="U218" s="21">
        <f>100*(U84-U83)</f>
        <v/>
      </c>
      <c r="V218" s="21">
        <f>100*(V84-V83)</f>
        <v/>
      </c>
      <c r="W218" s="21">
        <f>100*(W84-W83)</f>
        <v/>
      </c>
      <c r="X218" s="21">
        <f>100*(X84-X83)</f>
        <v/>
      </c>
      <c r="Y218" s="21">
        <f>100*(Y84-Y83)</f>
        <v/>
      </c>
      <c r="Z218" s="21">
        <f>100*(Z84-Z83)</f>
        <v/>
      </c>
      <c r="AA218" s="21">
        <f>100*(AA84-AA83)</f>
        <v/>
      </c>
      <c r="AB218" s="21">
        <f>100*(AB84-AB83)</f>
        <v/>
      </c>
      <c r="AC218" s="21">
        <f>100*(AC84-AC83)</f>
        <v/>
      </c>
      <c r="AD218" s="21">
        <f>100*(AD84-AD83)</f>
        <v/>
      </c>
      <c r="AE218" s="21">
        <f>100*(AE84-AE83)</f>
        <v/>
      </c>
      <c r="AF218" s="21">
        <f>100*(AF84-AF83)</f>
        <v/>
      </c>
      <c r="AG218" s="21">
        <f>100*(AG84-AG83)</f>
        <v/>
      </c>
      <c r="AH218" s="21">
        <f>100*(AH84-AH83)</f>
        <v/>
      </c>
      <c r="AI218" s="21">
        <f>100*(AI84-AI83)</f>
        <v/>
      </c>
      <c r="AJ218" s="21">
        <f>100*(AJ84-AJ83)</f>
        <v/>
      </c>
      <c r="AK218" s="21">
        <f>100*(AK84-AK83)</f>
        <v/>
      </c>
      <c r="AL218" s="21">
        <f>AVERAGE(C218:AK218)</f>
        <v/>
      </c>
    </row>
    <row r="219">
      <c r="A219" s="19">
        <f>A85</f>
        <v/>
      </c>
      <c r="B219" s="20">
        <f>B85</f>
        <v/>
      </c>
      <c r="C219" s="21">
        <f>100*(C85-C84)</f>
        <v/>
      </c>
      <c r="D219" s="21">
        <f>100*(D85-D84)</f>
        <v/>
      </c>
      <c r="E219" s="21">
        <f>100*(E85-E84)</f>
        <v/>
      </c>
      <c r="F219" s="21">
        <f>100*(F85-F84)</f>
        <v/>
      </c>
      <c r="G219" s="21">
        <f>100*(G85-G84)</f>
        <v/>
      </c>
      <c r="H219" s="21">
        <f>100*(H85-H84)</f>
        <v/>
      </c>
      <c r="I219" s="21">
        <f>100*(I85-I84)</f>
        <v/>
      </c>
      <c r="J219" s="21">
        <f>100*(J85-J84)</f>
        <v/>
      </c>
      <c r="K219" s="21">
        <f>100*(K85-K84)</f>
        <v/>
      </c>
      <c r="L219" s="21">
        <f>100*(L85-L84)</f>
        <v/>
      </c>
      <c r="M219" s="21">
        <f>100*(M85-M84)</f>
        <v/>
      </c>
      <c r="N219" s="21">
        <f>100*(N85-N84)</f>
        <v/>
      </c>
      <c r="O219" s="21">
        <f>100*(O85-O84)</f>
        <v/>
      </c>
      <c r="P219" s="21">
        <f>100*(P85-P84)</f>
        <v/>
      </c>
      <c r="Q219" s="21">
        <f>100*(Q85-Q84)</f>
        <v/>
      </c>
      <c r="R219" s="21">
        <f>100*(R85-R84)</f>
        <v/>
      </c>
      <c r="S219" s="21">
        <f>100*(S85-S84)</f>
        <v/>
      </c>
      <c r="T219" s="21">
        <f>100*(T85-T84)</f>
        <v/>
      </c>
      <c r="U219" s="21">
        <f>100*(U85-U84)</f>
        <v/>
      </c>
      <c r="V219" s="21">
        <f>100*(V85-V84)</f>
        <v/>
      </c>
      <c r="W219" s="21">
        <f>100*(W85-W84)</f>
        <v/>
      </c>
      <c r="X219" s="21">
        <f>100*(X85-X84)</f>
        <v/>
      </c>
      <c r="Y219" s="21">
        <f>100*(Y85-Y84)</f>
        <v/>
      </c>
      <c r="Z219" s="21">
        <f>100*(Z85-Z84)</f>
        <v/>
      </c>
      <c r="AA219" s="21">
        <f>100*(AA85-AA84)</f>
        <v/>
      </c>
      <c r="AB219" s="21">
        <f>100*(AB85-AB84)</f>
        <v/>
      </c>
      <c r="AC219" s="21">
        <f>100*(AC85-AC84)</f>
        <v/>
      </c>
      <c r="AD219" s="21">
        <f>100*(AD85-AD84)</f>
        <v/>
      </c>
      <c r="AE219" s="21">
        <f>100*(AE85-AE84)</f>
        <v/>
      </c>
      <c r="AF219" s="21">
        <f>100*(AF85-AF84)</f>
        <v/>
      </c>
      <c r="AG219" s="21">
        <f>100*(AG85-AG84)</f>
        <v/>
      </c>
      <c r="AH219" s="21">
        <f>100*(AH85-AH84)</f>
        <v/>
      </c>
      <c r="AI219" s="21">
        <f>100*(AI85-AI84)</f>
        <v/>
      </c>
      <c r="AJ219" s="21">
        <f>100*(AJ85-AJ84)</f>
        <v/>
      </c>
      <c r="AK219" s="21">
        <f>100*(AK85-AK84)</f>
        <v/>
      </c>
      <c r="AL219" s="21">
        <f>AVERAGE(C219:AK219)</f>
        <v/>
      </c>
    </row>
    <row r="220">
      <c r="A220" s="19">
        <f>A86</f>
        <v/>
      </c>
      <c r="B220" s="20">
        <f>B86</f>
        <v/>
      </c>
      <c r="C220" s="21">
        <f>100*(C86-C85)</f>
        <v/>
      </c>
      <c r="D220" s="21">
        <f>100*(D86-D85)</f>
        <v/>
      </c>
      <c r="E220" s="21">
        <f>100*(E86-E85)</f>
        <v/>
      </c>
      <c r="F220" s="21">
        <f>100*(F86-F85)</f>
        <v/>
      </c>
      <c r="G220" s="21">
        <f>100*(G86-G85)</f>
        <v/>
      </c>
      <c r="H220" s="21">
        <f>100*(H86-H85)</f>
        <v/>
      </c>
      <c r="I220" s="21">
        <f>100*(I86-I85)</f>
        <v/>
      </c>
      <c r="J220" s="21">
        <f>100*(J86-J85)</f>
        <v/>
      </c>
      <c r="K220" s="21">
        <f>100*(K86-K85)</f>
        <v/>
      </c>
      <c r="L220" s="21">
        <f>100*(L86-L85)</f>
        <v/>
      </c>
      <c r="M220" s="21">
        <f>100*(M86-M85)</f>
        <v/>
      </c>
      <c r="N220" s="21">
        <f>100*(N86-N85)</f>
        <v/>
      </c>
      <c r="O220" s="21">
        <f>100*(O86-O85)</f>
        <v/>
      </c>
      <c r="P220" s="21">
        <f>100*(P86-P85)</f>
        <v/>
      </c>
      <c r="Q220" s="21">
        <f>100*(Q86-Q85)</f>
        <v/>
      </c>
      <c r="R220" s="21">
        <f>100*(R86-R85)</f>
        <v/>
      </c>
      <c r="S220" s="21">
        <f>100*(S86-S85)</f>
        <v/>
      </c>
      <c r="T220" s="21">
        <f>100*(T86-T85)</f>
        <v/>
      </c>
      <c r="U220" s="21">
        <f>100*(U86-U85)</f>
        <v/>
      </c>
      <c r="V220" s="21">
        <f>100*(V86-V85)</f>
        <v/>
      </c>
      <c r="W220" s="21">
        <f>100*(W86-W85)</f>
        <v/>
      </c>
      <c r="X220" s="21">
        <f>100*(X86-X85)</f>
        <v/>
      </c>
      <c r="Y220" s="21">
        <f>100*(Y86-Y85)</f>
        <v/>
      </c>
      <c r="Z220" s="21">
        <f>100*(Z86-Z85)</f>
        <v/>
      </c>
      <c r="AA220" s="21">
        <f>100*(AA86-AA85)</f>
        <v/>
      </c>
      <c r="AB220" s="21">
        <f>100*(AB86-AB85)</f>
        <v/>
      </c>
      <c r="AC220" s="21">
        <f>100*(AC86-AC85)</f>
        <v/>
      </c>
      <c r="AD220" s="21">
        <f>100*(AD86-AD85)</f>
        <v/>
      </c>
      <c r="AE220" s="21">
        <f>100*(AE86-AE85)</f>
        <v/>
      </c>
      <c r="AF220" s="21">
        <f>100*(AF86-AF85)</f>
        <v/>
      </c>
      <c r="AG220" s="21">
        <f>100*(AG86-AG85)</f>
        <v/>
      </c>
      <c r="AH220" s="21">
        <f>100*(AH86-AH85)</f>
        <v/>
      </c>
      <c r="AI220" s="21">
        <f>100*(AI86-AI85)</f>
        <v/>
      </c>
      <c r="AJ220" s="21">
        <f>100*(AJ86-AJ85)</f>
        <v/>
      </c>
      <c r="AK220" s="21">
        <f>100*(AK86-AK85)</f>
        <v/>
      </c>
      <c r="AL220" s="21">
        <f>AVERAGE(C220:AK220)</f>
        <v/>
      </c>
    </row>
    <row r="221">
      <c r="A221" s="19">
        <f>A87</f>
        <v/>
      </c>
      <c r="B221" s="20">
        <f>B87</f>
        <v/>
      </c>
      <c r="C221" s="21">
        <f>100*(C87-C86)</f>
        <v/>
      </c>
      <c r="D221" s="21">
        <f>100*(D87-D86)</f>
        <v/>
      </c>
      <c r="E221" s="21">
        <f>100*(E87-E86)</f>
        <v/>
      </c>
      <c r="F221" s="21">
        <f>100*(F87-F86)</f>
        <v/>
      </c>
      <c r="G221" s="21">
        <f>100*(G87-G86)</f>
        <v/>
      </c>
      <c r="H221" s="21">
        <f>100*(H87-H86)</f>
        <v/>
      </c>
      <c r="I221" s="21">
        <f>100*(I87-I86)</f>
        <v/>
      </c>
      <c r="J221" s="21">
        <f>100*(J87-J86)</f>
        <v/>
      </c>
      <c r="K221" s="21">
        <f>100*(K87-K86)</f>
        <v/>
      </c>
      <c r="L221" s="21">
        <f>100*(L87-L86)</f>
        <v/>
      </c>
      <c r="M221" s="21">
        <f>100*(M87-M86)</f>
        <v/>
      </c>
      <c r="N221" s="21">
        <f>100*(N87-N86)</f>
        <v/>
      </c>
      <c r="O221" s="21">
        <f>100*(O87-O86)</f>
        <v/>
      </c>
      <c r="P221" s="21">
        <f>100*(P87-P86)</f>
        <v/>
      </c>
      <c r="Q221" s="21">
        <f>100*(Q87-Q86)</f>
        <v/>
      </c>
      <c r="R221" s="21">
        <f>100*(R87-R86)</f>
        <v/>
      </c>
      <c r="S221" s="21">
        <f>100*(S87-S86)</f>
        <v/>
      </c>
      <c r="T221" s="21">
        <f>100*(T87-T86)</f>
        <v/>
      </c>
      <c r="U221" s="21">
        <f>100*(U87-U86)</f>
        <v/>
      </c>
      <c r="V221" s="21">
        <f>100*(V87-V86)</f>
        <v/>
      </c>
      <c r="W221" s="21">
        <f>100*(W87-W86)</f>
        <v/>
      </c>
      <c r="X221" s="21">
        <f>100*(X87-X86)</f>
        <v/>
      </c>
      <c r="Y221" s="21">
        <f>100*(Y87-Y86)</f>
        <v/>
      </c>
      <c r="Z221" s="21">
        <f>100*(Z87-Z86)</f>
        <v/>
      </c>
      <c r="AA221" s="21">
        <f>100*(AA87-AA86)</f>
        <v/>
      </c>
      <c r="AB221" s="21">
        <f>100*(AB87-AB86)</f>
        <v/>
      </c>
      <c r="AC221" s="21">
        <f>100*(AC87-AC86)</f>
        <v/>
      </c>
      <c r="AD221" s="21">
        <f>100*(AD87-AD86)</f>
        <v/>
      </c>
      <c r="AE221" s="21">
        <f>100*(AE87-AE86)</f>
        <v/>
      </c>
      <c r="AF221" s="21">
        <f>100*(AF87-AF86)</f>
        <v/>
      </c>
      <c r="AG221" s="21">
        <f>100*(AG87-AG86)</f>
        <v/>
      </c>
      <c r="AH221" s="21">
        <f>100*(AH87-AH86)</f>
        <v/>
      </c>
      <c r="AI221" s="21">
        <f>100*(AI87-AI86)</f>
        <v/>
      </c>
      <c r="AJ221" s="21">
        <f>100*(AJ87-AJ86)</f>
        <v/>
      </c>
      <c r="AK221" s="21">
        <f>100*(AK87-AK86)</f>
        <v/>
      </c>
      <c r="AL221" s="21">
        <f>AVERAGE(C221:AK221)</f>
        <v/>
      </c>
    </row>
    <row r="222">
      <c r="A222" s="19">
        <f>A88</f>
        <v/>
      </c>
      <c r="B222" s="20">
        <f>B88</f>
        <v/>
      </c>
      <c r="C222" s="21">
        <f>100*(C88-C87)</f>
        <v/>
      </c>
      <c r="D222" s="21">
        <f>100*(D88-D87)</f>
        <v/>
      </c>
      <c r="E222" s="21">
        <f>100*(E88-E87)</f>
        <v/>
      </c>
      <c r="F222" s="21">
        <f>100*(F88-F87)</f>
        <v/>
      </c>
      <c r="G222" s="21">
        <f>100*(G88-G87)</f>
        <v/>
      </c>
      <c r="H222" s="21">
        <f>100*(H88-H87)</f>
        <v/>
      </c>
      <c r="I222" s="21">
        <f>100*(I88-I87)</f>
        <v/>
      </c>
      <c r="J222" s="21">
        <f>100*(J88-J87)</f>
        <v/>
      </c>
      <c r="K222" s="21">
        <f>100*(K88-K87)</f>
        <v/>
      </c>
      <c r="L222" s="21">
        <f>100*(L88-L87)</f>
        <v/>
      </c>
      <c r="M222" s="21">
        <f>100*(M88-M87)</f>
        <v/>
      </c>
      <c r="N222" s="21">
        <f>100*(N88-N87)</f>
        <v/>
      </c>
      <c r="O222" s="21">
        <f>100*(O88-O87)</f>
        <v/>
      </c>
      <c r="P222" s="21">
        <f>100*(P88-P87)</f>
        <v/>
      </c>
      <c r="Q222" s="21">
        <f>100*(Q88-Q87)</f>
        <v/>
      </c>
      <c r="R222" s="21">
        <f>100*(R88-R87)</f>
        <v/>
      </c>
      <c r="S222" s="21">
        <f>100*(S88-S87)</f>
        <v/>
      </c>
      <c r="T222" s="21">
        <f>100*(T88-T87)</f>
        <v/>
      </c>
      <c r="U222" s="21">
        <f>100*(U88-U87)</f>
        <v/>
      </c>
      <c r="V222" s="21">
        <f>100*(V88-V87)</f>
        <v/>
      </c>
      <c r="W222" s="21">
        <f>100*(W88-W87)</f>
        <v/>
      </c>
      <c r="X222" s="21">
        <f>100*(X88-X87)</f>
        <v/>
      </c>
      <c r="Y222" s="21">
        <f>100*(Y88-Y87)</f>
        <v/>
      </c>
      <c r="Z222" s="21">
        <f>100*(Z88-Z87)</f>
        <v/>
      </c>
      <c r="AA222" s="21">
        <f>100*(AA88-AA87)</f>
        <v/>
      </c>
      <c r="AB222" s="21">
        <f>100*(AB88-AB87)</f>
        <v/>
      </c>
      <c r="AC222" s="21">
        <f>100*(AC88-AC87)</f>
        <v/>
      </c>
      <c r="AD222" s="21">
        <f>100*(AD88-AD87)</f>
        <v/>
      </c>
      <c r="AE222" s="21">
        <f>100*(AE88-AE87)</f>
        <v/>
      </c>
      <c r="AF222" s="21">
        <f>100*(AF88-AF87)</f>
        <v/>
      </c>
      <c r="AG222" s="21">
        <f>100*(AG88-AG87)</f>
        <v/>
      </c>
      <c r="AH222" s="21">
        <f>100*(AH88-AH87)</f>
        <v/>
      </c>
      <c r="AI222" s="21">
        <f>100*(AI88-AI87)</f>
        <v/>
      </c>
      <c r="AJ222" s="21">
        <f>100*(AJ88-AJ87)</f>
        <v/>
      </c>
      <c r="AK222" s="21">
        <f>100*(AK88-AK87)</f>
        <v/>
      </c>
      <c r="AL222" s="21">
        <f>AVERAGE(C222:AK222)</f>
        <v/>
      </c>
    </row>
    <row r="223">
      <c r="A223" s="19">
        <f>A89</f>
        <v/>
      </c>
      <c r="B223" s="20">
        <f>B89</f>
        <v/>
      </c>
      <c r="C223" s="21">
        <f>100*(C89-C88)</f>
        <v/>
      </c>
      <c r="D223" s="21">
        <f>100*(D89-D88)</f>
        <v/>
      </c>
      <c r="E223" s="21">
        <f>100*(E89-E88)</f>
        <v/>
      </c>
      <c r="F223" s="21">
        <f>100*(F89-F88)</f>
        <v/>
      </c>
      <c r="G223" s="21">
        <f>100*(G89-G88)</f>
        <v/>
      </c>
      <c r="H223" s="21">
        <f>100*(H89-H88)</f>
        <v/>
      </c>
      <c r="I223" s="21">
        <f>100*(I89-I88)</f>
        <v/>
      </c>
      <c r="J223" s="21">
        <f>100*(J89-J88)</f>
        <v/>
      </c>
      <c r="K223" s="21">
        <f>100*(K89-K88)</f>
        <v/>
      </c>
      <c r="L223" s="21">
        <f>100*(L89-L88)</f>
        <v/>
      </c>
      <c r="M223" s="21">
        <f>100*(M89-M88)</f>
        <v/>
      </c>
      <c r="N223" s="21">
        <f>100*(N89-N88)</f>
        <v/>
      </c>
      <c r="O223" s="21">
        <f>100*(O89-O88)</f>
        <v/>
      </c>
      <c r="P223" s="21">
        <f>100*(P89-P88)</f>
        <v/>
      </c>
      <c r="Q223" s="21">
        <f>100*(Q89-Q88)</f>
        <v/>
      </c>
      <c r="R223" s="21">
        <f>100*(R89-R88)</f>
        <v/>
      </c>
      <c r="S223" s="21">
        <f>100*(S89-S88)</f>
        <v/>
      </c>
      <c r="T223" s="21">
        <f>100*(T89-T88)</f>
        <v/>
      </c>
      <c r="U223" s="21">
        <f>100*(U89-U88)</f>
        <v/>
      </c>
      <c r="V223" s="21">
        <f>100*(V89-V88)</f>
        <v/>
      </c>
      <c r="W223" s="21">
        <f>100*(W89-W88)</f>
        <v/>
      </c>
      <c r="X223" s="21">
        <f>100*(X89-X88)</f>
        <v/>
      </c>
      <c r="Y223" s="21">
        <f>100*(Y89-Y88)</f>
        <v/>
      </c>
      <c r="Z223" s="21">
        <f>100*(Z89-Z88)</f>
        <v/>
      </c>
      <c r="AA223" s="21">
        <f>100*(AA89-AA88)</f>
        <v/>
      </c>
      <c r="AB223" s="21">
        <f>100*(AB89-AB88)</f>
        <v/>
      </c>
      <c r="AC223" s="21">
        <f>100*(AC89-AC88)</f>
        <v/>
      </c>
      <c r="AD223" s="21">
        <f>100*(AD89-AD88)</f>
        <v/>
      </c>
      <c r="AE223" s="21">
        <f>100*(AE89-AE88)</f>
        <v/>
      </c>
      <c r="AF223" s="21">
        <f>100*(AF89-AF88)</f>
        <v/>
      </c>
      <c r="AG223" s="21">
        <f>100*(AG89-AG88)</f>
        <v/>
      </c>
      <c r="AH223" s="21">
        <f>100*(AH89-AH88)</f>
        <v/>
      </c>
      <c r="AI223" s="21">
        <f>100*(AI89-AI88)</f>
        <v/>
      </c>
      <c r="AJ223" s="21">
        <f>100*(AJ89-AJ88)</f>
        <v/>
      </c>
      <c r="AK223" s="21">
        <f>100*(AK89-AK88)</f>
        <v/>
      </c>
      <c r="AL223" s="21">
        <f>AVERAGE(C223:AK223)</f>
        <v/>
      </c>
    </row>
    <row r="224">
      <c r="A224" s="19">
        <f>A90</f>
        <v/>
      </c>
      <c r="B224" s="20">
        <f>B90</f>
        <v/>
      </c>
      <c r="C224" s="21">
        <f>100*(C90-C89)</f>
        <v/>
      </c>
      <c r="D224" s="21">
        <f>100*(D90-D89)</f>
        <v/>
      </c>
      <c r="E224" s="21">
        <f>100*(E90-E89)</f>
        <v/>
      </c>
      <c r="F224" s="21">
        <f>100*(F90-F89)</f>
        <v/>
      </c>
      <c r="G224" s="21">
        <f>100*(G90-G89)</f>
        <v/>
      </c>
      <c r="H224" s="21">
        <f>100*(H90-H89)</f>
        <v/>
      </c>
      <c r="I224" s="21">
        <f>100*(I90-I89)</f>
        <v/>
      </c>
      <c r="J224" s="21">
        <f>100*(J90-J89)</f>
        <v/>
      </c>
      <c r="K224" s="21">
        <f>100*(K90-K89)</f>
        <v/>
      </c>
      <c r="L224" s="21">
        <f>100*(L90-L89)</f>
        <v/>
      </c>
      <c r="M224" s="21">
        <f>100*(M90-M89)</f>
        <v/>
      </c>
      <c r="N224" s="21">
        <f>100*(N90-N89)</f>
        <v/>
      </c>
      <c r="O224" s="21">
        <f>100*(O90-O89)</f>
        <v/>
      </c>
      <c r="P224" s="21">
        <f>100*(P90-P89)</f>
        <v/>
      </c>
      <c r="Q224" s="21">
        <f>100*(Q90-Q89)</f>
        <v/>
      </c>
      <c r="R224" s="21">
        <f>100*(R90-R89)</f>
        <v/>
      </c>
      <c r="S224" s="21">
        <f>100*(S90-S89)</f>
        <v/>
      </c>
      <c r="T224" s="21">
        <f>100*(T90-T89)</f>
        <v/>
      </c>
      <c r="U224" s="21">
        <f>100*(U90-U89)</f>
        <v/>
      </c>
      <c r="V224" s="21">
        <f>100*(V90-V89)</f>
        <v/>
      </c>
      <c r="W224" s="21">
        <f>100*(W90-W89)</f>
        <v/>
      </c>
      <c r="X224" s="21">
        <f>100*(X90-X89)</f>
        <v/>
      </c>
      <c r="Y224" s="21">
        <f>100*(Y90-Y89)</f>
        <v/>
      </c>
      <c r="Z224" s="21">
        <f>100*(Z90-Z89)</f>
        <v/>
      </c>
      <c r="AA224" s="21">
        <f>100*(AA90-AA89)</f>
        <v/>
      </c>
      <c r="AB224" s="21">
        <f>100*(AB90-AB89)</f>
        <v/>
      </c>
      <c r="AC224" s="21">
        <f>100*(AC90-AC89)</f>
        <v/>
      </c>
      <c r="AD224" s="21">
        <f>100*(AD90-AD89)</f>
        <v/>
      </c>
      <c r="AE224" s="21">
        <f>100*(AE90-AE89)</f>
        <v/>
      </c>
      <c r="AF224" s="21">
        <f>100*(AF90-AF89)</f>
        <v/>
      </c>
      <c r="AG224" s="21">
        <f>100*(AG90-AG89)</f>
        <v/>
      </c>
      <c r="AH224" s="21">
        <f>100*(AH90-AH89)</f>
        <v/>
      </c>
      <c r="AI224" s="21">
        <f>100*(AI90-AI89)</f>
        <v/>
      </c>
      <c r="AJ224" s="21">
        <f>100*(AJ90-AJ89)</f>
        <v/>
      </c>
      <c r="AK224" s="21">
        <f>100*(AK90-AK89)</f>
        <v/>
      </c>
      <c r="AL224" s="21">
        <f>AVERAGE(C224:AK224)</f>
        <v/>
      </c>
    </row>
    <row r="225">
      <c r="A225" s="19">
        <f>A91</f>
        <v/>
      </c>
      <c r="B225" s="20">
        <f>B91</f>
        <v/>
      </c>
      <c r="C225" s="21">
        <f>100*(C91-C90)</f>
        <v/>
      </c>
      <c r="D225" s="21">
        <f>100*(D91-D90)</f>
        <v/>
      </c>
      <c r="E225" s="21">
        <f>100*(E91-E90)</f>
        <v/>
      </c>
      <c r="F225" s="21">
        <f>100*(F91-F90)</f>
        <v/>
      </c>
      <c r="G225" s="21">
        <f>100*(G91-G90)</f>
        <v/>
      </c>
      <c r="H225" s="21">
        <f>100*(H91-H90)</f>
        <v/>
      </c>
      <c r="I225" s="21">
        <f>100*(I91-I90)</f>
        <v/>
      </c>
      <c r="J225" s="21">
        <f>100*(J91-J90)</f>
        <v/>
      </c>
      <c r="K225" s="21">
        <f>100*(K91-K90)</f>
        <v/>
      </c>
      <c r="L225" s="21">
        <f>100*(L91-L90)</f>
        <v/>
      </c>
      <c r="M225" s="21">
        <f>100*(M91-M90)</f>
        <v/>
      </c>
      <c r="N225" s="21">
        <f>100*(N91-N90)</f>
        <v/>
      </c>
      <c r="O225" s="21">
        <f>100*(O91-O90)</f>
        <v/>
      </c>
      <c r="P225" s="21">
        <f>100*(P91-P90)</f>
        <v/>
      </c>
      <c r="Q225" s="21">
        <f>100*(Q91-Q90)</f>
        <v/>
      </c>
      <c r="R225" s="21">
        <f>100*(R91-R90)</f>
        <v/>
      </c>
      <c r="S225" s="21">
        <f>100*(S91-S90)</f>
        <v/>
      </c>
      <c r="T225" s="21">
        <f>100*(T91-T90)</f>
        <v/>
      </c>
      <c r="U225" s="21">
        <f>100*(U91-U90)</f>
        <v/>
      </c>
      <c r="V225" s="21">
        <f>100*(V91-V90)</f>
        <v/>
      </c>
      <c r="W225" s="21">
        <f>100*(W91-W90)</f>
        <v/>
      </c>
      <c r="X225" s="21">
        <f>100*(X91-X90)</f>
        <v/>
      </c>
      <c r="Y225" s="21">
        <f>100*(Y91-Y90)</f>
        <v/>
      </c>
      <c r="Z225" s="21">
        <f>100*(Z91-Z90)</f>
        <v/>
      </c>
      <c r="AA225" s="21">
        <f>100*(AA91-AA90)</f>
        <v/>
      </c>
      <c r="AB225" s="21">
        <f>100*(AB91-AB90)</f>
        <v/>
      </c>
      <c r="AC225" s="21">
        <f>100*(AC91-AC90)</f>
        <v/>
      </c>
      <c r="AD225" s="21">
        <f>100*(AD91-AD90)</f>
        <v/>
      </c>
      <c r="AE225" s="21">
        <f>100*(AE91-AE90)</f>
        <v/>
      </c>
      <c r="AF225" s="21">
        <f>100*(AF91-AF90)</f>
        <v/>
      </c>
      <c r="AG225" s="21">
        <f>100*(AG91-AG90)</f>
        <v/>
      </c>
      <c r="AH225" s="21">
        <f>100*(AH91-AH90)</f>
        <v/>
      </c>
      <c r="AI225" s="21">
        <f>100*(AI91-AI90)</f>
        <v/>
      </c>
      <c r="AJ225" s="21">
        <f>100*(AJ91-AJ90)</f>
        <v/>
      </c>
      <c r="AK225" s="21">
        <f>100*(AK91-AK90)</f>
        <v/>
      </c>
      <c r="AL225" s="21">
        <f>AVERAGE(C225:AK225)</f>
        <v/>
      </c>
    </row>
    <row r="226">
      <c r="A226" s="19">
        <f>A92</f>
        <v/>
      </c>
      <c r="B226" s="20">
        <f>B92</f>
        <v/>
      </c>
      <c r="C226" s="21">
        <f>100*(C92-C91)</f>
        <v/>
      </c>
      <c r="D226" s="21">
        <f>100*(D92-D91)</f>
        <v/>
      </c>
      <c r="E226" s="21">
        <f>100*(E92-E91)</f>
        <v/>
      </c>
      <c r="F226" s="21">
        <f>100*(F92-F91)</f>
        <v/>
      </c>
      <c r="G226" s="21">
        <f>100*(G92-G91)</f>
        <v/>
      </c>
      <c r="H226" s="21">
        <f>100*(H92-H91)</f>
        <v/>
      </c>
      <c r="I226" s="21">
        <f>100*(I92-I91)</f>
        <v/>
      </c>
      <c r="J226" s="21">
        <f>100*(J92-J91)</f>
        <v/>
      </c>
      <c r="K226" s="21">
        <f>100*(K92-K91)</f>
        <v/>
      </c>
      <c r="L226" s="21">
        <f>100*(L92-L91)</f>
        <v/>
      </c>
      <c r="M226" s="21">
        <f>100*(M92-M91)</f>
        <v/>
      </c>
      <c r="N226" s="21">
        <f>100*(N92-N91)</f>
        <v/>
      </c>
      <c r="O226" s="21">
        <f>100*(O92-O91)</f>
        <v/>
      </c>
      <c r="P226" s="21">
        <f>100*(P92-P91)</f>
        <v/>
      </c>
      <c r="Q226" s="21">
        <f>100*(Q92-Q91)</f>
        <v/>
      </c>
      <c r="R226" s="21">
        <f>100*(R92-R91)</f>
        <v/>
      </c>
      <c r="S226" s="21">
        <f>100*(S92-S91)</f>
        <v/>
      </c>
      <c r="T226" s="21">
        <f>100*(T92-T91)</f>
        <v/>
      </c>
      <c r="U226" s="21">
        <f>100*(U92-U91)</f>
        <v/>
      </c>
      <c r="V226" s="21">
        <f>100*(V92-V91)</f>
        <v/>
      </c>
      <c r="W226" s="21">
        <f>100*(W92-W91)</f>
        <v/>
      </c>
      <c r="X226" s="21">
        <f>100*(X92-X91)</f>
        <v/>
      </c>
      <c r="Y226" s="21">
        <f>100*(Y92-Y91)</f>
        <v/>
      </c>
      <c r="Z226" s="21">
        <f>100*(Z92-Z91)</f>
        <v/>
      </c>
      <c r="AA226" s="21">
        <f>100*(AA92-AA91)</f>
        <v/>
      </c>
      <c r="AB226" s="21">
        <f>100*(AB92-AB91)</f>
        <v/>
      </c>
      <c r="AC226" s="21">
        <f>100*(AC92-AC91)</f>
        <v/>
      </c>
      <c r="AD226" s="21">
        <f>100*(AD92-AD91)</f>
        <v/>
      </c>
      <c r="AE226" s="21">
        <f>100*(AE92-AE91)</f>
        <v/>
      </c>
      <c r="AF226" s="21">
        <f>100*(AF92-AF91)</f>
        <v/>
      </c>
      <c r="AG226" s="21">
        <f>100*(AG92-AG91)</f>
        <v/>
      </c>
      <c r="AH226" s="21">
        <f>100*(AH92-AH91)</f>
        <v/>
      </c>
      <c r="AI226" s="21">
        <f>100*(AI92-AI91)</f>
        <v/>
      </c>
      <c r="AJ226" s="21">
        <f>100*(AJ92-AJ91)</f>
        <v/>
      </c>
      <c r="AK226" s="21">
        <f>100*(AK92-AK91)</f>
        <v/>
      </c>
      <c r="AL226" s="21">
        <f>AVERAGE(C226:AK226)</f>
        <v/>
      </c>
    </row>
    <row r="227">
      <c r="A227" s="19">
        <f>A93</f>
        <v/>
      </c>
      <c r="B227" s="20">
        <f>B93</f>
        <v/>
      </c>
      <c r="C227" s="21">
        <f>100*(C93-C92)</f>
        <v/>
      </c>
      <c r="D227" s="21">
        <f>100*(D93-D92)</f>
        <v/>
      </c>
      <c r="E227" s="21">
        <f>100*(E93-E92)</f>
        <v/>
      </c>
      <c r="F227" s="21">
        <f>100*(F93-F92)</f>
        <v/>
      </c>
      <c r="G227" s="21">
        <f>100*(G93-G92)</f>
        <v/>
      </c>
      <c r="H227" s="21">
        <f>100*(H93-H92)</f>
        <v/>
      </c>
      <c r="I227" s="21">
        <f>100*(I93-I92)</f>
        <v/>
      </c>
      <c r="J227" s="21">
        <f>100*(J93-J92)</f>
        <v/>
      </c>
      <c r="K227" s="21">
        <f>100*(K93-K92)</f>
        <v/>
      </c>
      <c r="L227" s="21">
        <f>100*(L93-L92)</f>
        <v/>
      </c>
      <c r="M227" s="21">
        <f>100*(M93-M92)</f>
        <v/>
      </c>
      <c r="N227" s="21">
        <f>100*(N93-N92)</f>
        <v/>
      </c>
      <c r="O227" s="21">
        <f>100*(O93-O92)</f>
        <v/>
      </c>
      <c r="P227" s="21">
        <f>100*(P93-P92)</f>
        <v/>
      </c>
      <c r="Q227" s="21">
        <f>100*(Q93-Q92)</f>
        <v/>
      </c>
      <c r="R227" s="21">
        <f>100*(R93-R92)</f>
        <v/>
      </c>
      <c r="S227" s="21">
        <f>100*(S93-S92)</f>
        <v/>
      </c>
      <c r="T227" s="21">
        <f>100*(T93-T92)</f>
        <v/>
      </c>
      <c r="U227" s="21">
        <f>100*(U93-U92)</f>
        <v/>
      </c>
      <c r="V227" s="21">
        <f>100*(V93-V92)</f>
        <v/>
      </c>
      <c r="W227" s="21">
        <f>100*(W93-W92)</f>
        <v/>
      </c>
      <c r="X227" s="21">
        <f>100*(X93-X92)</f>
        <v/>
      </c>
      <c r="Y227" s="21">
        <f>100*(Y93-Y92)</f>
        <v/>
      </c>
      <c r="Z227" s="21">
        <f>100*(Z93-Z92)</f>
        <v/>
      </c>
      <c r="AA227" s="21">
        <f>100*(AA93-AA92)</f>
        <v/>
      </c>
      <c r="AB227" s="21">
        <f>100*(AB93-AB92)</f>
        <v/>
      </c>
      <c r="AC227" s="21">
        <f>100*(AC93-AC92)</f>
        <v/>
      </c>
      <c r="AD227" s="21">
        <f>100*(AD93-AD92)</f>
        <v/>
      </c>
      <c r="AE227" s="21">
        <f>100*(AE93-AE92)</f>
        <v/>
      </c>
      <c r="AF227" s="21">
        <f>100*(AF93-AF92)</f>
        <v/>
      </c>
      <c r="AG227" s="21">
        <f>100*(AG93-AG92)</f>
        <v/>
      </c>
      <c r="AH227" s="21">
        <f>100*(AH93-AH92)</f>
        <v/>
      </c>
      <c r="AI227" s="21">
        <f>100*(AI93-AI92)</f>
        <v/>
      </c>
      <c r="AJ227" s="21">
        <f>100*(AJ93-AJ92)</f>
        <v/>
      </c>
      <c r="AK227" s="21">
        <f>100*(AK93-AK92)</f>
        <v/>
      </c>
      <c r="AL227" s="21">
        <f>AVERAGE(C227:AK227)</f>
        <v/>
      </c>
    </row>
    <row r="228">
      <c r="A228" s="19">
        <f>A94</f>
        <v/>
      </c>
      <c r="B228" s="20">
        <f>B94</f>
        <v/>
      </c>
      <c r="C228" s="21">
        <f>100*(C94-C93)</f>
        <v/>
      </c>
      <c r="D228" s="21">
        <f>100*(D94-D93)</f>
        <v/>
      </c>
      <c r="E228" s="21">
        <f>100*(E94-E93)</f>
        <v/>
      </c>
      <c r="F228" s="21">
        <f>100*(F94-F93)</f>
        <v/>
      </c>
      <c r="G228" s="21">
        <f>100*(G94-G93)</f>
        <v/>
      </c>
      <c r="H228" s="21">
        <f>100*(H94-H93)</f>
        <v/>
      </c>
      <c r="I228" s="21">
        <f>100*(I94-I93)</f>
        <v/>
      </c>
      <c r="J228" s="21">
        <f>100*(J94-J93)</f>
        <v/>
      </c>
      <c r="K228" s="21">
        <f>100*(K94-K93)</f>
        <v/>
      </c>
      <c r="L228" s="21">
        <f>100*(L94-L93)</f>
        <v/>
      </c>
      <c r="M228" s="21">
        <f>100*(M94-M93)</f>
        <v/>
      </c>
      <c r="N228" s="21">
        <f>100*(N94-N93)</f>
        <v/>
      </c>
      <c r="O228" s="21">
        <f>100*(O94-O93)</f>
        <v/>
      </c>
      <c r="P228" s="21">
        <f>100*(P94-P93)</f>
        <v/>
      </c>
      <c r="Q228" s="21">
        <f>100*(Q94-Q93)</f>
        <v/>
      </c>
      <c r="R228" s="21">
        <f>100*(R94-R93)</f>
        <v/>
      </c>
      <c r="S228" s="21">
        <f>100*(S94-S93)</f>
        <v/>
      </c>
      <c r="T228" s="21">
        <f>100*(T94-T93)</f>
        <v/>
      </c>
      <c r="U228" s="21">
        <f>100*(U94-U93)</f>
        <v/>
      </c>
      <c r="V228" s="21">
        <f>100*(V94-V93)</f>
        <v/>
      </c>
      <c r="W228" s="21">
        <f>100*(W94-W93)</f>
        <v/>
      </c>
      <c r="X228" s="21">
        <f>100*(X94-X93)</f>
        <v/>
      </c>
      <c r="Y228" s="21">
        <f>100*(Y94-Y93)</f>
        <v/>
      </c>
      <c r="Z228" s="21">
        <f>100*(Z94-Z93)</f>
        <v/>
      </c>
      <c r="AA228" s="21">
        <f>100*(AA94-AA93)</f>
        <v/>
      </c>
      <c r="AB228" s="21">
        <f>100*(AB94-AB93)</f>
        <v/>
      </c>
      <c r="AC228" s="21">
        <f>100*(AC94-AC93)</f>
        <v/>
      </c>
      <c r="AD228" s="21">
        <f>100*(AD94-AD93)</f>
        <v/>
      </c>
      <c r="AE228" s="21">
        <f>100*(AE94-AE93)</f>
        <v/>
      </c>
      <c r="AF228" s="21">
        <f>100*(AF94-AF93)</f>
        <v/>
      </c>
      <c r="AG228" s="21">
        <f>100*(AG94-AG93)</f>
        <v/>
      </c>
      <c r="AH228" s="21">
        <f>100*(AH94-AH93)</f>
        <v/>
      </c>
      <c r="AI228" s="21">
        <f>100*(AI94-AI93)</f>
        <v/>
      </c>
      <c r="AJ228" s="21">
        <f>100*(AJ94-AJ93)</f>
        <v/>
      </c>
      <c r="AK228" s="21">
        <f>100*(AK94-AK93)</f>
        <v/>
      </c>
      <c r="AL228" s="21">
        <f>AVERAGE(C228:AK228)</f>
        <v/>
      </c>
    </row>
    <row r="229">
      <c r="A229" s="19">
        <f>A95</f>
        <v/>
      </c>
      <c r="B229" s="20">
        <f>B95</f>
        <v/>
      </c>
      <c r="C229" s="21">
        <f>100*(C95-C94)</f>
        <v/>
      </c>
      <c r="D229" s="21">
        <f>100*(D95-D94)</f>
        <v/>
      </c>
      <c r="E229" s="21">
        <f>100*(E95-E94)</f>
        <v/>
      </c>
      <c r="F229" s="21">
        <f>100*(F95-F94)</f>
        <v/>
      </c>
      <c r="G229" s="21">
        <f>100*(G95-G94)</f>
        <v/>
      </c>
      <c r="H229" s="21">
        <f>100*(H95-H94)</f>
        <v/>
      </c>
      <c r="I229" s="21">
        <f>100*(I95-I94)</f>
        <v/>
      </c>
      <c r="J229" s="21">
        <f>100*(J95-J94)</f>
        <v/>
      </c>
      <c r="K229" s="21">
        <f>100*(K95-K94)</f>
        <v/>
      </c>
      <c r="L229" s="21">
        <f>100*(L95-L94)</f>
        <v/>
      </c>
      <c r="M229" s="21">
        <f>100*(M95-M94)</f>
        <v/>
      </c>
      <c r="N229" s="21">
        <f>100*(N95-N94)</f>
        <v/>
      </c>
      <c r="O229" s="21">
        <f>100*(O95-O94)</f>
        <v/>
      </c>
      <c r="P229" s="21">
        <f>100*(P95-P94)</f>
        <v/>
      </c>
      <c r="Q229" s="21">
        <f>100*(Q95-Q94)</f>
        <v/>
      </c>
      <c r="R229" s="21">
        <f>100*(R95-R94)</f>
        <v/>
      </c>
      <c r="S229" s="21">
        <f>100*(S95-S94)</f>
        <v/>
      </c>
      <c r="T229" s="21">
        <f>100*(T95-T94)</f>
        <v/>
      </c>
      <c r="U229" s="21">
        <f>100*(U95-U94)</f>
        <v/>
      </c>
      <c r="V229" s="21">
        <f>100*(V95-V94)</f>
        <v/>
      </c>
      <c r="W229" s="21">
        <f>100*(W95-W94)</f>
        <v/>
      </c>
      <c r="X229" s="21">
        <f>100*(X95-X94)</f>
        <v/>
      </c>
      <c r="Y229" s="21">
        <f>100*(Y95-Y94)</f>
        <v/>
      </c>
      <c r="Z229" s="21">
        <f>100*(Z95-Z94)</f>
        <v/>
      </c>
      <c r="AA229" s="21">
        <f>100*(AA95-AA94)</f>
        <v/>
      </c>
      <c r="AB229" s="21">
        <f>100*(AB95-AB94)</f>
        <v/>
      </c>
      <c r="AC229" s="21">
        <f>100*(AC95-AC94)</f>
        <v/>
      </c>
      <c r="AD229" s="21">
        <f>100*(AD95-AD94)</f>
        <v/>
      </c>
      <c r="AE229" s="21">
        <f>100*(AE95-AE94)</f>
        <v/>
      </c>
      <c r="AF229" s="21">
        <f>100*(AF95-AF94)</f>
        <v/>
      </c>
      <c r="AG229" s="21">
        <f>100*(AG95-AG94)</f>
        <v/>
      </c>
      <c r="AH229" s="21">
        <f>100*(AH95-AH94)</f>
        <v/>
      </c>
      <c r="AI229" s="21">
        <f>100*(AI95-AI94)</f>
        <v/>
      </c>
      <c r="AJ229" s="21">
        <f>100*(AJ95-AJ94)</f>
        <v/>
      </c>
      <c r="AK229" s="21">
        <f>100*(AK95-AK94)</f>
        <v/>
      </c>
      <c r="AL229" s="21">
        <f>AVERAGE(C229:AK229)</f>
        <v/>
      </c>
    </row>
    <row r="230">
      <c r="A230" s="19">
        <f>A96</f>
        <v/>
      </c>
      <c r="B230" s="20">
        <f>B96</f>
        <v/>
      </c>
      <c r="C230" s="21">
        <f>100*(C96-C95)</f>
        <v/>
      </c>
      <c r="D230" s="21">
        <f>100*(D96-D95)</f>
        <v/>
      </c>
      <c r="E230" s="21">
        <f>100*(E96-E95)</f>
        <v/>
      </c>
      <c r="F230" s="21">
        <f>100*(F96-F95)</f>
        <v/>
      </c>
      <c r="G230" s="21">
        <f>100*(G96-G95)</f>
        <v/>
      </c>
      <c r="H230" s="21">
        <f>100*(H96-H95)</f>
        <v/>
      </c>
      <c r="I230" s="21">
        <f>100*(I96-I95)</f>
        <v/>
      </c>
      <c r="J230" s="21">
        <f>100*(J96-J95)</f>
        <v/>
      </c>
      <c r="K230" s="21">
        <f>100*(K96-K95)</f>
        <v/>
      </c>
      <c r="L230" s="21">
        <f>100*(L96-L95)</f>
        <v/>
      </c>
      <c r="M230" s="21">
        <f>100*(M96-M95)</f>
        <v/>
      </c>
      <c r="N230" s="21">
        <f>100*(N96-N95)</f>
        <v/>
      </c>
      <c r="O230" s="21">
        <f>100*(O96-O95)</f>
        <v/>
      </c>
      <c r="P230" s="21">
        <f>100*(P96-P95)</f>
        <v/>
      </c>
      <c r="Q230" s="21">
        <f>100*(Q96-Q95)</f>
        <v/>
      </c>
      <c r="R230" s="21">
        <f>100*(R96-R95)</f>
        <v/>
      </c>
      <c r="S230" s="21">
        <f>100*(S96-S95)</f>
        <v/>
      </c>
      <c r="T230" s="21">
        <f>100*(T96-T95)</f>
        <v/>
      </c>
      <c r="U230" s="21">
        <f>100*(U96-U95)</f>
        <v/>
      </c>
      <c r="V230" s="21">
        <f>100*(V96-V95)</f>
        <v/>
      </c>
      <c r="W230" s="21">
        <f>100*(W96-W95)</f>
        <v/>
      </c>
      <c r="X230" s="21">
        <f>100*(X96-X95)</f>
        <v/>
      </c>
      <c r="Y230" s="21">
        <f>100*(Y96-Y95)</f>
        <v/>
      </c>
      <c r="Z230" s="21">
        <f>100*(Z96-Z95)</f>
        <v/>
      </c>
      <c r="AA230" s="21">
        <f>100*(AA96-AA95)</f>
        <v/>
      </c>
      <c r="AB230" s="21">
        <f>100*(AB96-AB95)</f>
        <v/>
      </c>
      <c r="AC230" s="21">
        <f>100*(AC96-AC95)</f>
        <v/>
      </c>
      <c r="AD230" s="21">
        <f>100*(AD96-AD95)</f>
        <v/>
      </c>
      <c r="AE230" s="21">
        <f>100*(AE96-AE95)</f>
        <v/>
      </c>
      <c r="AF230" s="21">
        <f>100*(AF96-AF95)</f>
        <v/>
      </c>
      <c r="AG230" s="21">
        <f>100*(AG96-AG95)</f>
        <v/>
      </c>
      <c r="AH230" s="21">
        <f>100*(AH96-AH95)</f>
        <v/>
      </c>
      <c r="AI230" s="21">
        <f>100*(AI96-AI95)</f>
        <v/>
      </c>
      <c r="AJ230" s="21">
        <f>100*(AJ96-AJ95)</f>
        <v/>
      </c>
      <c r="AK230" s="21">
        <f>100*(AK96-AK95)</f>
        <v/>
      </c>
      <c r="AL230" s="21">
        <f>AVERAGE(C230:AK230)</f>
        <v/>
      </c>
    </row>
    <row r="231">
      <c r="A231" s="19">
        <f>A97</f>
        <v/>
      </c>
      <c r="B231" s="20">
        <f>B97</f>
        <v/>
      </c>
      <c r="C231" s="21">
        <f>100*(C97-C96)</f>
        <v/>
      </c>
      <c r="D231" s="21">
        <f>100*(D97-D96)</f>
        <v/>
      </c>
      <c r="E231" s="21">
        <f>100*(E97-E96)</f>
        <v/>
      </c>
      <c r="F231" s="21">
        <f>100*(F97-F96)</f>
        <v/>
      </c>
      <c r="G231" s="21">
        <f>100*(G97-G96)</f>
        <v/>
      </c>
      <c r="H231" s="21">
        <f>100*(H97-H96)</f>
        <v/>
      </c>
      <c r="I231" s="21">
        <f>100*(I97-I96)</f>
        <v/>
      </c>
      <c r="J231" s="21">
        <f>100*(J97-J96)</f>
        <v/>
      </c>
      <c r="K231" s="21">
        <f>100*(K97-K96)</f>
        <v/>
      </c>
      <c r="L231" s="21">
        <f>100*(L97-L96)</f>
        <v/>
      </c>
      <c r="M231" s="21">
        <f>100*(M97-M96)</f>
        <v/>
      </c>
      <c r="N231" s="21">
        <f>100*(N97-N96)</f>
        <v/>
      </c>
      <c r="O231" s="21">
        <f>100*(O97-O96)</f>
        <v/>
      </c>
      <c r="P231" s="21">
        <f>100*(P97-P96)</f>
        <v/>
      </c>
      <c r="Q231" s="21">
        <f>100*(Q97-Q96)</f>
        <v/>
      </c>
      <c r="R231" s="21">
        <f>100*(R97-R96)</f>
        <v/>
      </c>
      <c r="S231" s="21">
        <f>100*(S97-S96)</f>
        <v/>
      </c>
      <c r="T231" s="21">
        <f>100*(T97-T96)</f>
        <v/>
      </c>
      <c r="U231" s="21">
        <f>100*(U97-U96)</f>
        <v/>
      </c>
      <c r="V231" s="21">
        <f>100*(V97-V96)</f>
        <v/>
      </c>
      <c r="W231" s="21">
        <f>100*(W97-W96)</f>
        <v/>
      </c>
      <c r="X231" s="21">
        <f>100*(X97-X96)</f>
        <v/>
      </c>
      <c r="Y231" s="21">
        <f>100*(Y97-Y96)</f>
        <v/>
      </c>
      <c r="Z231" s="21">
        <f>100*(Z97-Z96)</f>
        <v/>
      </c>
      <c r="AA231" s="21">
        <f>100*(AA97-AA96)</f>
        <v/>
      </c>
      <c r="AB231" s="21">
        <f>100*(AB97-AB96)</f>
        <v/>
      </c>
      <c r="AC231" s="21">
        <f>100*(AC97-AC96)</f>
        <v/>
      </c>
      <c r="AD231" s="21">
        <f>100*(AD97-AD96)</f>
        <v/>
      </c>
      <c r="AE231" s="21">
        <f>100*(AE97-AE96)</f>
        <v/>
      </c>
      <c r="AF231" s="21">
        <f>100*(AF97-AF96)</f>
        <v/>
      </c>
      <c r="AG231" s="21">
        <f>100*(AG97-AG96)</f>
        <v/>
      </c>
      <c r="AH231" s="21">
        <f>100*(AH97-AH96)</f>
        <v/>
      </c>
      <c r="AI231" s="21">
        <f>100*(AI97-AI96)</f>
        <v/>
      </c>
      <c r="AJ231" s="21">
        <f>100*(AJ97-AJ96)</f>
        <v/>
      </c>
      <c r="AK231" s="21">
        <f>100*(AK97-AK96)</f>
        <v/>
      </c>
      <c r="AL231" s="21">
        <f>AVERAGE(C231:AK231)</f>
        <v/>
      </c>
    </row>
    <row r="232">
      <c r="A232" s="19">
        <f>A98</f>
        <v/>
      </c>
      <c r="B232" s="20">
        <f>B98</f>
        <v/>
      </c>
      <c r="C232" s="21">
        <f>100*(C98-C97)</f>
        <v/>
      </c>
      <c r="D232" s="21">
        <f>100*(D98-D97)</f>
        <v/>
      </c>
      <c r="E232" s="21">
        <f>100*(E98-E97)</f>
        <v/>
      </c>
      <c r="F232" s="21">
        <f>100*(F98-F97)</f>
        <v/>
      </c>
      <c r="G232" s="21">
        <f>100*(G98-G97)</f>
        <v/>
      </c>
      <c r="H232" s="21">
        <f>100*(H98-H97)</f>
        <v/>
      </c>
      <c r="I232" s="21">
        <f>100*(I98-I97)</f>
        <v/>
      </c>
      <c r="J232" s="21">
        <f>100*(J98-J97)</f>
        <v/>
      </c>
      <c r="K232" s="21">
        <f>100*(K98-K97)</f>
        <v/>
      </c>
      <c r="L232" s="21">
        <f>100*(L98-L97)</f>
        <v/>
      </c>
      <c r="M232" s="21">
        <f>100*(M98-M97)</f>
        <v/>
      </c>
      <c r="N232" s="21">
        <f>100*(N98-N97)</f>
        <v/>
      </c>
      <c r="O232" s="21">
        <f>100*(O98-O97)</f>
        <v/>
      </c>
      <c r="P232" s="21">
        <f>100*(P98-P97)</f>
        <v/>
      </c>
      <c r="Q232" s="21">
        <f>100*(Q98-Q97)</f>
        <v/>
      </c>
      <c r="R232" s="21">
        <f>100*(R98-R97)</f>
        <v/>
      </c>
      <c r="S232" s="21">
        <f>100*(S98-S97)</f>
        <v/>
      </c>
      <c r="T232" s="21">
        <f>100*(T98-T97)</f>
        <v/>
      </c>
      <c r="U232" s="21">
        <f>100*(U98-U97)</f>
        <v/>
      </c>
      <c r="V232" s="21">
        <f>100*(V98-V97)</f>
        <v/>
      </c>
      <c r="W232" s="21">
        <f>100*(W98-W97)</f>
        <v/>
      </c>
      <c r="X232" s="21">
        <f>100*(X98-X97)</f>
        <v/>
      </c>
      <c r="Y232" s="21">
        <f>100*(Y98-Y97)</f>
        <v/>
      </c>
      <c r="Z232" s="21">
        <f>100*(Z98-Z97)</f>
        <v/>
      </c>
      <c r="AA232" s="21">
        <f>100*(AA98-AA97)</f>
        <v/>
      </c>
      <c r="AB232" s="21">
        <f>100*(AB98-AB97)</f>
        <v/>
      </c>
      <c r="AC232" s="21">
        <f>100*(AC98-AC97)</f>
        <v/>
      </c>
      <c r="AD232" s="21">
        <f>100*(AD98-AD97)</f>
        <v/>
      </c>
      <c r="AE232" s="21">
        <f>100*(AE98-AE97)</f>
        <v/>
      </c>
      <c r="AF232" s="21">
        <f>100*(AF98-AF97)</f>
        <v/>
      </c>
      <c r="AG232" s="21">
        <f>100*(AG98-AG97)</f>
        <v/>
      </c>
      <c r="AH232" s="21">
        <f>100*(AH98-AH97)</f>
        <v/>
      </c>
      <c r="AI232" s="21">
        <f>100*(AI98-AI97)</f>
        <v/>
      </c>
      <c r="AJ232" s="21">
        <f>100*(AJ98-AJ97)</f>
        <v/>
      </c>
      <c r="AK232" s="21">
        <f>100*(AK98-AK97)</f>
        <v/>
      </c>
      <c r="AL232" s="21">
        <f>AVERAGE(C232:AK232)</f>
        <v/>
      </c>
    </row>
    <row r="233">
      <c r="A233" s="19">
        <f>A99</f>
        <v/>
      </c>
      <c r="B233" s="20">
        <f>B99</f>
        <v/>
      </c>
      <c r="C233" s="21">
        <f>100*(C99-C98)</f>
        <v/>
      </c>
      <c r="D233" s="21">
        <f>100*(D99-D98)</f>
        <v/>
      </c>
      <c r="E233" s="21">
        <f>100*(E99-E98)</f>
        <v/>
      </c>
      <c r="F233" s="21">
        <f>100*(F99-F98)</f>
        <v/>
      </c>
      <c r="G233" s="21">
        <f>100*(G99-G98)</f>
        <v/>
      </c>
      <c r="H233" s="21">
        <f>100*(H99-H98)</f>
        <v/>
      </c>
      <c r="I233" s="21">
        <f>100*(I99-I98)</f>
        <v/>
      </c>
      <c r="J233" s="21">
        <f>100*(J99-J98)</f>
        <v/>
      </c>
      <c r="K233" s="21">
        <f>100*(K99-K98)</f>
        <v/>
      </c>
      <c r="L233" s="21">
        <f>100*(L99-L98)</f>
        <v/>
      </c>
      <c r="M233" s="21">
        <f>100*(M99-M98)</f>
        <v/>
      </c>
      <c r="N233" s="21">
        <f>100*(N99-N98)</f>
        <v/>
      </c>
      <c r="O233" s="21">
        <f>100*(O99-O98)</f>
        <v/>
      </c>
      <c r="P233" s="21">
        <f>100*(P99-P98)</f>
        <v/>
      </c>
      <c r="Q233" s="21">
        <f>100*(Q99-Q98)</f>
        <v/>
      </c>
      <c r="R233" s="21">
        <f>100*(R99-R98)</f>
        <v/>
      </c>
      <c r="S233" s="21">
        <f>100*(S99-S98)</f>
        <v/>
      </c>
      <c r="T233" s="21">
        <f>100*(T99-T98)</f>
        <v/>
      </c>
      <c r="U233" s="21">
        <f>100*(U99-U98)</f>
        <v/>
      </c>
      <c r="V233" s="21">
        <f>100*(V99-V98)</f>
        <v/>
      </c>
      <c r="W233" s="21">
        <f>100*(W99-W98)</f>
        <v/>
      </c>
      <c r="X233" s="21">
        <f>100*(X99-X98)</f>
        <v/>
      </c>
      <c r="Y233" s="21">
        <f>100*(Y99-Y98)</f>
        <v/>
      </c>
      <c r="Z233" s="21">
        <f>100*(Z99-Z98)</f>
        <v/>
      </c>
      <c r="AA233" s="21">
        <f>100*(AA99-AA98)</f>
        <v/>
      </c>
      <c r="AB233" s="21">
        <f>100*(AB99-AB98)</f>
        <v/>
      </c>
      <c r="AC233" s="21">
        <f>100*(AC99-AC98)</f>
        <v/>
      </c>
      <c r="AD233" s="21">
        <f>100*(AD99-AD98)</f>
        <v/>
      </c>
      <c r="AE233" s="21">
        <f>100*(AE99-AE98)</f>
        <v/>
      </c>
      <c r="AF233" s="21">
        <f>100*(AF99-AF98)</f>
        <v/>
      </c>
      <c r="AG233" s="21">
        <f>100*(AG99-AG98)</f>
        <v/>
      </c>
      <c r="AH233" s="21">
        <f>100*(AH99-AH98)</f>
        <v/>
      </c>
      <c r="AI233" s="21">
        <f>100*(AI99-AI98)</f>
        <v/>
      </c>
      <c r="AJ233" s="21">
        <f>100*(AJ99-AJ98)</f>
        <v/>
      </c>
      <c r="AK233" s="21">
        <f>100*(AK99-AK98)</f>
        <v/>
      </c>
      <c r="AL233" s="21">
        <f>AVERAGE(C233:AK233)</f>
        <v/>
      </c>
    </row>
    <row r="234">
      <c r="A234" s="19">
        <f>A100</f>
        <v/>
      </c>
      <c r="B234" s="20">
        <f>B100</f>
        <v/>
      </c>
      <c r="C234" s="21">
        <f>100*(C100-C99)</f>
        <v/>
      </c>
      <c r="D234" s="21">
        <f>100*(D100-D99)</f>
        <v/>
      </c>
      <c r="E234" s="21">
        <f>100*(E100-E99)</f>
        <v/>
      </c>
      <c r="F234" s="21">
        <f>100*(F100-F99)</f>
        <v/>
      </c>
      <c r="G234" s="21">
        <f>100*(G100-G99)</f>
        <v/>
      </c>
      <c r="H234" s="21">
        <f>100*(H100-H99)</f>
        <v/>
      </c>
      <c r="I234" s="21">
        <f>100*(I100-I99)</f>
        <v/>
      </c>
      <c r="J234" s="21">
        <f>100*(J100-J99)</f>
        <v/>
      </c>
      <c r="K234" s="21">
        <f>100*(K100-K99)</f>
        <v/>
      </c>
      <c r="L234" s="21">
        <f>100*(L100-L99)</f>
        <v/>
      </c>
      <c r="M234" s="21">
        <f>100*(M100-M99)</f>
        <v/>
      </c>
      <c r="N234" s="21">
        <f>100*(N100-N99)</f>
        <v/>
      </c>
      <c r="O234" s="21">
        <f>100*(O100-O99)</f>
        <v/>
      </c>
      <c r="P234" s="21">
        <f>100*(P100-P99)</f>
        <v/>
      </c>
      <c r="Q234" s="21">
        <f>100*(Q100-Q99)</f>
        <v/>
      </c>
      <c r="R234" s="21">
        <f>100*(R100-R99)</f>
        <v/>
      </c>
      <c r="S234" s="21">
        <f>100*(S100-S99)</f>
        <v/>
      </c>
      <c r="T234" s="21">
        <f>100*(T100-T99)</f>
        <v/>
      </c>
      <c r="U234" s="21">
        <f>100*(U100-U99)</f>
        <v/>
      </c>
      <c r="V234" s="21">
        <f>100*(V100-V99)</f>
        <v/>
      </c>
      <c r="W234" s="21">
        <f>100*(W100-W99)</f>
        <v/>
      </c>
      <c r="X234" s="21">
        <f>100*(X100-X99)</f>
        <v/>
      </c>
      <c r="Y234" s="21">
        <f>100*(Y100-Y99)</f>
        <v/>
      </c>
      <c r="Z234" s="21">
        <f>100*(Z100-Z99)</f>
        <v/>
      </c>
      <c r="AA234" s="21">
        <f>100*(AA100-AA99)</f>
        <v/>
      </c>
      <c r="AB234" s="21">
        <f>100*(AB100-AB99)</f>
        <v/>
      </c>
      <c r="AC234" s="21">
        <f>100*(AC100-AC99)</f>
        <v/>
      </c>
      <c r="AD234" s="21">
        <f>100*(AD100-AD99)</f>
        <v/>
      </c>
      <c r="AE234" s="21">
        <f>100*(AE100-AE99)</f>
        <v/>
      </c>
      <c r="AF234" s="21">
        <f>100*(AF100-AF99)</f>
        <v/>
      </c>
      <c r="AG234" s="21">
        <f>100*(AG100-AG99)</f>
        <v/>
      </c>
      <c r="AH234" s="21">
        <f>100*(AH100-AH99)</f>
        <v/>
      </c>
      <c r="AI234" s="21">
        <f>100*(AI100-AI99)</f>
        <v/>
      </c>
      <c r="AJ234" s="21">
        <f>100*(AJ100-AJ99)</f>
        <v/>
      </c>
      <c r="AK234" s="21">
        <f>100*(AK100-AK99)</f>
        <v/>
      </c>
      <c r="AL234" s="21">
        <f>AVERAGE(C234:AK234)</f>
        <v/>
      </c>
    </row>
    <row r="235">
      <c r="A235" s="19">
        <f>A101</f>
        <v/>
      </c>
      <c r="B235" s="20">
        <f>B101</f>
        <v/>
      </c>
      <c r="C235" s="21">
        <f>100*(C101-C100)</f>
        <v/>
      </c>
      <c r="D235" s="21">
        <f>100*(D101-D100)</f>
        <v/>
      </c>
      <c r="E235" s="21">
        <f>100*(E101-E100)</f>
        <v/>
      </c>
      <c r="F235" s="21">
        <f>100*(F101-F100)</f>
        <v/>
      </c>
      <c r="G235" s="21">
        <f>100*(G101-G100)</f>
        <v/>
      </c>
      <c r="H235" s="21">
        <f>100*(H101-H100)</f>
        <v/>
      </c>
      <c r="I235" s="21">
        <f>100*(I101-I100)</f>
        <v/>
      </c>
      <c r="J235" s="21">
        <f>100*(J101-J100)</f>
        <v/>
      </c>
      <c r="K235" s="21">
        <f>100*(K101-K100)</f>
        <v/>
      </c>
      <c r="L235" s="21">
        <f>100*(L101-L100)</f>
        <v/>
      </c>
      <c r="M235" s="21">
        <f>100*(M101-M100)</f>
        <v/>
      </c>
      <c r="N235" s="21">
        <f>100*(N101-N100)</f>
        <v/>
      </c>
      <c r="O235" s="21">
        <f>100*(O101-O100)</f>
        <v/>
      </c>
      <c r="P235" s="21">
        <f>100*(P101-P100)</f>
        <v/>
      </c>
      <c r="Q235" s="21">
        <f>100*(Q101-Q100)</f>
        <v/>
      </c>
      <c r="R235" s="21">
        <f>100*(R101-R100)</f>
        <v/>
      </c>
      <c r="S235" s="21">
        <f>100*(S101-S100)</f>
        <v/>
      </c>
      <c r="T235" s="21">
        <f>100*(T101-T100)</f>
        <v/>
      </c>
      <c r="U235" s="21">
        <f>100*(U101-U100)</f>
        <v/>
      </c>
      <c r="V235" s="21">
        <f>100*(V101-V100)</f>
        <v/>
      </c>
      <c r="W235" s="21">
        <f>100*(W101-W100)</f>
        <v/>
      </c>
      <c r="X235" s="21">
        <f>100*(X101-X100)</f>
        <v/>
      </c>
      <c r="Y235" s="21">
        <f>100*(Y101-Y100)</f>
        <v/>
      </c>
      <c r="Z235" s="21">
        <f>100*(Z101-Z100)</f>
        <v/>
      </c>
      <c r="AA235" s="21">
        <f>100*(AA101-AA100)</f>
        <v/>
      </c>
      <c r="AB235" s="21">
        <f>100*(AB101-AB100)</f>
        <v/>
      </c>
      <c r="AC235" s="21">
        <f>100*(AC101-AC100)</f>
        <v/>
      </c>
      <c r="AD235" s="21">
        <f>100*(AD101-AD100)</f>
        <v/>
      </c>
      <c r="AE235" s="21">
        <f>100*(AE101-AE100)</f>
        <v/>
      </c>
      <c r="AF235" s="21">
        <f>100*(AF101-AF100)</f>
        <v/>
      </c>
      <c r="AG235" s="21">
        <f>100*(AG101-AG100)</f>
        <v/>
      </c>
      <c r="AH235" s="21">
        <f>100*(AH101-AH100)</f>
        <v/>
      </c>
      <c r="AI235" s="21">
        <f>100*(AI101-AI100)</f>
        <v/>
      </c>
      <c r="AJ235" s="21">
        <f>100*(AJ101-AJ100)</f>
        <v/>
      </c>
      <c r="AK235" s="21">
        <f>100*(AK101-AK100)</f>
        <v/>
      </c>
      <c r="AL235" s="21">
        <f>AVERAGE(C235:AK235)</f>
        <v/>
      </c>
    </row>
    <row r="236">
      <c r="A236" s="19">
        <f>A102</f>
        <v/>
      </c>
      <c r="B236" s="20">
        <f>B102</f>
        <v/>
      </c>
      <c r="C236" s="21">
        <f>100*(C102-C101)</f>
        <v/>
      </c>
      <c r="D236" s="21">
        <f>100*(D102-D101)</f>
        <v/>
      </c>
      <c r="E236" s="21">
        <f>100*(E102-E101)</f>
        <v/>
      </c>
      <c r="F236" s="21">
        <f>100*(F102-F101)</f>
        <v/>
      </c>
      <c r="G236" s="21">
        <f>100*(G102-G101)</f>
        <v/>
      </c>
      <c r="H236" s="21">
        <f>100*(H102-H101)</f>
        <v/>
      </c>
      <c r="I236" s="21">
        <f>100*(I102-I101)</f>
        <v/>
      </c>
      <c r="J236" s="21">
        <f>100*(J102-J101)</f>
        <v/>
      </c>
      <c r="K236" s="21">
        <f>100*(K102-K101)</f>
        <v/>
      </c>
      <c r="L236" s="21">
        <f>100*(L102-L101)</f>
        <v/>
      </c>
      <c r="M236" s="21">
        <f>100*(M102-M101)</f>
        <v/>
      </c>
      <c r="N236" s="21">
        <f>100*(N102-N101)</f>
        <v/>
      </c>
      <c r="O236" s="21">
        <f>100*(O102-O101)</f>
        <v/>
      </c>
      <c r="P236" s="21">
        <f>100*(P102-P101)</f>
        <v/>
      </c>
      <c r="Q236" s="21">
        <f>100*(Q102-Q101)</f>
        <v/>
      </c>
      <c r="R236" s="21">
        <f>100*(R102-R101)</f>
        <v/>
      </c>
      <c r="S236" s="21">
        <f>100*(S102-S101)</f>
        <v/>
      </c>
      <c r="T236" s="21">
        <f>100*(T102-T101)</f>
        <v/>
      </c>
      <c r="U236" s="21">
        <f>100*(U102-U101)</f>
        <v/>
      </c>
      <c r="V236" s="21">
        <f>100*(V102-V101)</f>
        <v/>
      </c>
      <c r="W236" s="21">
        <f>100*(W102-W101)</f>
        <v/>
      </c>
      <c r="X236" s="21">
        <f>100*(X102-X101)</f>
        <v/>
      </c>
      <c r="Y236" s="21">
        <f>100*(Y102-Y101)</f>
        <v/>
      </c>
      <c r="Z236" s="21">
        <f>100*(Z102-Z101)</f>
        <v/>
      </c>
      <c r="AA236" s="21">
        <f>100*(AA102-AA101)</f>
        <v/>
      </c>
      <c r="AB236" s="21">
        <f>100*(AB102-AB101)</f>
        <v/>
      </c>
      <c r="AC236" s="21">
        <f>100*(AC102-AC101)</f>
        <v/>
      </c>
      <c r="AD236" s="21">
        <f>100*(AD102-AD101)</f>
        <v/>
      </c>
      <c r="AE236" s="21">
        <f>100*(AE102-AE101)</f>
        <v/>
      </c>
      <c r="AF236" s="21">
        <f>100*(AF102-AF101)</f>
        <v/>
      </c>
      <c r="AG236" s="21">
        <f>100*(AG102-AG101)</f>
        <v/>
      </c>
      <c r="AH236" s="21">
        <f>100*(AH102-AH101)</f>
        <v/>
      </c>
      <c r="AI236" s="21">
        <f>100*(AI102-AI101)</f>
        <v/>
      </c>
      <c r="AJ236" s="21">
        <f>100*(AJ102-AJ101)</f>
        <v/>
      </c>
      <c r="AK236" s="21">
        <f>100*(AK102-AK101)</f>
        <v/>
      </c>
      <c r="AL236" s="21">
        <f>AVERAGE(C236:AK236)</f>
        <v/>
      </c>
    </row>
    <row r="237">
      <c r="A237" s="19">
        <f>A103</f>
        <v/>
      </c>
      <c r="B237" s="20">
        <f>B103</f>
        <v/>
      </c>
      <c r="C237" s="21">
        <f>100*(C103-C102)</f>
        <v/>
      </c>
      <c r="D237" s="21">
        <f>100*(D103-D102)</f>
        <v/>
      </c>
      <c r="E237" s="21">
        <f>100*(E103-E102)</f>
        <v/>
      </c>
      <c r="F237" s="21">
        <f>100*(F103-F102)</f>
        <v/>
      </c>
      <c r="G237" s="21">
        <f>100*(G103-G102)</f>
        <v/>
      </c>
      <c r="H237" s="21">
        <f>100*(H103-H102)</f>
        <v/>
      </c>
      <c r="I237" s="21">
        <f>100*(I103-I102)</f>
        <v/>
      </c>
      <c r="J237" s="21">
        <f>100*(J103-J102)</f>
        <v/>
      </c>
      <c r="K237" s="21">
        <f>100*(K103-K102)</f>
        <v/>
      </c>
      <c r="L237" s="21">
        <f>100*(L103-L102)</f>
        <v/>
      </c>
      <c r="M237" s="21">
        <f>100*(M103-M102)</f>
        <v/>
      </c>
      <c r="N237" s="21">
        <f>100*(N103-N102)</f>
        <v/>
      </c>
      <c r="O237" s="21">
        <f>100*(O103-O102)</f>
        <v/>
      </c>
      <c r="P237" s="21">
        <f>100*(P103-P102)</f>
        <v/>
      </c>
      <c r="Q237" s="21">
        <f>100*(Q103-Q102)</f>
        <v/>
      </c>
      <c r="R237" s="21">
        <f>100*(R103-R102)</f>
        <v/>
      </c>
      <c r="S237" s="21">
        <f>100*(S103-S102)</f>
        <v/>
      </c>
      <c r="T237" s="21">
        <f>100*(T103-T102)</f>
        <v/>
      </c>
      <c r="U237" s="21">
        <f>100*(U103-U102)</f>
        <v/>
      </c>
      <c r="V237" s="21">
        <f>100*(V103-V102)</f>
        <v/>
      </c>
      <c r="W237" s="21">
        <f>100*(W103-W102)</f>
        <v/>
      </c>
      <c r="X237" s="21">
        <f>100*(X103-X102)</f>
        <v/>
      </c>
      <c r="Y237" s="21">
        <f>100*(Y103-Y102)</f>
        <v/>
      </c>
      <c r="Z237" s="21">
        <f>100*(Z103-Z102)</f>
        <v/>
      </c>
      <c r="AA237" s="21">
        <f>100*(AA103-AA102)</f>
        <v/>
      </c>
      <c r="AB237" s="21">
        <f>100*(AB103-AB102)</f>
        <v/>
      </c>
      <c r="AC237" s="21">
        <f>100*(AC103-AC102)</f>
        <v/>
      </c>
      <c r="AD237" s="21">
        <f>100*(AD103-AD102)</f>
        <v/>
      </c>
      <c r="AE237" s="21">
        <f>100*(AE103-AE102)</f>
        <v/>
      </c>
      <c r="AF237" s="21">
        <f>100*(AF103-AF102)</f>
        <v/>
      </c>
      <c r="AG237" s="21">
        <f>100*(AG103-AG102)</f>
        <v/>
      </c>
      <c r="AH237" s="21">
        <f>100*(AH103-AH102)</f>
        <v/>
      </c>
      <c r="AI237" s="21">
        <f>100*(AI103-AI102)</f>
        <v/>
      </c>
      <c r="AJ237" s="21">
        <f>100*(AJ103-AJ102)</f>
        <v/>
      </c>
      <c r="AK237" s="21">
        <f>100*(AK103-AK102)</f>
        <v/>
      </c>
      <c r="AL237" s="21">
        <f>AVERAGE(C237:AK237)</f>
        <v/>
      </c>
    </row>
    <row r="238">
      <c r="A238" s="19">
        <f>A104</f>
        <v/>
      </c>
      <c r="B238" s="20">
        <f>B104</f>
        <v/>
      </c>
      <c r="C238" s="21">
        <f>100*(C104-C103)</f>
        <v/>
      </c>
      <c r="D238" s="21">
        <f>100*(D104-D103)</f>
        <v/>
      </c>
      <c r="E238" s="21">
        <f>100*(E104-E103)</f>
        <v/>
      </c>
      <c r="F238" s="21">
        <f>100*(F104-F103)</f>
        <v/>
      </c>
      <c r="G238" s="21">
        <f>100*(G104-G103)</f>
        <v/>
      </c>
      <c r="H238" s="21">
        <f>100*(H104-H103)</f>
        <v/>
      </c>
      <c r="I238" s="21">
        <f>100*(I104-I103)</f>
        <v/>
      </c>
      <c r="J238" s="21">
        <f>100*(J104-J103)</f>
        <v/>
      </c>
      <c r="K238" s="21">
        <f>100*(K104-K103)</f>
        <v/>
      </c>
      <c r="L238" s="21">
        <f>100*(L104-L103)</f>
        <v/>
      </c>
      <c r="M238" s="21">
        <f>100*(M104-M103)</f>
        <v/>
      </c>
      <c r="N238" s="21">
        <f>100*(N104-N103)</f>
        <v/>
      </c>
      <c r="O238" s="21">
        <f>100*(O104-O103)</f>
        <v/>
      </c>
      <c r="P238" s="21">
        <f>100*(P104-P103)</f>
        <v/>
      </c>
      <c r="Q238" s="21">
        <f>100*(Q104-Q103)</f>
        <v/>
      </c>
      <c r="R238" s="21">
        <f>100*(R104-R103)</f>
        <v/>
      </c>
      <c r="S238" s="21">
        <f>100*(S104-S103)</f>
        <v/>
      </c>
      <c r="T238" s="21">
        <f>100*(T104-T103)</f>
        <v/>
      </c>
      <c r="U238" s="21">
        <f>100*(U104-U103)</f>
        <v/>
      </c>
      <c r="V238" s="21">
        <f>100*(V104-V103)</f>
        <v/>
      </c>
      <c r="W238" s="21">
        <f>100*(W104-W103)</f>
        <v/>
      </c>
      <c r="X238" s="21">
        <f>100*(X104-X103)</f>
        <v/>
      </c>
      <c r="Y238" s="21">
        <f>100*(Y104-Y103)</f>
        <v/>
      </c>
      <c r="Z238" s="21">
        <f>100*(Z104-Z103)</f>
        <v/>
      </c>
      <c r="AA238" s="21">
        <f>100*(AA104-AA103)</f>
        <v/>
      </c>
      <c r="AB238" s="21">
        <f>100*(AB104-AB103)</f>
        <v/>
      </c>
      <c r="AC238" s="21">
        <f>100*(AC104-AC103)</f>
        <v/>
      </c>
      <c r="AD238" s="21">
        <f>100*(AD104-AD103)</f>
        <v/>
      </c>
      <c r="AE238" s="21">
        <f>100*(AE104-AE103)</f>
        <v/>
      </c>
      <c r="AF238" s="21">
        <f>100*(AF104-AF103)</f>
        <v/>
      </c>
      <c r="AG238" s="21">
        <f>100*(AG104-AG103)</f>
        <v/>
      </c>
      <c r="AH238" s="21">
        <f>100*(AH104-AH103)</f>
        <v/>
      </c>
      <c r="AI238" s="21">
        <f>100*(AI104-AI103)</f>
        <v/>
      </c>
      <c r="AJ238" s="21">
        <f>100*(AJ104-AJ103)</f>
        <v/>
      </c>
      <c r="AK238" s="21">
        <f>100*(AK104-AK103)</f>
        <v/>
      </c>
      <c r="AL238" s="21">
        <f>AVERAGE(C238:AK238)</f>
        <v/>
      </c>
    </row>
    <row r="239">
      <c r="A239" s="19">
        <f>A105</f>
        <v/>
      </c>
      <c r="B239" s="20">
        <f>B105</f>
        <v/>
      </c>
      <c r="C239" s="21">
        <f>100*(C105-C104)</f>
        <v/>
      </c>
      <c r="D239" s="21">
        <f>100*(D105-D104)</f>
        <v/>
      </c>
      <c r="E239" s="21">
        <f>100*(E105-E104)</f>
        <v/>
      </c>
      <c r="F239" s="21">
        <f>100*(F105-F104)</f>
        <v/>
      </c>
      <c r="G239" s="21">
        <f>100*(G105-G104)</f>
        <v/>
      </c>
      <c r="H239" s="21">
        <f>100*(H105-H104)</f>
        <v/>
      </c>
      <c r="I239" s="21">
        <f>100*(I105-I104)</f>
        <v/>
      </c>
      <c r="J239" s="21">
        <f>100*(J105-J104)</f>
        <v/>
      </c>
      <c r="K239" s="21">
        <f>100*(K105-K104)</f>
        <v/>
      </c>
      <c r="L239" s="21">
        <f>100*(L105-L104)</f>
        <v/>
      </c>
      <c r="M239" s="21">
        <f>100*(M105-M104)</f>
        <v/>
      </c>
      <c r="N239" s="21">
        <f>100*(N105-N104)</f>
        <v/>
      </c>
      <c r="O239" s="21">
        <f>100*(O105-O104)</f>
        <v/>
      </c>
      <c r="P239" s="21">
        <f>100*(P105-P104)</f>
        <v/>
      </c>
      <c r="Q239" s="21">
        <f>100*(Q105-Q104)</f>
        <v/>
      </c>
      <c r="R239" s="21">
        <f>100*(R105-R104)</f>
        <v/>
      </c>
      <c r="S239" s="21">
        <f>100*(S105-S104)</f>
        <v/>
      </c>
      <c r="T239" s="21">
        <f>100*(T105-T104)</f>
        <v/>
      </c>
      <c r="U239" s="21">
        <f>100*(U105-U104)</f>
        <v/>
      </c>
      <c r="V239" s="21">
        <f>100*(V105-V104)</f>
        <v/>
      </c>
      <c r="W239" s="21">
        <f>100*(W105-W104)</f>
        <v/>
      </c>
      <c r="X239" s="21">
        <f>100*(X105-X104)</f>
        <v/>
      </c>
      <c r="Y239" s="21">
        <f>100*(Y105-Y104)</f>
        <v/>
      </c>
      <c r="Z239" s="21">
        <f>100*(Z105-Z104)</f>
        <v/>
      </c>
      <c r="AA239" s="21">
        <f>100*(AA105-AA104)</f>
        <v/>
      </c>
      <c r="AB239" s="21">
        <f>100*(AB105-AB104)</f>
        <v/>
      </c>
      <c r="AC239" s="21">
        <f>100*(AC105-AC104)</f>
        <v/>
      </c>
      <c r="AD239" s="21">
        <f>100*(AD105-AD104)</f>
        <v/>
      </c>
      <c r="AE239" s="21">
        <f>100*(AE105-AE104)</f>
        <v/>
      </c>
      <c r="AF239" s="21">
        <f>100*(AF105-AF104)</f>
        <v/>
      </c>
      <c r="AG239" s="21">
        <f>100*(AG105-AG104)</f>
        <v/>
      </c>
      <c r="AH239" s="21">
        <f>100*(AH105-AH104)</f>
        <v/>
      </c>
      <c r="AI239" s="21">
        <f>100*(AI105-AI104)</f>
        <v/>
      </c>
      <c r="AJ239" s="21">
        <f>100*(AJ105-AJ104)</f>
        <v/>
      </c>
      <c r="AK239" s="21">
        <f>100*(AK105-AK104)</f>
        <v/>
      </c>
      <c r="AL239" s="21">
        <f>AVERAGE(C239:AK239)</f>
        <v/>
      </c>
    </row>
    <row r="240">
      <c r="A240" s="19">
        <f>A106</f>
        <v/>
      </c>
      <c r="B240" s="20">
        <f>B106</f>
        <v/>
      </c>
      <c r="C240" s="21">
        <f>100*(C106-C105)</f>
        <v/>
      </c>
      <c r="D240" s="21">
        <f>100*(D106-D105)</f>
        <v/>
      </c>
      <c r="E240" s="21">
        <f>100*(E106-E105)</f>
        <v/>
      </c>
      <c r="F240" s="21">
        <f>100*(F106-F105)</f>
        <v/>
      </c>
      <c r="G240" s="21">
        <f>100*(G106-G105)</f>
        <v/>
      </c>
      <c r="H240" s="21">
        <f>100*(H106-H105)</f>
        <v/>
      </c>
      <c r="I240" s="21">
        <f>100*(I106-I105)</f>
        <v/>
      </c>
      <c r="J240" s="21">
        <f>100*(J106-J105)</f>
        <v/>
      </c>
      <c r="K240" s="21">
        <f>100*(K106-K105)</f>
        <v/>
      </c>
      <c r="L240" s="21">
        <f>100*(L106-L105)</f>
        <v/>
      </c>
      <c r="M240" s="21">
        <f>100*(M106-M105)</f>
        <v/>
      </c>
      <c r="N240" s="21">
        <f>100*(N106-N105)</f>
        <v/>
      </c>
      <c r="O240" s="21">
        <f>100*(O106-O105)</f>
        <v/>
      </c>
      <c r="P240" s="21">
        <f>100*(P106-P105)</f>
        <v/>
      </c>
      <c r="Q240" s="21">
        <f>100*(Q106-Q105)</f>
        <v/>
      </c>
      <c r="R240" s="21">
        <f>100*(R106-R105)</f>
        <v/>
      </c>
      <c r="S240" s="21">
        <f>100*(S106-S105)</f>
        <v/>
      </c>
      <c r="T240" s="21">
        <f>100*(T106-T105)</f>
        <v/>
      </c>
      <c r="U240" s="21">
        <f>100*(U106-U105)</f>
        <v/>
      </c>
      <c r="V240" s="21">
        <f>100*(V106-V105)</f>
        <v/>
      </c>
      <c r="W240" s="21">
        <f>100*(W106-W105)</f>
        <v/>
      </c>
      <c r="X240" s="21">
        <f>100*(X106-X105)</f>
        <v/>
      </c>
      <c r="Y240" s="21">
        <f>100*(Y106-Y105)</f>
        <v/>
      </c>
      <c r="Z240" s="21">
        <f>100*(Z106-Z105)</f>
        <v/>
      </c>
      <c r="AA240" s="21">
        <f>100*(AA106-AA105)</f>
        <v/>
      </c>
      <c r="AB240" s="21">
        <f>100*(AB106-AB105)</f>
        <v/>
      </c>
      <c r="AC240" s="21">
        <f>100*(AC106-AC105)</f>
        <v/>
      </c>
      <c r="AD240" s="21">
        <f>100*(AD106-AD105)</f>
        <v/>
      </c>
      <c r="AE240" s="21">
        <f>100*(AE106-AE105)</f>
        <v/>
      </c>
      <c r="AF240" s="21">
        <f>100*(AF106-AF105)</f>
        <v/>
      </c>
      <c r="AG240" s="21">
        <f>100*(AG106-AG105)</f>
        <v/>
      </c>
      <c r="AH240" s="21">
        <f>100*(AH106-AH105)</f>
        <v/>
      </c>
      <c r="AI240" s="21">
        <f>100*(AI106-AI105)</f>
        <v/>
      </c>
      <c r="AJ240" s="21">
        <f>100*(AJ106-AJ105)</f>
        <v/>
      </c>
      <c r="AK240" s="21">
        <f>100*(AK106-AK105)</f>
        <v/>
      </c>
      <c r="AL240" s="21">
        <f>AVERAGE(C240:AK240)</f>
        <v/>
      </c>
    </row>
    <row r="241">
      <c r="A241" s="19">
        <f>A107</f>
        <v/>
      </c>
      <c r="B241" s="20">
        <f>B107</f>
        <v/>
      </c>
      <c r="C241" s="21">
        <f>100*(C107-C106)</f>
        <v/>
      </c>
      <c r="D241" s="21">
        <f>100*(D107-D106)</f>
        <v/>
      </c>
      <c r="E241" s="21">
        <f>100*(E107-E106)</f>
        <v/>
      </c>
      <c r="F241" s="21">
        <f>100*(F107-F106)</f>
        <v/>
      </c>
      <c r="G241" s="21">
        <f>100*(G107-G106)</f>
        <v/>
      </c>
      <c r="H241" s="21">
        <f>100*(H107-H106)</f>
        <v/>
      </c>
      <c r="I241" s="21">
        <f>100*(I107-I106)</f>
        <v/>
      </c>
      <c r="J241" s="21">
        <f>100*(J107-J106)</f>
        <v/>
      </c>
      <c r="K241" s="21">
        <f>100*(K107-K106)</f>
        <v/>
      </c>
      <c r="L241" s="21">
        <f>100*(L107-L106)</f>
        <v/>
      </c>
      <c r="M241" s="21">
        <f>100*(M107-M106)</f>
        <v/>
      </c>
      <c r="N241" s="21">
        <f>100*(N107-N106)</f>
        <v/>
      </c>
      <c r="O241" s="21">
        <f>100*(O107-O106)</f>
        <v/>
      </c>
      <c r="P241" s="21">
        <f>100*(P107-P106)</f>
        <v/>
      </c>
      <c r="Q241" s="21">
        <f>100*(Q107-Q106)</f>
        <v/>
      </c>
      <c r="R241" s="21">
        <f>100*(R107-R106)</f>
        <v/>
      </c>
      <c r="S241" s="21">
        <f>100*(S107-S106)</f>
        <v/>
      </c>
      <c r="T241" s="21">
        <f>100*(T107-T106)</f>
        <v/>
      </c>
      <c r="U241" s="21">
        <f>100*(U107-U106)</f>
        <v/>
      </c>
      <c r="V241" s="21">
        <f>100*(V107-V106)</f>
        <v/>
      </c>
      <c r="W241" s="21">
        <f>100*(W107-W106)</f>
        <v/>
      </c>
      <c r="X241" s="21">
        <f>100*(X107-X106)</f>
        <v/>
      </c>
      <c r="Y241" s="21">
        <f>100*(Y107-Y106)</f>
        <v/>
      </c>
      <c r="Z241" s="21">
        <f>100*(Z107-Z106)</f>
        <v/>
      </c>
      <c r="AA241" s="21">
        <f>100*(AA107-AA106)</f>
        <v/>
      </c>
      <c r="AB241" s="21">
        <f>100*(AB107-AB106)</f>
        <v/>
      </c>
      <c r="AC241" s="21">
        <f>100*(AC107-AC106)</f>
        <v/>
      </c>
      <c r="AD241" s="21">
        <f>100*(AD107-AD106)</f>
        <v/>
      </c>
      <c r="AE241" s="21">
        <f>100*(AE107-AE106)</f>
        <v/>
      </c>
      <c r="AF241" s="21">
        <f>100*(AF107-AF106)</f>
        <v/>
      </c>
      <c r="AG241" s="21">
        <f>100*(AG107-AG106)</f>
        <v/>
      </c>
      <c r="AH241" s="21">
        <f>100*(AH107-AH106)</f>
        <v/>
      </c>
      <c r="AI241" s="21">
        <f>100*(AI107-AI106)</f>
        <v/>
      </c>
      <c r="AJ241" s="21">
        <f>100*(AJ107-AJ106)</f>
        <v/>
      </c>
      <c r="AK241" s="21">
        <f>100*(AK107-AK106)</f>
        <v/>
      </c>
      <c r="AL241" s="21">
        <f>AVERAGE(C241:AK241)</f>
        <v/>
      </c>
    </row>
    <row r="242">
      <c r="A242" s="19">
        <f>A108</f>
        <v/>
      </c>
      <c r="B242" s="20">
        <f>B108</f>
        <v/>
      </c>
      <c r="C242" s="21">
        <f>100*(C108-C107)</f>
        <v/>
      </c>
      <c r="D242" s="21">
        <f>100*(D108-D107)</f>
        <v/>
      </c>
      <c r="E242" s="21">
        <f>100*(E108-E107)</f>
        <v/>
      </c>
      <c r="F242" s="21">
        <f>100*(F108-F107)</f>
        <v/>
      </c>
      <c r="G242" s="21">
        <f>100*(G108-G107)</f>
        <v/>
      </c>
      <c r="H242" s="21">
        <f>100*(H108-H107)</f>
        <v/>
      </c>
      <c r="I242" s="21">
        <f>100*(I108-I107)</f>
        <v/>
      </c>
      <c r="J242" s="21">
        <f>100*(J108-J107)</f>
        <v/>
      </c>
      <c r="K242" s="21">
        <f>100*(K108-K107)</f>
        <v/>
      </c>
      <c r="L242" s="21">
        <f>100*(L108-L107)</f>
        <v/>
      </c>
      <c r="M242" s="21">
        <f>100*(M108-M107)</f>
        <v/>
      </c>
      <c r="N242" s="21">
        <f>100*(N108-N107)</f>
        <v/>
      </c>
      <c r="O242" s="21">
        <f>100*(O108-O107)</f>
        <v/>
      </c>
      <c r="P242" s="21">
        <f>100*(P108-P107)</f>
        <v/>
      </c>
      <c r="Q242" s="21">
        <f>100*(Q108-Q107)</f>
        <v/>
      </c>
      <c r="R242" s="21">
        <f>100*(R108-R107)</f>
        <v/>
      </c>
      <c r="S242" s="21">
        <f>100*(S108-S107)</f>
        <v/>
      </c>
      <c r="T242" s="21">
        <f>100*(T108-T107)</f>
        <v/>
      </c>
      <c r="U242" s="21">
        <f>100*(U108-U107)</f>
        <v/>
      </c>
      <c r="V242" s="21">
        <f>100*(V108-V107)</f>
        <v/>
      </c>
      <c r="W242" s="21">
        <f>100*(W108-W107)</f>
        <v/>
      </c>
      <c r="X242" s="21">
        <f>100*(X108-X107)</f>
        <v/>
      </c>
      <c r="Y242" s="21">
        <f>100*(Y108-Y107)</f>
        <v/>
      </c>
      <c r="Z242" s="21">
        <f>100*(Z108-Z107)</f>
        <v/>
      </c>
      <c r="AA242" s="21">
        <f>100*(AA108-AA107)</f>
        <v/>
      </c>
      <c r="AB242" s="21">
        <f>100*(AB108-AB107)</f>
        <v/>
      </c>
      <c r="AC242" s="21">
        <f>100*(AC108-AC107)</f>
        <v/>
      </c>
      <c r="AD242" s="21">
        <f>100*(AD108-AD107)</f>
        <v/>
      </c>
      <c r="AE242" s="21">
        <f>100*(AE108-AE107)</f>
        <v/>
      </c>
      <c r="AF242" s="21">
        <f>100*(AF108-AF107)</f>
        <v/>
      </c>
      <c r="AG242" s="21">
        <f>100*(AG108-AG107)</f>
        <v/>
      </c>
      <c r="AH242" s="21">
        <f>100*(AH108-AH107)</f>
        <v/>
      </c>
      <c r="AI242" s="21">
        <f>100*(AI108-AI107)</f>
        <v/>
      </c>
      <c r="AJ242" s="21">
        <f>100*(AJ108-AJ107)</f>
        <v/>
      </c>
      <c r="AK242" s="21">
        <f>100*(AK108-AK107)</f>
        <v/>
      </c>
      <c r="AL242" s="21">
        <f>AVERAGE(C242:AK242)</f>
        <v/>
      </c>
    </row>
    <row r="243">
      <c r="A243" s="19">
        <f>A109</f>
        <v/>
      </c>
      <c r="B243" s="20">
        <f>B109</f>
        <v/>
      </c>
      <c r="C243" s="21">
        <f>100*(C109-C108)</f>
        <v/>
      </c>
      <c r="D243" s="21">
        <f>100*(D109-D108)</f>
        <v/>
      </c>
      <c r="E243" s="21">
        <f>100*(E109-E108)</f>
        <v/>
      </c>
      <c r="F243" s="21">
        <f>100*(F109-F108)</f>
        <v/>
      </c>
      <c r="G243" s="21">
        <f>100*(G109-G108)</f>
        <v/>
      </c>
      <c r="H243" s="21">
        <f>100*(H109-H108)</f>
        <v/>
      </c>
      <c r="I243" s="21">
        <f>100*(I109-I108)</f>
        <v/>
      </c>
      <c r="J243" s="21">
        <f>100*(J109-J108)</f>
        <v/>
      </c>
      <c r="K243" s="21">
        <f>100*(K109-K108)</f>
        <v/>
      </c>
      <c r="L243" s="21">
        <f>100*(L109-L108)</f>
        <v/>
      </c>
      <c r="M243" s="21">
        <f>100*(M109-M108)</f>
        <v/>
      </c>
      <c r="N243" s="21">
        <f>100*(N109-N108)</f>
        <v/>
      </c>
      <c r="O243" s="21">
        <f>100*(O109-O108)</f>
        <v/>
      </c>
      <c r="P243" s="21">
        <f>100*(P109-P108)</f>
        <v/>
      </c>
      <c r="Q243" s="21">
        <f>100*(Q109-Q108)</f>
        <v/>
      </c>
      <c r="R243" s="21">
        <f>100*(R109-R108)</f>
        <v/>
      </c>
      <c r="S243" s="21">
        <f>100*(S109-S108)</f>
        <v/>
      </c>
      <c r="T243" s="21">
        <f>100*(T109-T108)</f>
        <v/>
      </c>
      <c r="U243" s="21">
        <f>100*(U109-U108)</f>
        <v/>
      </c>
      <c r="V243" s="21">
        <f>100*(V109-V108)</f>
        <v/>
      </c>
      <c r="W243" s="21">
        <f>100*(W109-W108)</f>
        <v/>
      </c>
      <c r="X243" s="21">
        <f>100*(X109-X108)</f>
        <v/>
      </c>
      <c r="Y243" s="21">
        <f>100*(Y109-Y108)</f>
        <v/>
      </c>
      <c r="Z243" s="21">
        <f>100*(Z109-Z108)</f>
        <v/>
      </c>
      <c r="AA243" s="21">
        <f>100*(AA109-AA108)</f>
        <v/>
      </c>
      <c r="AB243" s="21">
        <f>100*(AB109-AB108)</f>
        <v/>
      </c>
      <c r="AC243" s="21">
        <f>100*(AC109-AC108)</f>
        <v/>
      </c>
      <c r="AD243" s="21">
        <f>100*(AD109-AD108)</f>
        <v/>
      </c>
      <c r="AE243" s="21">
        <f>100*(AE109-AE108)</f>
        <v/>
      </c>
      <c r="AF243" s="21">
        <f>100*(AF109-AF108)</f>
        <v/>
      </c>
      <c r="AG243" s="21">
        <f>100*(AG109-AG108)</f>
        <v/>
      </c>
      <c r="AH243" s="21">
        <f>100*(AH109-AH108)</f>
        <v/>
      </c>
      <c r="AI243" s="21">
        <f>100*(AI109-AI108)</f>
        <v/>
      </c>
      <c r="AJ243" s="21">
        <f>100*(AJ109-AJ108)</f>
        <v/>
      </c>
      <c r="AK243" s="21">
        <f>100*(AK109-AK108)</f>
        <v/>
      </c>
      <c r="AL243" s="21">
        <f>AVERAGE(C243:AK243)</f>
        <v/>
      </c>
    </row>
    <row r="244">
      <c r="A244" s="19">
        <f>A110</f>
        <v/>
      </c>
      <c r="B244" s="20">
        <f>B110</f>
        <v/>
      </c>
      <c r="C244" s="21">
        <f>100*(C110-C109)</f>
        <v/>
      </c>
      <c r="D244" s="21">
        <f>100*(D110-D109)</f>
        <v/>
      </c>
      <c r="E244" s="21">
        <f>100*(E110-E109)</f>
        <v/>
      </c>
      <c r="F244" s="21">
        <f>100*(F110-F109)</f>
        <v/>
      </c>
      <c r="G244" s="21">
        <f>100*(G110-G109)</f>
        <v/>
      </c>
      <c r="H244" s="21">
        <f>100*(H110-H109)</f>
        <v/>
      </c>
      <c r="I244" s="21">
        <f>100*(I110-I109)</f>
        <v/>
      </c>
      <c r="J244" s="21">
        <f>100*(J110-J109)</f>
        <v/>
      </c>
      <c r="K244" s="21">
        <f>100*(K110-K109)</f>
        <v/>
      </c>
      <c r="L244" s="21">
        <f>100*(L110-L109)</f>
        <v/>
      </c>
      <c r="M244" s="21">
        <f>100*(M110-M109)</f>
        <v/>
      </c>
      <c r="N244" s="21">
        <f>100*(N110-N109)</f>
        <v/>
      </c>
      <c r="O244" s="21">
        <f>100*(O110-O109)</f>
        <v/>
      </c>
      <c r="P244" s="21">
        <f>100*(P110-P109)</f>
        <v/>
      </c>
      <c r="Q244" s="21">
        <f>100*(Q110-Q109)</f>
        <v/>
      </c>
      <c r="R244" s="21">
        <f>100*(R110-R109)</f>
        <v/>
      </c>
      <c r="S244" s="21">
        <f>100*(S110-S109)</f>
        <v/>
      </c>
      <c r="T244" s="21">
        <f>100*(T110-T109)</f>
        <v/>
      </c>
      <c r="U244" s="21">
        <f>100*(U110-U109)</f>
        <v/>
      </c>
      <c r="V244" s="21">
        <f>100*(V110-V109)</f>
        <v/>
      </c>
      <c r="W244" s="21">
        <f>100*(W110-W109)</f>
        <v/>
      </c>
      <c r="X244" s="21">
        <f>100*(X110-X109)</f>
        <v/>
      </c>
      <c r="Y244" s="21">
        <f>100*(Y110-Y109)</f>
        <v/>
      </c>
      <c r="Z244" s="21">
        <f>100*(Z110-Z109)</f>
        <v/>
      </c>
      <c r="AA244" s="21">
        <f>100*(AA110-AA109)</f>
        <v/>
      </c>
      <c r="AB244" s="21">
        <f>100*(AB110-AB109)</f>
        <v/>
      </c>
      <c r="AC244" s="21">
        <f>100*(AC110-AC109)</f>
        <v/>
      </c>
      <c r="AD244" s="21">
        <f>100*(AD110-AD109)</f>
        <v/>
      </c>
      <c r="AE244" s="21">
        <f>100*(AE110-AE109)</f>
        <v/>
      </c>
      <c r="AF244" s="21">
        <f>100*(AF110-AF109)</f>
        <v/>
      </c>
      <c r="AG244" s="21">
        <f>100*(AG110-AG109)</f>
        <v/>
      </c>
      <c r="AH244" s="21">
        <f>100*(AH110-AH109)</f>
        <v/>
      </c>
      <c r="AI244" s="21">
        <f>100*(AI110-AI109)</f>
        <v/>
      </c>
      <c r="AJ244" s="21">
        <f>100*(AJ110-AJ109)</f>
        <v/>
      </c>
      <c r="AK244" s="21">
        <f>100*(AK110-AK109)</f>
        <v/>
      </c>
      <c r="AL244" s="21">
        <f>AVERAGE(C244:AK244)</f>
        <v/>
      </c>
    </row>
    <row r="245">
      <c r="A245" s="19">
        <f>A111</f>
        <v/>
      </c>
      <c r="B245" s="20">
        <f>B111</f>
        <v/>
      </c>
      <c r="C245" s="21">
        <f>100*(C111-C110)</f>
        <v/>
      </c>
      <c r="D245" s="21">
        <f>100*(D111-D110)</f>
        <v/>
      </c>
      <c r="E245" s="21">
        <f>100*(E111-E110)</f>
        <v/>
      </c>
      <c r="F245" s="21">
        <f>100*(F111-F110)</f>
        <v/>
      </c>
      <c r="G245" s="21">
        <f>100*(G111-G110)</f>
        <v/>
      </c>
      <c r="H245" s="21">
        <f>100*(H111-H110)</f>
        <v/>
      </c>
      <c r="I245" s="21">
        <f>100*(I111-I110)</f>
        <v/>
      </c>
      <c r="J245" s="21">
        <f>100*(J111-J110)</f>
        <v/>
      </c>
      <c r="K245" s="21">
        <f>100*(K111-K110)</f>
        <v/>
      </c>
      <c r="L245" s="21">
        <f>100*(L111-L110)</f>
        <v/>
      </c>
      <c r="M245" s="21">
        <f>100*(M111-M110)</f>
        <v/>
      </c>
      <c r="N245" s="21">
        <f>100*(N111-N110)</f>
        <v/>
      </c>
      <c r="O245" s="21">
        <f>100*(O111-O110)</f>
        <v/>
      </c>
      <c r="P245" s="21">
        <f>100*(P111-P110)</f>
        <v/>
      </c>
      <c r="Q245" s="21">
        <f>100*(Q111-Q110)</f>
        <v/>
      </c>
      <c r="R245" s="21">
        <f>100*(R111-R110)</f>
        <v/>
      </c>
      <c r="S245" s="21">
        <f>100*(S111-S110)</f>
        <v/>
      </c>
      <c r="T245" s="21">
        <f>100*(T111-T110)</f>
        <v/>
      </c>
      <c r="U245" s="21">
        <f>100*(U111-U110)</f>
        <v/>
      </c>
      <c r="V245" s="21">
        <f>100*(V111-V110)</f>
        <v/>
      </c>
      <c r="W245" s="21">
        <f>100*(W111-W110)</f>
        <v/>
      </c>
      <c r="X245" s="21">
        <f>100*(X111-X110)</f>
        <v/>
      </c>
      <c r="Y245" s="21">
        <f>100*(Y111-Y110)</f>
        <v/>
      </c>
      <c r="Z245" s="21">
        <f>100*(Z111-Z110)</f>
        <v/>
      </c>
      <c r="AA245" s="21">
        <f>100*(AA111-AA110)</f>
        <v/>
      </c>
      <c r="AB245" s="21">
        <f>100*(AB111-AB110)</f>
        <v/>
      </c>
      <c r="AC245" s="21">
        <f>100*(AC111-AC110)</f>
        <v/>
      </c>
      <c r="AD245" s="21">
        <f>100*(AD111-AD110)</f>
        <v/>
      </c>
      <c r="AE245" s="21">
        <f>100*(AE111-AE110)</f>
        <v/>
      </c>
      <c r="AF245" s="21">
        <f>100*(AF111-AF110)</f>
        <v/>
      </c>
      <c r="AG245" s="21">
        <f>100*(AG111-AG110)</f>
        <v/>
      </c>
      <c r="AH245" s="21">
        <f>100*(AH111-AH110)</f>
        <v/>
      </c>
      <c r="AI245" s="21">
        <f>100*(AI111-AI110)</f>
        <v/>
      </c>
      <c r="AJ245" s="21">
        <f>100*(AJ111-AJ110)</f>
        <v/>
      </c>
      <c r="AK245" s="21">
        <f>100*(AK111-AK110)</f>
        <v/>
      </c>
      <c r="AL245" s="21">
        <f>AVERAGE(C245:AK245)</f>
        <v/>
      </c>
    </row>
    <row r="246">
      <c r="A246" s="19">
        <f>A112</f>
        <v/>
      </c>
      <c r="B246" s="20">
        <f>B112</f>
        <v/>
      </c>
      <c r="C246" s="21">
        <f>100*(C112-C111)</f>
        <v/>
      </c>
      <c r="D246" s="21">
        <f>100*(D112-D111)</f>
        <v/>
      </c>
      <c r="E246" s="21">
        <f>100*(E112-E111)</f>
        <v/>
      </c>
      <c r="F246" s="21">
        <f>100*(F112-F111)</f>
        <v/>
      </c>
      <c r="G246" s="21">
        <f>100*(G112-G111)</f>
        <v/>
      </c>
      <c r="H246" s="21">
        <f>100*(H112-H111)</f>
        <v/>
      </c>
      <c r="I246" s="21">
        <f>100*(I112-I111)</f>
        <v/>
      </c>
      <c r="J246" s="21">
        <f>100*(J112-J111)</f>
        <v/>
      </c>
      <c r="K246" s="21">
        <f>100*(K112-K111)</f>
        <v/>
      </c>
      <c r="L246" s="21">
        <f>100*(L112-L111)</f>
        <v/>
      </c>
      <c r="M246" s="21">
        <f>100*(M112-M111)</f>
        <v/>
      </c>
      <c r="N246" s="21">
        <f>100*(N112-N111)</f>
        <v/>
      </c>
      <c r="O246" s="21">
        <f>100*(O112-O111)</f>
        <v/>
      </c>
      <c r="P246" s="21">
        <f>100*(P112-P111)</f>
        <v/>
      </c>
      <c r="Q246" s="21">
        <f>100*(Q112-Q111)</f>
        <v/>
      </c>
      <c r="R246" s="21">
        <f>100*(R112-R111)</f>
        <v/>
      </c>
      <c r="S246" s="21">
        <f>100*(S112-S111)</f>
        <v/>
      </c>
      <c r="T246" s="21">
        <f>100*(T112-T111)</f>
        <v/>
      </c>
      <c r="U246" s="21">
        <f>100*(U112-U111)</f>
        <v/>
      </c>
      <c r="V246" s="21">
        <f>100*(V112-V111)</f>
        <v/>
      </c>
      <c r="W246" s="21">
        <f>100*(W112-W111)</f>
        <v/>
      </c>
      <c r="X246" s="21">
        <f>100*(X112-X111)</f>
        <v/>
      </c>
      <c r="Y246" s="21">
        <f>100*(Y112-Y111)</f>
        <v/>
      </c>
      <c r="Z246" s="21">
        <f>100*(Z112-Z111)</f>
        <v/>
      </c>
      <c r="AA246" s="21">
        <f>100*(AA112-AA111)</f>
        <v/>
      </c>
      <c r="AB246" s="21">
        <f>100*(AB112-AB111)</f>
        <v/>
      </c>
      <c r="AC246" s="21">
        <f>100*(AC112-AC111)</f>
        <v/>
      </c>
      <c r="AD246" s="21">
        <f>100*(AD112-AD111)</f>
        <v/>
      </c>
      <c r="AE246" s="21">
        <f>100*(AE112-AE111)</f>
        <v/>
      </c>
      <c r="AF246" s="21">
        <f>100*(AF112-AF111)</f>
        <v/>
      </c>
      <c r="AG246" s="21">
        <f>100*(AG112-AG111)</f>
        <v/>
      </c>
      <c r="AH246" s="21">
        <f>100*(AH112-AH111)</f>
        <v/>
      </c>
      <c r="AI246" s="21">
        <f>100*(AI112-AI111)</f>
        <v/>
      </c>
      <c r="AJ246" s="21">
        <f>100*(AJ112-AJ111)</f>
        <v/>
      </c>
      <c r="AK246" s="21">
        <f>100*(AK112-AK111)</f>
        <v/>
      </c>
      <c r="AL246" s="21">
        <f>AVERAGE(C246:AK246)</f>
        <v/>
      </c>
    </row>
    <row r="247">
      <c r="A247" s="19">
        <f>A113</f>
        <v/>
      </c>
      <c r="B247" s="20">
        <f>B113</f>
        <v/>
      </c>
      <c r="C247" s="21">
        <f>100*(C113-C112)</f>
        <v/>
      </c>
      <c r="D247" s="21">
        <f>100*(D113-D112)</f>
        <v/>
      </c>
      <c r="E247" s="21">
        <f>100*(E113-E112)</f>
        <v/>
      </c>
      <c r="F247" s="21">
        <f>100*(F113-F112)</f>
        <v/>
      </c>
      <c r="G247" s="21">
        <f>100*(G113-G112)</f>
        <v/>
      </c>
      <c r="H247" s="21">
        <f>100*(H113-H112)</f>
        <v/>
      </c>
      <c r="I247" s="21">
        <f>100*(I113-I112)</f>
        <v/>
      </c>
      <c r="J247" s="21">
        <f>100*(J113-J112)</f>
        <v/>
      </c>
      <c r="K247" s="21">
        <f>100*(K113-K112)</f>
        <v/>
      </c>
      <c r="L247" s="21">
        <f>100*(L113-L112)</f>
        <v/>
      </c>
      <c r="M247" s="21">
        <f>100*(M113-M112)</f>
        <v/>
      </c>
      <c r="N247" s="21">
        <f>100*(N113-N112)</f>
        <v/>
      </c>
      <c r="O247" s="21">
        <f>100*(O113-O112)</f>
        <v/>
      </c>
      <c r="P247" s="21">
        <f>100*(P113-P112)</f>
        <v/>
      </c>
      <c r="Q247" s="21">
        <f>100*(Q113-Q112)</f>
        <v/>
      </c>
      <c r="R247" s="21">
        <f>100*(R113-R112)</f>
        <v/>
      </c>
      <c r="S247" s="21">
        <f>100*(S113-S112)</f>
        <v/>
      </c>
      <c r="T247" s="21">
        <f>100*(T113-T112)</f>
        <v/>
      </c>
      <c r="U247" s="21">
        <f>100*(U113-U112)</f>
        <v/>
      </c>
      <c r="V247" s="21">
        <f>100*(V113-V112)</f>
        <v/>
      </c>
      <c r="W247" s="21">
        <f>100*(W113-W112)</f>
        <v/>
      </c>
      <c r="X247" s="21">
        <f>100*(X113-X112)</f>
        <v/>
      </c>
      <c r="Y247" s="21">
        <f>100*(Y113-Y112)</f>
        <v/>
      </c>
      <c r="Z247" s="21">
        <f>100*(Z113-Z112)</f>
        <v/>
      </c>
      <c r="AA247" s="21">
        <f>100*(AA113-AA112)</f>
        <v/>
      </c>
      <c r="AB247" s="21">
        <f>100*(AB113-AB112)</f>
        <v/>
      </c>
      <c r="AC247" s="21">
        <f>100*(AC113-AC112)</f>
        <v/>
      </c>
      <c r="AD247" s="21">
        <f>100*(AD113-AD112)</f>
        <v/>
      </c>
      <c r="AE247" s="21">
        <f>100*(AE113-AE112)</f>
        <v/>
      </c>
      <c r="AF247" s="21">
        <f>100*(AF113-AF112)</f>
        <v/>
      </c>
      <c r="AG247" s="21">
        <f>100*(AG113-AG112)</f>
        <v/>
      </c>
      <c r="AH247" s="21">
        <f>100*(AH113-AH112)</f>
        <v/>
      </c>
      <c r="AI247" s="21">
        <f>100*(AI113-AI112)</f>
        <v/>
      </c>
      <c r="AJ247" s="21">
        <f>100*(AJ113-AJ112)</f>
        <v/>
      </c>
      <c r="AK247" s="21">
        <f>100*(AK113-AK112)</f>
        <v/>
      </c>
      <c r="AL247" s="21">
        <f>AVERAGE(C247:AK247)</f>
        <v/>
      </c>
    </row>
    <row r="248">
      <c r="A248" s="19">
        <f>A114</f>
        <v/>
      </c>
      <c r="B248" s="20">
        <f>B114</f>
        <v/>
      </c>
      <c r="C248" s="21">
        <f>100*(C114-C113)</f>
        <v/>
      </c>
      <c r="D248" s="21">
        <f>100*(D114-D113)</f>
        <v/>
      </c>
      <c r="E248" s="21">
        <f>100*(E114-E113)</f>
        <v/>
      </c>
      <c r="F248" s="21">
        <f>100*(F114-F113)</f>
        <v/>
      </c>
      <c r="G248" s="21">
        <f>100*(G114-G113)</f>
        <v/>
      </c>
      <c r="H248" s="21">
        <f>100*(H114-H113)</f>
        <v/>
      </c>
      <c r="I248" s="21">
        <f>100*(I114-I113)</f>
        <v/>
      </c>
      <c r="J248" s="21">
        <f>100*(J114-J113)</f>
        <v/>
      </c>
      <c r="K248" s="21">
        <f>100*(K114-K113)</f>
        <v/>
      </c>
      <c r="L248" s="21">
        <f>100*(L114-L113)</f>
        <v/>
      </c>
      <c r="M248" s="21">
        <f>100*(M114-M113)</f>
        <v/>
      </c>
      <c r="N248" s="21">
        <f>100*(N114-N113)</f>
        <v/>
      </c>
      <c r="O248" s="21">
        <f>100*(O114-O113)</f>
        <v/>
      </c>
      <c r="P248" s="21">
        <f>100*(P114-P113)</f>
        <v/>
      </c>
      <c r="Q248" s="21">
        <f>100*(Q114-Q113)</f>
        <v/>
      </c>
      <c r="R248" s="21">
        <f>100*(R114-R113)</f>
        <v/>
      </c>
      <c r="S248" s="21">
        <f>100*(S114-S113)</f>
        <v/>
      </c>
      <c r="T248" s="21">
        <f>100*(T114-T113)</f>
        <v/>
      </c>
      <c r="U248" s="21">
        <f>100*(U114-U113)</f>
        <v/>
      </c>
      <c r="V248" s="21">
        <f>100*(V114-V113)</f>
        <v/>
      </c>
      <c r="W248" s="21">
        <f>100*(W114-W113)</f>
        <v/>
      </c>
      <c r="X248" s="21">
        <f>100*(X114-X113)</f>
        <v/>
      </c>
      <c r="Y248" s="21">
        <f>100*(Y114-Y113)</f>
        <v/>
      </c>
      <c r="Z248" s="21">
        <f>100*(Z114-Z113)</f>
        <v/>
      </c>
      <c r="AA248" s="21">
        <f>100*(AA114-AA113)</f>
        <v/>
      </c>
      <c r="AB248" s="21">
        <f>100*(AB114-AB113)</f>
        <v/>
      </c>
      <c r="AC248" s="21">
        <f>100*(AC114-AC113)</f>
        <v/>
      </c>
      <c r="AD248" s="21">
        <f>100*(AD114-AD113)</f>
        <v/>
      </c>
      <c r="AE248" s="21">
        <f>100*(AE114-AE113)</f>
        <v/>
      </c>
      <c r="AF248" s="21">
        <f>100*(AF114-AF113)</f>
        <v/>
      </c>
      <c r="AG248" s="21">
        <f>100*(AG114-AG113)</f>
        <v/>
      </c>
      <c r="AH248" s="21">
        <f>100*(AH114-AH113)</f>
        <v/>
      </c>
      <c r="AI248" s="21">
        <f>100*(AI114-AI113)</f>
        <v/>
      </c>
      <c r="AJ248" s="21">
        <f>100*(AJ114-AJ113)</f>
        <v/>
      </c>
      <c r="AK248" s="21">
        <f>100*(AK114-AK113)</f>
        <v/>
      </c>
      <c r="AL248" s="21">
        <f>AVERAGE(C248:AK248)</f>
        <v/>
      </c>
    </row>
    <row r="249">
      <c r="A249" s="19">
        <f>A115</f>
        <v/>
      </c>
      <c r="B249" s="20">
        <f>B115</f>
        <v/>
      </c>
      <c r="C249" s="21">
        <f>100*(C115-C114)</f>
        <v/>
      </c>
      <c r="D249" s="21">
        <f>100*(D115-D114)</f>
        <v/>
      </c>
      <c r="E249" s="21">
        <f>100*(E115-E114)</f>
        <v/>
      </c>
      <c r="F249" s="21">
        <f>100*(F115-F114)</f>
        <v/>
      </c>
      <c r="G249" s="21">
        <f>100*(G115-G114)</f>
        <v/>
      </c>
      <c r="H249" s="21">
        <f>100*(H115-H114)</f>
        <v/>
      </c>
      <c r="I249" s="21">
        <f>100*(I115-I114)</f>
        <v/>
      </c>
      <c r="J249" s="21">
        <f>100*(J115-J114)</f>
        <v/>
      </c>
      <c r="K249" s="21">
        <f>100*(K115-K114)</f>
        <v/>
      </c>
      <c r="L249" s="21">
        <f>100*(L115-L114)</f>
        <v/>
      </c>
      <c r="M249" s="21">
        <f>100*(M115-M114)</f>
        <v/>
      </c>
      <c r="N249" s="21">
        <f>100*(N115-N114)</f>
        <v/>
      </c>
      <c r="O249" s="21">
        <f>100*(O115-O114)</f>
        <v/>
      </c>
      <c r="P249" s="21">
        <f>100*(P115-P114)</f>
        <v/>
      </c>
      <c r="Q249" s="21">
        <f>100*(Q115-Q114)</f>
        <v/>
      </c>
      <c r="R249" s="21">
        <f>100*(R115-R114)</f>
        <v/>
      </c>
      <c r="S249" s="21">
        <f>100*(S115-S114)</f>
        <v/>
      </c>
      <c r="T249" s="21">
        <f>100*(T115-T114)</f>
        <v/>
      </c>
      <c r="U249" s="21">
        <f>100*(U115-U114)</f>
        <v/>
      </c>
      <c r="V249" s="21">
        <f>100*(V115-V114)</f>
        <v/>
      </c>
      <c r="W249" s="21">
        <f>100*(W115-W114)</f>
        <v/>
      </c>
      <c r="X249" s="21">
        <f>100*(X115-X114)</f>
        <v/>
      </c>
      <c r="Y249" s="21">
        <f>100*(Y115-Y114)</f>
        <v/>
      </c>
      <c r="Z249" s="21">
        <f>100*(Z115-Z114)</f>
        <v/>
      </c>
      <c r="AA249" s="21">
        <f>100*(AA115-AA114)</f>
        <v/>
      </c>
      <c r="AB249" s="21">
        <f>100*(AB115-AB114)</f>
        <v/>
      </c>
      <c r="AC249" s="21">
        <f>100*(AC115-AC114)</f>
        <v/>
      </c>
      <c r="AD249" s="21">
        <f>100*(AD115-AD114)</f>
        <v/>
      </c>
      <c r="AE249" s="21">
        <f>100*(AE115-AE114)</f>
        <v/>
      </c>
      <c r="AF249" s="21">
        <f>100*(AF115-AF114)</f>
        <v/>
      </c>
      <c r="AG249" s="21">
        <f>100*(AG115-AG114)</f>
        <v/>
      </c>
      <c r="AH249" s="21">
        <f>100*(AH115-AH114)</f>
        <v/>
      </c>
      <c r="AI249" s="21">
        <f>100*(AI115-AI114)</f>
        <v/>
      </c>
      <c r="AJ249" s="21">
        <f>100*(AJ115-AJ114)</f>
        <v/>
      </c>
      <c r="AK249" s="21">
        <f>100*(AK115-AK114)</f>
        <v/>
      </c>
      <c r="AL249" s="21">
        <f>AVERAGE(C249:AK249)</f>
        <v/>
      </c>
    </row>
    <row r="250">
      <c r="A250" s="19">
        <f>A116</f>
        <v/>
      </c>
      <c r="B250" s="20">
        <f>B116</f>
        <v/>
      </c>
      <c r="C250" s="21">
        <f>100*(C116-C115)</f>
        <v/>
      </c>
      <c r="D250" s="21">
        <f>100*(D116-D115)</f>
        <v/>
      </c>
      <c r="E250" s="21">
        <f>100*(E116-E115)</f>
        <v/>
      </c>
      <c r="F250" s="21">
        <f>100*(F116-F115)</f>
        <v/>
      </c>
      <c r="G250" s="21">
        <f>100*(G116-G115)</f>
        <v/>
      </c>
      <c r="H250" s="21">
        <f>100*(H116-H115)</f>
        <v/>
      </c>
      <c r="I250" s="21">
        <f>100*(I116-I115)</f>
        <v/>
      </c>
      <c r="J250" s="21">
        <f>100*(J116-J115)</f>
        <v/>
      </c>
      <c r="K250" s="21">
        <f>100*(K116-K115)</f>
        <v/>
      </c>
      <c r="L250" s="21">
        <f>100*(L116-L115)</f>
        <v/>
      </c>
      <c r="M250" s="21">
        <f>100*(M116-M115)</f>
        <v/>
      </c>
      <c r="N250" s="21">
        <f>100*(N116-N115)</f>
        <v/>
      </c>
      <c r="O250" s="21">
        <f>100*(O116-O115)</f>
        <v/>
      </c>
      <c r="P250" s="21">
        <f>100*(P116-P115)</f>
        <v/>
      </c>
      <c r="Q250" s="21">
        <f>100*(Q116-Q115)</f>
        <v/>
      </c>
      <c r="R250" s="21">
        <f>100*(R116-R115)</f>
        <v/>
      </c>
      <c r="S250" s="21">
        <f>100*(S116-S115)</f>
        <v/>
      </c>
      <c r="T250" s="21">
        <f>100*(T116-T115)</f>
        <v/>
      </c>
      <c r="U250" s="21">
        <f>100*(U116-U115)</f>
        <v/>
      </c>
      <c r="V250" s="21">
        <f>100*(V116-V115)</f>
        <v/>
      </c>
      <c r="W250" s="21">
        <f>100*(W116-W115)</f>
        <v/>
      </c>
      <c r="X250" s="21">
        <f>100*(X116-X115)</f>
        <v/>
      </c>
      <c r="Y250" s="21">
        <f>100*(Y116-Y115)</f>
        <v/>
      </c>
      <c r="Z250" s="21">
        <f>100*(Z116-Z115)</f>
        <v/>
      </c>
      <c r="AA250" s="21">
        <f>100*(AA116-AA115)</f>
        <v/>
      </c>
      <c r="AB250" s="21">
        <f>100*(AB116-AB115)</f>
        <v/>
      </c>
      <c r="AC250" s="21">
        <f>100*(AC116-AC115)</f>
        <v/>
      </c>
      <c r="AD250" s="21">
        <f>100*(AD116-AD115)</f>
        <v/>
      </c>
      <c r="AE250" s="21">
        <f>100*(AE116-AE115)</f>
        <v/>
      </c>
      <c r="AF250" s="21">
        <f>100*(AF116-AF115)</f>
        <v/>
      </c>
      <c r="AG250" s="21">
        <f>100*(AG116-AG115)</f>
        <v/>
      </c>
      <c r="AH250" s="21">
        <f>100*(AH116-AH115)</f>
        <v/>
      </c>
      <c r="AI250" s="21">
        <f>100*(AI116-AI115)</f>
        <v/>
      </c>
      <c r="AJ250" s="21">
        <f>100*(AJ116-AJ115)</f>
        <v/>
      </c>
      <c r="AK250" s="21">
        <f>100*(AK116-AK115)</f>
        <v/>
      </c>
      <c r="AL250" s="21">
        <f>AVERAGE(C250:AK250)</f>
        <v/>
      </c>
    </row>
    <row r="251">
      <c r="A251" s="19">
        <f>A117</f>
        <v/>
      </c>
      <c r="B251" s="20">
        <f>B117</f>
        <v/>
      </c>
      <c r="C251" s="21">
        <f>100*(C117-C116)</f>
        <v/>
      </c>
      <c r="D251" s="21">
        <f>100*(D117-D116)</f>
        <v/>
      </c>
      <c r="E251" s="21">
        <f>100*(E117-E116)</f>
        <v/>
      </c>
      <c r="F251" s="21">
        <f>100*(F117-F116)</f>
        <v/>
      </c>
      <c r="G251" s="21">
        <f>100*(G117-G116)</f>
        <v/>
      </c>
      <c r="H251" s="21">
        <f>100*(H117-H116)</f>
        <v/>
      </c>
      <c r="I251" s="21">
        <f>100*(I117-I116)</f>
        <v/>
      </c>
      <c r="J251" s="21">
        <f>100*(J117-J116)</f>
        <v/>
      </c>
      <c r="K251" s="21">
        <f>100*(K117-K116)</f>
        <v/>
      </c>
      <c r="L251" s="21">
        <f>100*(L117-L116)</f>
        <v/>
      </c>
      <c r="M251" s="21">
        <f>100*(M117-M116)</f>
        <v/>
      </c>
      <c r="N251" s="21">
        <f>100*(N117-N116)</f>
        <v/>
      </c>
      <c r="O251" s="21">
        <f>100*(O117-O116)</f>
        <v/>
      </c>
      <c r="P251" s="21">
        <f>100*(P117-P116)</f>
        <v/>
      </c>
      <c r="Q251" s="21">
        <f>100*(Q117-Q116)</f>
        <v/>
      </c>
      <c r="R251" s="21">
        <f>100*(R117-R116)</f>
        <v/>
      </c>
      <c r="S251" s="21">
        <f>100*(S117-S116)</f>
        <v/>
      </c>
      <c r="T251" s="21">
        <f>100*(T117-T116)</f>
        <v/>
      </c>
      <c r="U251" s="21">
        <f>100*(U117-U116)</f>
        <v/>
      </c>
      <c r="V251" s="21">
        <f>100*(V117-V116)</f>
        <v/>
      </c>
      <c r="W251" s="21">
        <f>100*(W117-W116)</f>
        <v/>
      </c>
      <c r="X251" s="21">
        <f>100*(X117-X116)</f>
        <v/>
      </c>
      <c r="Y251" s="21">
        <f>100*(Y117-Y116)</f>
        <v/>
      </c>
      <c r="Z251" s="21">
        <f>100*(Z117-Z116)</f>
        <v/>
      </c>
      <c r="AA251" s="21">
        <f>100*(AA117-AA116)</f>
        <v/>
      </c>
      <c r="AB251" s="21">
        <f>100*(AB117-AB116)</f>
        <v/>
      </c>
      <c r="AC251" s="21">
        <f>100*(AC117-AC116)</f>
        <v/>
      </c>
      <c r="AD251" s="21">
        <f>100*(AD117-AD116)</f>
        <v/>
      </c>
      <c r="AE251" s="21">
        <f>100*(AE117-AE116)</f>
        <v/>
      </c>
      <c r="AF251" s="21">
        <f>100*(AF117-AF116)</f>
        <v/>
      </c>
      <c r="AG251" s="21">
        <f>100*(AG117-AG116)</f>
        <v/>
      </c>
      <c r="AH251" s="21">
        <f>100*(AH117-AH116)</f>
        <v/>
      </c>
      <c r="AI251" s="21">
        <f>100*(AI117-AI116)</f>
        <v/>
      </c>
      <c r="AJ251" s="21">
        <f>100*(AJ117-AJ116)</f>
        <v/>
      </c>
      <c r="AK251" s="21">
        <f>100*(AK117-AK116)</f>
        <v/>
      </c>
      <c r="AL251" s="21">
        <f>AVERAGE(C251:AK251)</f>
        <v/>
      </c>
    </row>
    <row r="252">
      <c r="A252" s="19">
        <f>A118</f>
        <v/>
      </c>
      <c r="B252" s="20">
        <f>B118</f>
        <v/>
      </c>
      <c r="C252" s="21">
        <f>100*(C118-C117)</f>
        <v/>
      </c>
      <c r="D252" s="21">
        <f>100*(D118-D117)</f>
        <v/>
      </c>
      <c r="E252" s="21">
        <f>100*(E118-E117)</f>
        <v/>
      </c>
      <c r="F252" s="21">
        <f>100*(F118-F117)</f>
        <v/>
      </c>
      <c r="G252" s="21">
        <f>100*(G118-G117)</f>
        <v/>
      </c>
      <c r="H252" s="21">
        <f>100*(H118-H117)</f>
        <v/>
      </c>
      <c r="I252" s="21">
        <f>100*(I118-I117)</f>
        <v/>
      </c>
      <c r="J252" s="21">
        <f>100*(J118-J117)</f>
        <v/>
      </c>
      <c r="K252" s="21">
        <f>100*(K118-K117)</f>
        <v/>
      </c>
      <c r="L252" s="21">
        <f>100*(L118-L117)</f>
        <v/>
      </c>
      <c r="M252" s="21">
        <f>100*(M118-M117)</f>
        <v/>
      </c>
      <c r="N252" s="21">
        <f>100*(N118-N117)</f>
        <v/>
      </c>
      <c r="O252" s="21">
        <f>100*(O118-O117)</f>
        <v/>
      </c>
      <c r="P252" s="21">
        <f>100*(P118-P117)</f>
        <v/>
      </c>
      <c r="Q252" s="21">
        <f>100*(Q118-Q117)</f>
        <v/>
      </c>
      <c r="R252" s="21">
        <f>100*(R118-R117)</f>
        <v/>
      </c>
      <c r="S252" s="21">
        <f>100*(S118-S117)</f>
        <v/>
      </c>
      <c r="T252" s="21">
        <f>100*(T118-T117)</f>
        <v/>
      </c>
      <c r="U252" s="21">
        <f>100*(U118-U117)</f>
        <v/>
      </c>
      <c r="V252" s="21">
        <f>100*(V118-V117)</f>
        <v/>
      </c>
      <c r="W252" s="21">
        <f>100*(W118-W117)</f>
        <v/>
      </c>
      <c r="X252" s="21">
        <f>100*(X118-X117)</f>
        <v/>
      </c>
      <c r="Y252" s="21">
        <f>100*(Y118-Y117)</f>
        <v/>
      </c>
      <c r="Z252" s="21">
        <f>100*(Z118-Z117)</f>
        <v/>
      </c>
      <c r="AA252" s="21">
        <f>100*(AA118-AA117)</f>
        <v/>
      </c>
      <c r="AB252" s="21">
        <f>100*(AB118-AB117)</f>
        <v/>
      </c>
      <c r="AC252" s="21">
        <f>100*(AC118-AC117)</f>
        <v/>
      </c>
      <c r="AD252" s="21">
        <f>100*(AD118-AD117)</f>
        <v/>
      </c>
      <c r="AE252" s="21">
        <f>100*(AE118-AE117)</f>
        <v/>
      </c>
      <c r="AF252" s="21">
        <f>100*(AF118-AF117)</f>
        <v/>
      </c>
      <c r="AG252" s="21">
        <f>100*(AG118-AG117)</f>
        <v/>
      </c>
      <c r="AH252" s="21">
        <f>100*(AH118-AH117)</f>
        <v/>
      </c>
      <c r="AI252" s="21">
        <f>100*(AI118-AI117)</f>
        <v/>
      </c>
      <c r="AJ252" s="21">
        <f>100*(AJ118-AJ117)</f>
        <v/>
      </c>
      <c r="AK252" s="21">
        <f>100*(AK118-AK117)</f>
        <v/>
      </c>
      <c r="AL252" s="21">
        <f>AVERAGE(C252:AK252)</f>
        <v/>
      </c>
    </row>
    <row r="253">
      <c r="A253" s="19">
        <f>A119</f>
        <v/>
      </c>
      <c r="B253" s="20">
        <f>B119</f>
        <v/>
      </c>
      <c r="C253" s="21">
        <f>100*(C119-C118)</f>
        <v/>
      </c>
      <c r="D253" s="21">
        <f>100*(D119-D118)</f>
        <v/>
      </c>
      <c r="E253" s="21">
        <f>100*(E119-E118)</f>
        <v/>
      </c>
      <c r="F253" s="21">
        <f>100*(F119-F118)</f>
        <v/>
      </c>
      <c r="G253" s="21">
        <f>100*(G119-G118)</f>
        <v/>
      </c>
      <c r="H253" s="21">
        <f>100*(H119-H118)</f>
        <v/>
      </c>
      <c r="I253" s="21">
        <f>100*(I119-I118)</f>
        <v/>
      </c>
      <c r="J253" s="21">
        <f>100*(J119-J118)</f>
        <v/>
      </c>
      <c r="K253" s="21">
        <f>100*(K119-K118)</f>
        <v/>
      </c>
      <c r="L253" s="21">
        <f>100*(L119-L118)</f>
        <v/>
      </c>
      <c r="M253" s="21">
        <f>100*(M119-M118)</f>
        <v/>
      </c>
      <c r="N253" s="21">
        <f>100*(N119-N118)</f>
        <v/>
      </c>
      <c r="O253" s="21">
        <f>100*(O119-O118)</f>
        <v/>
      </c>
      <c r="P253" s="21">
        <f>100*(P119-P118)</f>
        <v/>
      </c>
      <c r="Q253" s="21">
        <f>100*(Q119-Q118)</f>
        <v/>
      </c>
      <c r="R253" s="21">
        <f>100*(R119-R118)</f>
        <v/>
      </c>
      <c r="S253" s="21">
        <f>100*(S119-S118)</f>
        <v/>
      </c>
      <c r="T253" s="21">
        <f>100*(T119-T118)</f>
        <v/>
      </c>
      <c r="U253" s="21">
        <f>100*(U119-U118)</f>
        <v/>
      </c>
      <c r="V253" s="21">
        <f>100*(V119-V118)</f>
        <v/>
      </c>
      <c r="W253" s="21">
        <f>100*(W119-W118)</f>
        <v/>
      </c>
      <c r="X253" s="21">
        <f>100*(X119-X118)</f>
        <v/>
      </c>
      <c r="Y253" s="21">
        <f>100*(Y119-Y118)</f>
        <v/>
      </c>
      <c r="Z253" s="21">
        <f>100*(Z119-Z118)</f>
        <v/>
      </c>
      <c r="AA253" s="21">
        <f>100*(AA119-AA118)</f>
        <v/>
      </c>
      <c r="AB253" s="21">
        <f>100*(AB119-AB118)</f>
        <v/>
      </c>
      <c r="AC253" s="21">
        <f>100*(AC119-AC118)</f>
        <v/>
      </c>
      <c r="AD253" s="21">
        <f>100*(AD119-AD118)</f>
        <v/>
      </c>
      <c r="AE253" s="21">
        <f>100*(AE119-AE118)</f>
        <v/>
      </c>
      <c r="AF253" s="21">
        <f>100*(AF119-AF118)</f>
        <v/>
      </c>
      <c r="AG253" s="21">
        <f>100*(AG119-AG118)</f>
        <v/>
      </c>
      <c r="AH253" s="21">
        <f>100*(AH119-AH118)</f>
        <v/>
      </c>
      <c r="AI253" s="21">
        <f>100*(AI119-AI118)</f>
        <v/>
      </c>
      <c r="AJ253" s="21">
        <f>100*(AJ119-AJ118)</f>
        <v/>
      </c>
      <c r="AK253" s="21">
        <f>100*(AK119-AK118)</f>
        <v/>
      </c>
      <c r="AL253" s="21">
        <f>AVERAGE(C253:AK253)</f>
        <v/>
      </c>
    </row>
    <row r="254">
      <c r="A254" s="19">
        <f>A120</f>
        <v/>
      </c>
      <c r="B254" s="20">
        <f>B120</f>
        <v/>
      </c>
      <c r="C254" s="21">
        <f>100*(C120-C119)</f>
        <v/>
      </c>
      <c r="D254" s="21">
        <f>100*(D120-D119)</f>
        <v/>
      </c>
      <c r="E254" s="21">
        <f>100*(E120-E119)</f>
        <v/>
      </c>
      <c r="F254" s="21">
        <f>100*(F120-F119)</f>
        <v/>
      </c>
      <c r="G254" s="21">
        <f>100*(G120-G119)</f>
        <v/>
      </c>
      <c r="H254" s="21">
        <f>100*(H120-H119)</f>
        <v/>
      </c>
      <c r="I254" s="21">
        <f>100*(I120-I119)</f>
        <v/>
      </c>
      <c r="J254" s="21">
        <f>100*(J120-J119)</f>
        <v/>
      </c>
      <c r="K254" s="21">
        <f>100*(K120-K119)</f>
        <v/>
      </c>
      <c r="L254" s="21">
        <f>100*(L120-L119)</f>
        <v/>
      </c>
      <c r="M254" s="21">
        <f>100*(M120-M119)</f>
        <v/>
      </c>
      <c r="N254" s="21">
        <f>100*(N120-N119)</f>
        <v/>
      </c>
      <c r="O254" s="21">
        <f>100*(O120-O119)</f>
        <v/>
      </c>
      <c r="P254" s="21">
        <f>100*(P120-P119)</f>
        <v/>
      </c>
      <c r="Q254" s="21">
        <f>100*(Q120-Q119)</f>
        <v/>
      </c>
      <c r="R254" s="21">
        <f>100*(R120-R119)</f>
        <v/>
      </c>
      <c r="S254" s="21">
        <f>100*(S120-S119)</f>
        <v/>
      </c>
      <c r="T254" s="21">
        <f>100*(T120-T119)</f>
        <v/>
      </c>
      <c r="U254" s="21">
        <f>100*(U120-U119)</f>
        <v/>
      </c>
      <c r="V254" s="21">
        <f>100*(V120-V119)</f>
        <v/>
      </c>
      <c r="W254" s="21">
        <f>100*(W120-W119)</f>
        <v/>
      </c>
      <c r="X254" s="21">
        <f>100*(X120-X119)</f>
        <v/>
      </c>
      <c r="Y254" s="21">
        <f>100*(Y120-Y119)</f>
        <v/>
      </c>
      <c r="Z254" s="21">
        <f>100*(Z120-Z119)</f>
        <v/>
      </c>
      <c r="AA254" s="21">
        <f>100*(AA120-AA119)</f>
        <v/>
      </c>
      <c r="AB254" s="21">
        <f>100*(AB120-AB119)</f>
        <v/>
      </c>
      <c r="AC254" s="21">
        <f>100*(AC120-AC119)</f>
        <v/>
      </c>
      <c r="AD254" s="21">
        <f>100*(AD120-AD119)</f>
        <v/>
      </c>
      <c r="AE254" s="21">
        <f>100*(AE120-AE119)</f>
        <v/>
      </c>
      <c r="AF254" s="21">
        <f>100*(AF120-AF119)</f>
        <v/>
      </c>
      <c r="AG254" s="21">
        <f>100*(AG120-AG119)</f>
        <v/>
      </c>
      <c r="AH254" s="21">
        <f>100*(AH120-AH119)</f>
        <v/>
      </c>
      <c r="AI254" s="21">
        <f>100*(AI120-AI119)</f>
        <v/>
      </c>
      <c r="AJ254" s="21">
        <f>100*(AJ120-AJ119)</f>
        <v/>
      </c>
      <c r="AK254" s="21">
        <f>100*(AK120-AK119)</f>
        <v/>
      </c>
      <c r="AL254" s="21">
        <f>AVERAGE(C254:AK254)</f>
        <v/>
      </c>
    </row>
    <row r="255">
      <c r="A255" s="19">
        <f>A121</f>
        <v/>
      </c>
      <c r="B255" s="20">
        <f>B121</f>
        <v/>
      </c>
      <c r="C255" s="21">
        <f>100*(C121-C120)</f>
        <v/>
      </c>
      <c r="D255" s="21">
        <f>100*(D121-D120)</f>
        <v/>
      </c>
      <c r="E255" s="21">
        <f>100*(E121-E120)</f>
        <v/>
      </c>
      <c r="F255" s="21">
        <f>100*(F121-F120)</f>
        <v/>
      </c>
      <c r="G255" s="21">
        <f>100*(G121-G120)</f>
        <v/>
      </c>
      <c r="H255" s="21">
        <f>100*(H121-H120)</f>
        <v/>
      </c>
      <c r="I255" s="21">
        <f>100*(I121-I120)</f>
        <v/>
      </c>
      <c r="J255" s="21">
        <f>100*(J121-J120)</f>
        <v/>
      </c>
      <c r="K255" s="21">
        <f>100*(K121-K120)</f>
        <v/>
      </c>
      <c r="L255" s="21">
        <f>100*(L121-L120)</f>
        <v/>
      </c>
      <c r="M255" s="21">
        <f>100*(M121-M120)</f>
        <v/>
      </c>
      <c r="N255" s="21">
        <f>100*(N121-N120)</f>
        <v/>
      </c>
      <c r="O255" s="21">
        <f>100*(O121-O120)</f>
        <v/>
      </c>
      <c r="P255" s="21">
        <f>100*(P121-P120)</f>
        <v/>
      </c>
      <c r="Q255" s="21">
        <f>100*(Q121-Q120)</f>
        <v/>
      </c>
      <c r="R255" s="21">
        <f>100*(R121-R120)</f>
        <v/>
      </c>
      <c r="S255" s="21">
        <f>100*(S121-S120)</f>
        <v/>
      </c>
      <c r="T255" s="21">
        <f>100*(T121-T120)</f>
        <v/>
      </c>
      <c r="U255" s="21">
        <f>100*(U121-U120)</f>
        <v/>
      </c>
      <c r="V255" s="21">
        <f>100*(V121-V120)</f>
        <v/>
      </c>
      <c r="W255" s="21">
        <f>100*(W121-W120)</f>
        <v/>
      </c>
      <c r="X255" s="21">
        <f>100*(X121-X120)</f>
        <v/>
      </c>
      <c r="Y255" s="21">
        <f>100*(Y121-Y120)</f>
        <v/>
      </c>
      <c r="Z255" s="21">
        <f>100*(Z121-Z120)</f>
        <v/>
      </c>
      <c r="AA255" s="21">
        <f>100*(AA121-AA120)</f>
        <v/>
      </c>
      <c r="AB255" s="21">
        <f>100*(AB121-AB120)</f>
        <v/>
      </c>
      <c r="AC255" s="21">
        <f>100*(AC121-AC120)</f>
        <v/>
      </c>
      <c r="AD255" s="21">
        <f>100*(AD121-AD120)</f>
        <v/>
      </c>
      <c r="AE255" s="21">
        <f>100*(AE121-AE120)</f>
        <v/>
      </c>
      <c r="AF255" s="21">
        <f>100*(AF121-AF120)</f>
        <v/>
      </c>
      <c r="AG255" s="21">
        <f>100*(AG121-AG120)</f>
        <v/>
      </c>
      <c r="AH255" s="21">
        <f>100*(AH121-AH120)</f>
        <v/>
      </c>
      <c r="AI255" s="21">
        <f>100*(AI121-AI120)</f>
        <v/>
      </c>
      <c r="AJ255" s="21">
        <f>100*(AJ121-AJ120)</f>
        <v/>
      </c>
      <c r="AK255" s="21">
        <f>100*(AK121-AK120)</f>
        <v/>
      </c>
      <c r="AL255" s="21">
        <f>AVERAGE(C255:AK255)</f>
        <v/>
      </c>
    </row>
    <row r="256">
      <c r="A256" s="19">
        <f>A122</f>
        <v/>
      </c>
      <c r="B256" s="20">
        <f>B122</f>
        <v/>
      </c>
      <c r="C256" s="21">
        <f>100*(C122-C121)</f>
        <v/>
      </c>
      <c r="D256" s="21">
        <f>100*(D122-D121)</f>
        <v/>
      </c>
      <c r="E256" s="21">
        <f>100*(E122-E121)</f>
        <v/>
      </c>
      <c r="F256" s="21">
        <f>100*(F122-F121)</f>
        <v/>
      </c>
      <c r="G256" s="21">
        <f>100*(G122-G121)</f>
        <v/>
      </c>
      <c r="H256" s="21">
        <f>100*(H122-H121)</f>
        <v/>
      </c>
      <c r="I256" s="21">
        <f>100*(I122-I121)</f>
        <v/>
      </c>
      <c r="J256" s="21">
        <f>100*(J122-J121)</f>
        <v/>
      </c>
      <c r="K256" s="21">
        <f>100*(K122-K121)</f>
        <v/>
      </c>
      <c r="L256" s="21">
        <f>100*(L122-L121)</f>
        <v/>
      </c>
      <c r="M256" s="21">
        <f>100*(M122-M121)</f>
        <v/>
      </c>
      <c r="N256" s="21">
        <f>100*(N122-N121)</f>
        <v/>
      </c>
      <c r="O256" s="21">
        <f>100*(O122-O121)</f>
        <v/>
      </c>
      <c r="P256" s="21">
        <f>100*(P122-P121)</f>
        <v/>
      </c>
      <c r="Q256" s="21">
        <f>100*(Q122-Q121)</f>
        <v/>
      </c>
      <c r="R256" s="21">
        <f>100*(R122-R121)</f>
        <v/>
      </c>
      <c r="S256" s="21">
        <f>100*(S122-S121)</f>
        <v/>
      </c>
      <c r="T256" s="21">
        <f>100*(T122-T121)</f>
        <v/>
      </c>
      <c r="U256" s="21">
        <f>100*(U122-U121)</f>
        <v/>
      </c>
      <c r="V256" s="21">
        <f>100*(V122-V121)</f>
        <v/>
      </c>
      <c r="W256" s="21">
        <f>100*(W122-W121)</f>
        <v/>
      </c>
      <c r="X256" s="21">
        <f>100*(X122-X121)</f>
        <v/>
      </c>
      <c r="Y256" s="21">
        <f>100*(Y122-Y121)</f>
        <v/>
      </c>
      <c r="Z256" s="21">
        <f>100*(Z122-Z121)</f>
        <v/>
      </c>
      <c r="AA256" s="21">
        <f>100*(AA122-AA121)</f>
        <v/>
      </c>
      <c r="AB256" s="21">
        <f>100*(AB122-AB121)</f>
        <v/>
      </c>
      <c r="AC256" s="21">
        <f>100*(AC122-AC121)</f>
        <v/>
      </c>
      <c r="AD256" s="21">
        <f>100*(AD122-AD121)</f>
        <v/>
      </c>
      <c r="AE256" s="21">
        <f>100*(AE122-AE121)</f>
        <v/>
      </c>
      <c r="AF256" s="21">
        <f>100*(AF122-AF121)</f>
        <v/>
      </c>
      <c r="AG256" s="21">
        <f>100*(AG122-AG121)</f>
        <v/>
      </c>
      <c r="AH256" s="21">
        <f>100*(AH122-AH121)</f>
        <v/>
      </c>
      <c r="AI256" s="21">
        <f>100*(AI122-AI121)</f>
        <v/>
      </c>
      <c r="AJ256" s="21">
        <f>100*(AJ122-AJ121)</f>
        <v/>
      </c>
      <c r="AK256" s="21">
        <f>100*(AK122-AK121)</f>
        <v/>
      </c>
      <c r="AL256" s="21">
        <f>AVERAGE(C256:AK256)</f>
        <v/>
      </c>
    </row>
    <row r="257">
      <c r="A257" s="19">
        <f>A123</f>
        <v/>
      </c>
      <c r="B257" s="20">
        <f>B123</f>
        <v/>
      </c>
      <c r="C257" s="21">
        <f>100*(C123-C122)</f>
        <v/>
      </c>
      <c r="D257" s="21">
        <f>100*(D123-D122)</f>
        <v/>
      </c>
      <c r="E257" s="21">
        <f>100*(E123-E122)</f>
        <v/>
      </c>
      <c r="F257" s="21">
        <f>100*(F123-F122)</f>
        <v/>
      </c>
      <c r="G257" s="21">
        <f>100*(G123-G122)</f>
        <v/>
      </c>
      <c r="H257" s="21">
        <f>100*(H123-H122)</f>
        <v/>
      </c>
      <c r="I257" s="21">
        <f>100*(I123-I122)</f>
        <v/>
      </c>
      <c r="J257" s="21">
        <f>100*(J123-J122)</f>
        <v/>
      </c>
      <c r="K257" s="21">
        <f>100*(K123-K122)</f>
        <v/>
      </c>
      <c r="L257" s="21">
        <f>100*(L123-L122)</f>
        <v/>
      </c>
      <c r="M257" s="21">
        <f>100*(M123-M122)</f>
        <v/>
      </c>
      <c r="N257" s="21">
        <f>100*(N123-N122)</f>
        <v/>
      </c>
      <c r="O257" s="21">
        <f>100*(O123-O122)</f>
        <v/>
      </c>
      <c r="P257" s="21">
        <f>100*(P123-P122)</f>
        <v/>
      </c>
      <c r="Q257" s="21">
        <f>100*(Q123-Q122)</f>
        <v/>
      </c>
      <c r="R257" s="21">
        <f>100*(R123-R122)</f>
        <v/>
      </c>
      <c r="S257" s="21">
        <f>100*(S123-S122)</f>
        <v/>
      </c>
      <c r="T257" s="21">
        <f>100*(T123-T122)</f>
        <v/>
      </c>
      <c r="U257" s="21">
        <f>100*(U123-U122)</f>
        <v/>
      </c>
      <c r="V257" s="21">
        <f>100*(V123-V122)</f>
        <v/>
      </c>
      <c r="W257" s="21">
        <f>100*(W123-W122)</f>
        <v/>
      </c>
      <c r="X257" s="21">
        <f>100*(X123-X122)</f>
        <v/>
      </c>
      <c r="Y257" s="21">
        <f>100*(Y123-Y122)</f>
        <v/>
      </c>
      <c r="Z257" s="21">
        <f>100*(Z123-Z122)</f>
        <v/>
      </c>
      <c r="AA257" s="21">
        <f>100*(AA123-AA122)</f>
        <v/>
      </c>
      <c r="AB257" s="21">
        <f>100*(AB123-AB122)</f>
        <v/>
      </c>
      <c r="AC257" s="21">
        <f>100*(AC123-AC122)</f>
        <v/>
      </c>
      <c r="AD257" s="21">
        <f>100*(AD123-AD122)</f>
        <v/>
      </c>
      <c r="AE257" s="21">
        <f>100*(AE123-AE122)</f>
        <v/>
      </c>
      <c r="AF257" s="21">
        <f>100*(AF123-AF122)</f>
        <v/>
      </c>
      <c r="AG257" s="21">
        <f>100*(AG123-AG122)</f>
        <v/>
      </c>
      <c r="AH257" s="21">
        <f>100*(AH123-AH122)</f>
        <v/>
      </c>
      <c r="AI257" s="21">
        <f>100*(AI123-AI122)</f>
        <v/>
      </c>
      <c r="AJ257" s="21">
        <f>100*(AJ123-AJ122)</f>
        <v/>
      </c>
      <c r="AK257" s="21">
        <f>100*(AK123-AK122)</f>
        <v/>
      </c>
      <c r="AL257" s="21">
        <f>AVERAGE(C257:AK257)</f>
        <v/>
      </c>
    </row>
    <row r="258">
      <c r="A258" s="19">
        <f>A124</f>
        <v/>
      </c>
      <c r="B258" s="20">
        <f>B124</f>
        <v/>
      </c>
      <c r="C258" s="21">
        <f>100*(C124-C123)</f>
        <v/>
      </c>
      <c r="D258" s="21">
        <f>100*(D124-D123)</f>
        <v/>
      </c>
      <c r="E258" s="21">
        <f>100*(E124-E123)</f>
        <v/>
      </c>
      <c r="F258" s="21">
        <f>100*(F124-F123)</f>
        <v/>
      </c>
      <c r="G258" s="21">
        <f>100*(G124-G123)</f>
        <v/>
      </c>
      <c r="H258" s="21">
        <f>100*(H124-H123)</f>
        <v/>
      </c>
      <c r="I258" s="21">
        <f>100*(I124-I123)</f>
        <v/>
      </c>
      <c r="J258" s="21">
        <f>100*(J124-J123)</f>
        <v/>
      </c>
      <c r="K258" s="21">
        <f>100*(K124-K123)</f>
        <v/>
      </c>
      <c r="L258" s="21">
        <f>100*(L124-L123)</f>
        <v/>
      </c>
      <c r="M258" s="21">
        <f>100*(M124-M123)</f>
        <v/>
      </c>
      <c r="N258" s="21">
        <f>100*(N124-N123)</f>
        <v/>
      </c>
      <c r="O258" s="21">
        <f>100*(O124-O123)</f>
        <v/>
      </c>
      <c r="P258" s="21">
        <f>100*(P124-P123)</f>
        <v/>
      </c>
      <c r="Q258" s="21">
        <f>100*(Q124-Q123)</f>
        <v/>
      </c>
      <c r="R258" s="21">
        <f>100*(R124-R123)</f>
        <v/>
      </c>
      <c r="S258" s="21">
        <f>100*(S124-S123)</f>
        <v/>
      </c>
      <c r="T258" s="21">
        <f>100*(T124-T123)</f>
        <v/>
      </c>
      <c r="U258" s="21">
        <f>100*(U124-U123)</f>
        <v/>
      </c>
      <c r="V258" s="21">
        <f>100*(V124-V123)</f>
        <v/>
      </c>
      <c r="W258" s="21">
        <f>100*(W124-W123)</f>
        <v/>
      </c>
      <c r="X258" s="21">
        <f>100*(X124-X123)</f>
        <v/>
      </c>
      <c r="Y258" s="21">
        <f>100*(Y124-Y123)</f>
        <v/>
      </c>
      <c r="Z258" s="21">
        <f>100*(Z124-Z123)</f>
        <v/>
      </c>
      <c r="AA258" s="21">
        <f>100*(AA124-AA123)</f>
        <v/>
      </c>
      <c r="AB258" s="21">
        <f>100*(AB124-AB123)</f>
        <v/>
      </c>
      <c r="AC258" s="21">
        <f>100*(AC124-AC123)</f>
        <v/>
      </c>
      <c r="AD258" s="21">
        <f>100*(AD124-AD123)</f>
        <v/>
      </c>
      <c r="AE258" s="21">
        <f>100*(AE124-AE123)</f>
        <v/>
      </c>
      <c r="AF258" s="21">
        <f>100*(AF124-AF123)</f>
        <v/>
      </c>
      <c r="AG258" s="21">
        <f>100*(AG124-AG123)</f>
        <v/>
      </c>
      <c r="AH258" s="21">
        <f>100*(AH124-AH123)</f>
        <v/>
      </c>
      <c r="AI258" s="21">
        <f>100*(AI124-AI123)</f>
        <v/>
      </c>
      <c r="AJ258" s="21">
        <f>100*(AJ124-AJ123)</f>
        <v/>
      </c>
      <c r="AK258" s="21">
        <f>100*(AK124-AK123)</f>
        <v/>
      </c>
      <c r="AL258" s="21">
        <f>AVERAGE(C258:AK258)</f>
        <v/>
      </c>
    </row>
    <row r="259">
      <c r="A259" s="19">
        <f>A125</f>
        <v/>
      </c>
      <c r="B259" s="20">
        <f>B125</f>
        <v/>
      </c>
      <c r="C259" s="21">
        <f>100*(C125-C124)</f>
        <v/>
      </c>
      <c r="D259" s="21">
        <f>100*(D125-D124)</f>
        <v/>
      </c>
      <c r="E259" s="21">
        <f>100*(E125-E124)</f>
        <v/>
      </c>
      <c r="F259" s="21">
        <f>100*(F125-F124)</f>
        <v/>
      </c>
      <c r="G259" s="21">
        <f>100*(G125-G124)</f>
        <v/>
      </c>
      <c r="H259" s="21">
        <f>100*(H125-H124)</f>
        <v/>
      </c>
      <c r="I259" s="21">
        <f>100*(I125-I124)</f>
        <v/>
      </c>
      <c r="J259" s="21">
        <f>100*(J125-J124)</f>
        <v/>
      </c>
      <c r="K259" s="21">
        <f>100*(K125-K124)</f>
        <v/>
      </c>
      <c r="L259" s="21">
        <f>100*(L125-L124)</f>
        <v/>
      </c>
      <c r="M259" s="21">
        <f>100*(M125-M124)</f>
        <v/>
      </c>
      <c r="N259" s="21">
        <f>100*(N125-N124)</f>
        <v/>
      </c>
      <c r="O259" s="21">
        <f>100*(O125-O124)</f>
        <v/>
      </c>
      <c r="P259" s="21">
        <f>100*(P125-P124)</f>
        <v/>
      </c>
      <c r="Q259" s="21">
        <f>100*(Q125-Q124)</f>
        <v/>
      </c>
      <c r="R259" s="21">
        <f>100*(R125-R124)</f>
        <v/>
      </c>
      <c r="S259" s="21">
        <f>100*(S125-S124)</f>
        <v/>
      </c>
      <c r="T259" s="21">
        <f>100*(T125-T124)</f>
        <v/>
      </c>
      <c r="U259" s="21">
        <f>100*(U125-U124)</f>
        <v/>
      </c>
      <c r="V259" s="21">
        <f>100*(V125-V124)</f>
        <v/>
      </c>
      <c r="W259" s="21">
        <f>100*(W125-W124)</f>
        <v/>
      </c>
      <c r="X259" s="21">
        <f>100*(X125-X124)</f>
        <v/>
      </c>
      <c r="Y259" s="21">
        <f>100*(Y125-Y124)</f>
        <v/>
      </c>
      <c r="Z259" s="21">
        <f>100*(Z125-Z124)</f>
        <v/>
      </c>
      <c r="AA259" s="21">
        <f>100*(AA125-AA124)</f>
        <v/>
      </c>
      <c r="AB259" s="21">
        <f>100*(AB125-AB124)</f>
        <v/>
      </c>
      <c r="AC259" s="21">
        <f>100*(AC125-AC124)</f>
        <v/>
      </c>
      <c r="AD259" s="21">
        <f>100*(AD125-AD124)</f>
        <v/>
      </c>
      <c r="AE259" s="21">
        <f>100*(AE125-AE124)</f>
        <v/>
      </c>
      <c r="AF259" s="21">
        <f>100*(AF125-AF124)</f>
        <v/>
      </c>
      <c r="AG259" s="21">
        <f>100*(AG125-AG124)</f>
        <v/>
      </c>
      <c r="AH259" s="21">
        <f>100*(AH125-AH124)</f>
        <v/>
      </c>
      <c r="AI259" s="21">
        <f>100*(AI125-AI124)</f>
        <v/>
      </c>
      <c r="AJ259" s="21">
        <f>100*(AJ125-AJ124)</f>
        <v/>
      </c>
      <c r="AK259" s="21">
        <f>100*(AK125-AK124)</f>
        <v/>
      </c>
      <c r="AL259" s="21">
        <f>AVERAGE(C259:AK259)</f>
        <v/>
      </c>
    </row>
    <row r="260">
      <c r="A260" s="19">
        <f>A126</f>
        <v/>
      </c>
      <c r="B260" s="20">
        <f>B126</f>
        <v/>
      </c>
      <c r="C260" s="21">
        <f>100*(C126-C125)</f>
        <v/>
      </c>
      <c r="D260" s="21">
        <f>100*(D126-D125)</f>
        <v/>
      </c>
      <c r="E260" s="21">
        <f>100*(E126-E125)</f>
        <v/>
      </c>
      <c r="F260" s="21">
        <f>100*(F126-F125)</f>
        <v/>
      </c>
      <c r="G260" s="21">
        <f>100*(G126-G125)</f>
        <v/>
      </c>
      <c r="H260" s="21">
        <f>100*(H126-H125)</f>
        <v/>
      </c>
      <c r="I260" s="21">
        <f>100*(I126-I125)</f>
        <v/>
      </c>
      <c r="J260" s="21">
        <f>100*(J126-J125)</f>
        <v/>
      </c>
      <c r="K260" s="21">
        <f>100*(K126-K125)</f>
        <v/>
      </c>
      <c r="L260" s="21">
        <f>100*(L126-L125)</f>
        <v/>
      </c>
      <c r="M260" s="21">
        <f>100*(M126-M125)</f>
        <v/>
      </c>
      <c r="N260" s="21">
        <f>100*(N126-N125)</f>
        <v/>
      </c>
      <c r="O260" s="21">
        <f>100*(O126-O125)</f>
        <v/>
      </c>
      <c r="P260" s="21">
        <f>100*(P126-P125)</f>
        <v/>
      </c>
      <c r="Q260" s="21">
        <f>100*(Q126-Q125)</f>
        <v/>
      </c>
      <c r="R260" s="21">
        <f>100*(R126-R125)</f>
        <v/>
      </c>
      <c r="S260" s="21">
        <f>100*(S126-S125)</f>
        <v/>
      </c>
      <c r="T260" s="21">
        <f>100*(T126-T125)</f>
        <v/>
      </c>
      <c r="U260" s="21">
        <f>100*(U126-U125)</f>
        <v/>
      </c>
      <c r="V260" s="21">
        <f>100*(V126-V125)</f>
        <v/>
      </c>
      <c r="W260" s="21">
        <f>100*(W126-W125)</f>
        <v/>
      </c>
      <c r="X260" s="21">
        <f>100*(X126-X125)</f>
        <v/>
      </c>
      <c r="Y260" s="21">
        <f>100*(Y126-Y125)</f>
        <v/>
      </c>
      <c r="Z260" s="21">
        <f>100*(Z126-Z125)</f>
        <v/>
      </c>
      <c r="AA260" s="21">
        <f>100*(AA126-AA125)</f>
        <v/>
      </c>
      <c r="AB260" s="21">
        <f>100*(AB126-AB125)</f>
        <v/>
      </c>
      <c r="AC260" s="21">
        <f>100*(AC126-AC125)</f>
        <v/>
      </c>
      <c r="AD260" s="21">
        <f>100*(AD126-AD125)</f>
        <v/>
      </c>
      <c r="AE260" s="21">
        <f>100*(AE126-AE125)</f>
        <v/>
      </c>
      <c r="AF260" s="21">
        <f>100*(AF126-AF125)</f>
        <v/>
      </c>
      <c r="AG260" s="21">
        <f>100*(AG126-AG125)</f>
        <v/>
      </c>
      <c r="AH260" s="21">
        <f>100*(AH126-AH125)</f>
        <v/>
      </c>
      <c r="AI260" s="21">
        <f>100*(AI126-AI125)</f>
        <v/>
      </c>
      <c r="AJ260" s="21">
        <f>100*(AJ126-AJ125)</f>
        <v/>
      </c>
      <c r="AK260" s="21">
        <f>100*(AK126-AK125)</f>
        <v/>
      </c>
      <c r="AL260" s="21">
        <f>AVERAGE(C260:AK260)</f>
        <v/>
      </c>
    </row>
    <row r="261">
      <c r="A261" s="19">
        <f>A127</f>
        <v/>
      </c>
      <c r="B261" s="20">
        <f>B127</f>
        <v/>
      </c>
      <c r="C261" s="21">
        <f>100*(C127-C126)</f>
        <v/>
      </c>
      <c r="D261" s="21">
        <f>100*(D127-D126)</f>
        <v/>
      </c>
      <c r="E261" s="21">
        <f>100*(E127-E126)</f>
        <v/>
      </c>
      <c r="F261" s="21">
        <f>100*(F127-F126)</f>
        <v/>
      </c>
      <c r="G261" s="21">
        <f>100*(G127-G126)</f>
        <v/>
      </c>
      <c r="H261" s="21">
        <f>100*(H127-H126)</f>
        <v/>
      </c>
      <c r="I261" s="21">
        <f>100*(I127-I126)</f>
        <v/>
      </c>
      <c r="J261" s="21">
        <f>100*(J127-J126)</f>
        <v/>
      </c>
      <c r="K261" s="21">
        <f>100*(K127-K126)</f>
        <v/>
      </c>
      <c r="L261" s="21">
        <f>100*(L127-L126)</f>
        <v/>
      </c>
      <c r="M261" s="21">
        <f>100*(M127-M126)</f>
        <v/>
      </c>
      <c r="N261" s="21">
        <f>100*(N127-N126)</f>
        <v/>
      </c>
      <c r="O261" s="21">
        <f>100*(O127-O126)</f>
        <v/>
      </c>
      <c r="P261" s="21">
        <f>100*(P127-P126)</f>
        <v/>
      </c>
      <c r="Q261" s="21">
        <f>100*(Q127-Q126)</f>
        <v/>
      </c>
      <c r="R261" s="21">
        <f>100*(R127-R126)</f>
        <v/>
      </c>
      <c r="S261" s="21">
        <f>100*(S127-S126)</f>
        <v/>
      </c>
      <c r="T261" s="21">
        <f>100*(T127-T126)</f>
        <v/>
      </c>
      <c r="U261" s="21">
        <f>100*(U127-U126)</f>
        <v/>
      </c>
      <c r="V261" s="21">
        <f>100*(V127-V126)</f>
        <v/>
      </c>
      <c r="W261" s="21">
        <f>100*(W127-W126)</f>
        <v/>
      </c>
      <c r="X261" s="21">
        <f>100*(X127-X126)</f>
        <v/>
      </c>
      <c r="Y261" s="21">
        <f>100*(Y127-Y126)</f>
        <v/>
      </c>
      <c r="Z261" s="21">
        <f>100*(Z127-Z126)</f>
        <v/>
      </c>
      <c r="AA261" s="21">
        <f>100*(AA127-AA126)</f>
        <v/>
      </c>
      <c r="AB261" s="21">
        <f>100*(AB127-AB126)</f>
        <v/>
      </c>
      <c r="AC261" s="21">
        <f>100*(AC127-AC126)</f>
        <v/>
      </c>
      <c r="AD261" s="21">
        <f>100*(AD127-AD126)</f>
        <v/>
      </c>
      <c r="AE261" s="21">
        <f>100*(AE127-AE126)</f>
        <v/>
      </c>
      <c r="AF261" s="21">
        <f>100*(AF127-AF126)</f>
        <v/>
      </c>
      <c r="AG261" s="21">
        <f>100*(AG127-AG126)</f>
        <v/>
      </c>
      <c r="AH261" s="21">
        <f>100*(AH127-AH126)</f>
        <v/>
      </c>
      <c r="AI261" s="21">
        <f>100*(AI127-AI126)</f>
        <v/>
      </c>
      <c r="AJ261" s="21">
        <f>100*(AJ127-AJ126)</f>
        <v/>
      </c>
      <c r="AK261" s="21">
        <f>100*(AK127-AK126)</f>
        <v/>
      </c>
      <c r="AL261" s="21">
        <f>AVERAGE(C261:AK261)</f>
        <v/>
      </c>
    </row>
    <row r="262">
      <c r="A262" s="19">
        <f>A128</f>
        <v/>
      </c>
      <c r="B262" s="20">
        <f>B128</f>
        <v/>
      </c>
      <c r="C262" s="21">
        <f>100*(C128-C127)</f>
        <v/>
      </c>
      <c r="D262" s="21">
        <f>100*(D128-D127)</f>
        <v/>
      </c>
      <c r="E262" s="21">
        <f>100*(E128-E127)</f>
        <v/>
      </c>
      <c r="F262" s="21">
        <f>100*(F128-F127)</f>
        <v/>
      </c>
      <c r="G262" s="21">
        <f>100*(G128-G127)</f>
        <v/>
      </c>
      <c r="H262" s="21">
        <f>100*(H128-H127)</f>
        <v/>
      </c>
      <c r="I262" s="21">
        <f>100*(I128-I127)</f>
        <v/>
      </c>
      <c r="J262" s="21">
        <f>100*(J128-J127)</f>
        <v/>
      </c>
      <c r="K262" s="21">
        <f>100*(K128-K127)</f>
        <v/>
      </c>
      <c r="L262" s="21">
        <f>100*(L128-L127)</f>
        <v/>
      </c>
      <c r="M262" s="21">
        <f>100*(M128-M127)</f>
        <v/>
      </c>
      <c r="N262" s="21">
        <f>100*(N128-N127)</f>
        <v/>
      </c>
      <c r="O262" s="21">
        <f>100*(O128-O127)</f>
        <v/>
      </c>
      <c r="P262" s="21">
        <f>100*(P128-P127)</f>
        <v/>
      </c>
      <c r="Q262" s="21">
        <f>100*(Q128-Q127)</f>
        <v/>
      </c>
      <c r="R262" s="21">
        <f>100*(R128-R127)</f>
        <v/>
      </c>
      <c r="S262" s="21">
        <f>100*(S128-S127)</f>
        <v/>
      </c>
      <c r="T262" s="21">
        <f>100*(T128-T127)</f>
        <v/>
      </c>
      <c r="U262" s="21">
        <f>100*(U128-U127)</f>
        <v/>
      </c>
      <c r="V262" s="21">
        <f>100*(V128-V127)</f>
        <v/>
      </c>
      <c r="W262" s="21">
        <f>100*(W128-W127)</f>
        <v/>
      </c>
      <c r="X262" s="21">
        <f>100*(X128-X127)</f>
        <v/>
      </c>
      <c r="Y262" s="21">
        <f>100*(Y128-Y127)</f>
        <v/>
      </c>
      <c r="Z262" s="21">
        <f>100*(Z128-Z127)</f>
        <v/>
      </c>
      <c r="AA262" s="21">
        <f>100*(AA128-AA127)</f>
        <v/>
      </c>
      <c r="AB262" s="21">
        <f>100*(AB128-AB127)</f>
        <v/>
      </c>
      <c r="AC262" s="21">
        <f>100*(AC128-AC127)</f>
        <v/>
      </c>
      <c r="AD262" s="21">
        <f>100*(AD128-AD127)</f>
        <v/>
      </c>
      <c r="AE262" s="21">
        <f>100*(AE128-AE127)</f>
        <v/>
      </c>
      <c r="AF262" s="21">
        <f>100*(AF128-AF127)</f>
        <v/>
      </c>
      <c r="AG262" s="21">
        <f>100*(AG128-AG127)</f>
        <v/>
      </c>
      <c r="AH262" s="21">
        <f>100*(AH128-AH127)</f>
        <v/>
      </c>
      <c r="AI262" s="21">
        <f>100*(AI128-AI127)</f>
        <v/>
      </c>
      <c r="AJ262" s="21">
        <f>100*(AJ128-AJ127)</f>
        <v/>
      </c>
      <c r="AK262" s="21">
        <f>100*(AK128-AK127)</f>
        <v/>
      </c>
      <c r="AL262" s="21">
        <f>AVERAGE(C262:AK262)</f>
        <v/>
      </c>
    </row>
    <row r="263">
      <c r="A263" s="19">
        <f>A129</f>
        <v/>
      </c>
      <c r="B263" s="20">
        <f>B129</f>
        <v/>
      </c>
      <c r="C263" s="21">
        <f>100*(C129-C128)</f>
        <v/>
      </c>
      <c r="D263" s="21">
        <f>100*(D129-D128)</f>
        <v/>
      </c>
      <c r="E263" s="21">
        <f>100*(E129-E128)</f>
        <v/>
      </c>
      <c r="F263" s="21">
        <f>100*(F129-F128)</f>
        <v/>
      </c>
      <c r="G263" s="21">
        <f>100*(G129-G128)</f>
        <v/>
      </c>
      <c r="H263" s="21">
        <f>100*(H129-H128)</f>
        <v/>
      </c>
      <c r="I263" s="21">
        <f>100*(I129-I128)</f>
        <v/>
      </c>
      <c r="J263" s="21">
        <f>100*(J129-J128)</f>
        <v/>
      </c>
      <c r="K263" s="21">
        <f>100*(K129-K128)</f>
        <v/>
      </c>
      <c r="L263" s="21">
        <f>100*(L129-L128)</f>
        <v/>
      </c>
      <c r="M263" s="21">
        <f>100*(M129-M128)</f>
        <v/>
      </c>
      <c r="N263" s="21">
        <f>100*(N129-N128)</f>
        <v/>
      </c>
      <c r="O263" s="21">
        <f>100*(O129-O128)</f>
        <v/>
      </c>
      <c r="P263" s="21">
        <f>100*(P129-P128)</f>
        <v/>
      </c>
      <c r="Q263" s="21">
        <f>100*(Q129-Q128)</f>
        <v/>
      </c>
      <c r="R263" s="21">
        <f>100*(R129-R128)</f>
        <v/>
      </c>
      <c r="S263" s="21">
        <f>100*(S129-S128)</f>
        <v/>
      </c>
      <c r="T263" s="21">
        <f>100*(T129-T128)</f>
        <v/>
      </c>
      <c r="U263" s="21">
        <f>100*(U129-U128)</f>
        <v/>
      </c>
      <c r="V263" s="21">
        <f>100*(V129-V128)</f>
        <v/>
      </c>
      <c r="W263" s="21">
        <f>100*(W129-W128)</f>
        <v/>
      </c>
      <c r="X263" s="21">
        <f>100*(X129-X128)</f>
        <v/>
      </c>
      <c r="Y263" s="21">
        <f>100*(Y129-Y128)</f>
        <v/>
      </c>
      <c r="Z263" s="21">
        <f>100*(Z129-Z128)</f>
        <v/>
      </c>
      <c r="AA263" s="21">
        <f>100*(AA129-AA128)</f>
        <v/>
      </c>
      <c r="AB263" s="21">
        <f>100*(AB129-AB128)</f>
        <v/>
      </c>
      <c r="AC263" s="21">
        <f>100*(AC129-AC128)</f>
        <v/>
      </c>
      <c r="AD263" s="21">
        <f>100*(AD129-AD128)</f>
        <v/>
      </c>
      <c r="AE263" s="21">
        <f>100*(AE129-AE128)</f>
        <v/>
      </c>
      <c r="AF263" s="21">
        <f>100*(AF129-AF128)</f>
        <v/>
      </c>
      <c r="AG263" s="21">
        <f>100*(AG129-AG128)</f>
        <v/>
      </c>
      <c r="AH263" s="21">
        <f>100*(AH129-AH128)</f>
        <v/>
      </c>
      <c r="AI263" s="21">
        <f>100*(AI129-AI128)</f>
        <v/>
      </c>
      <c r="AJ263" s="21">
        <f>100*(AJ129-AJ128)</f>
        <v/>
      </c>
      <c r="AK263" s="21">
        <f>100*(AK129-AK128)</f>
        <v/>
      </c>
      <c r="AL263" s="21">
        <f>AVERAGE(C263:AK263)</f>
        <v/>
      </c>
    </row>
    <row r="264">
      <c r="A264" s="19">
        <f>A130</f>
        <v/>
      </c>
      <c r="B264" s="20">
        <f>B130</f>
        <v/>
      </c>
      <c r="C264" s="21">
        <f>100*(C130-C129)</f>
        <v/>
      </c>
      <c r="D264" s="21">
        <f>100*(D130-D129)</f>
        <v/>
      </c>
      <c r="E264" s="21">
        <f>100*(E130-E129)</f>
        <v/>
      </c>
      <c r="F264" s="21">
        <f>100*(F130-F129)</f>
        <v/>
      </c>
      <c r="G264" s="21">
        <f>100*(G130-G129)</f>
        <v/>
      </c>
      <c r="H264" s="21">
        <f>100*(H130-H129)</f>
        <v/>
      </c>
      <c r="I264" s="21">
        <f>100*(I130-I129)</f>
        <v/>
      </c>
      <c r="J264" s="21">
        <f>100*(J130-J129)</f>
        <v/>
      </c>
      <c r="K264" s="21">
        <f>100*(K130-K129)</f>
        <v/>
      </c>
      <c r="L264" s="21">
        <f>100*(L130-L129)</f>
        <v/>
      </c>
      <c r="M264" s="21">
        <f>100*(M130-M129)</f>
        <v/>
      </c>
      <c r="N264" s="21">
        <f>100*(N130-N129)</f>
        <v/>
      </c>
      <c r="O264" s="21">
        <f>100*(O130-O129)</f>
        <v/>
      </c>
      <c r="P264" s="21">
        <f>100*(P130-P129)</f>
        <v/>
      </c>
      <c r="Q264" s="21">
        <f>100*(Q130-Q129)</f>
        <v/>
      </c>
      <c r="R264" s="21">
        <f>100*(R130-R129)</f>
        <v/>
      </c>
      <c r="S264" s="21">
        <f>100*(S130-S129)</f>
        <v/>
      </c>
      <c r="T264" s="21">
        <f>100*(T130-T129)</f>
        <v/>
      </c>
      <c r="U264" s="21">
        <f>100*(U130-U129)</f>
        <v/>
      </c>
      <c r="V264" s="21">
        <f>100*(V130-V129)</f>
        <v/>
      </c>
      <c r="W264" s="21">
        <f>100*(W130-W129)</f>
        <v/>
      </c>
      <c r="X264" s="21">
        <f>100*(X130-X129)</f>
        <v/>
      </c>
      <c r="Y264" s="21">
        <f>100*(Y130-Y129)</f>
        <v/>
      </c>
      <c r="Z264" s="21">
        <f>100*(Z130-Z129)</f>
        <v/>
      </c>
      <c r="AA264" s="21">
        <f>100*(AA130-AA129)</f>
        <v/>
      </c>
      <c r="AB264" s="21">
        <f>100*(AB130-AB129)</f>
        <v/>
      </c>
      <c r="AC264" s="21">
        <f>100*(AC130-AC129)</f>
        <v/>
      </c>
      <c r="AD264" s="21">
        <f>100*(AD130-AD129)</f>
        <v/>
      </c>
      <c r="AE264" s="21">
        <f>100*(AE130-AE129)</f>
        <v/>
      </c>
      <c r="AF264" s="21">
        <f>100*(AF130-AF129)</f>
        <v/>
      </c>
      <c r="AG264" s="21">
        <f>100*(AG130-AG129)</f>
        <v/>
      </c>
      <c r="AH264" s="21">
        <f>100*(AH130-AH129)</f>
        <v/>
      </c>
      <c r="AI264" s="21">
        <f>100*(AI130-AI129)</f>
        <v/>
      </c>
      <c r="AJ264" s="21">
        <f>100*(AJ130-AJ129)</f>
        <v/>
      </c>
      <c r="AK264" s="21">
        <f>100*(AK130-AK129)</f>
        <v/>
      </c>
      <c r="AL264" s="21">
        <f>AVERAGE(C264:AK264)</f>
        <v/>
      </c>
    </row>
    <row r="265">
      <c r="A265" s="19">
        <f>A131</f>
        <v/>
      </c>
      <c r="B265" s="20">
        <f>B131</f>
        <v/>
      </c>
      <c r="C265" s="21">
        <f>100*(C131-C130)</f>
        <v/>
      </c>
      <c r="D265" s="21">
        <f>100*(D131-D130)</f>
        <v/>
      </c>
      <c r="E265" s="21">
        <f>100*(E131-E130)</f>
        <v/>
      </c>
      <c r="F265" s="21">
        <f>100*(F131-F130)</f>
        <v/>
      </c>
      <c r="G265" s="21">
        <f>100*(G131-G130)</f>
        <v/>
      </c>
      <c r="H265" s="21">
        <f>100*(H131-H130)</f>
        <v/>
      </c>
      <c r="I265" s="21">
        <f>100*(I131-I130)</f>
        <v/>
      </c>
      <c r="J265" s="21">
        <f>100*(J131-J130)</f>
        <v/>
      </c>
      <c r="K265" s="21">
        <f>100*(K131-K130)</f>
        <v/>
      </c>
      <c r="L265" s="21">
        <f>100*(L131-L130)</f>
        <v/>
      </c>
      <c r="M265" s="21">
        <f>100*(M131-M130)</f>
        <v/>
      </c>
      <c r="N265" s="21">
        <f>100*(N131-N130)</f>
        <v/>
      </c>
      <c r="O265" s="21">
        <f>100*(O131-O130)</f>
        <v/>
      </c>
      <c r="P265" s="21">
        <f>100*(P131-P130)</f>
        <v/>
      </c>
      <c r="Q265" s="21">
        <f>100*(Q131-Q130)</f>
        <v/>
      </c>
      <c r="R265" s="21">
        <f>100*(R131-R130)</f>
        <v/>
      </c>
      <c r="S265" s="21">
        <f>100*(S131-S130)</f>
        <v/>
      </c>
      <c r="T265" s="21">
        <f>100*(T131-T130)</f>
        <v/>
      </c>
      <c r="U265" s="21">
        <f>100*(U131-U130)</f>
        <v/>
      </c>
      <c r="V265" s="21">
        <f>100*(V131-V130)</f>
        <v/>
      </c>
      <c r="W265" s="21">
        <f>100*(W131-W130)</f>
        <v/>
      </c>
      <c r="X265" s="21">
        <f>100*(X131-X130)</f>
        <v/>
      </c>
      <c r="Y265" s="21">
        <f>100*(Y131-Y130)</f>
        <v/>
      </c>
      <c r="Z265" s="21">
        <f>100*(Z131-Z130)</f>
        <v/>
      </c>
      <c r="AA265" s="21">
        <f>100*(AA131-AA130)</f>
        <v/>
      </c>
      <c r="AB265" s="21">
        <f>100*(AB131-AB130)</f>
        <v/>
      </c>
      <c r="AC265" s="21">
        <f>100*(AC131-AC130)</f>
        <v/>
      </c>
      <c r="AD265" s="21">
        <f>100*(AD131-AD130)</f>
        <v/>
      </c>
      <c r="AE265" s="21">
        <f>100*(AE131-AE130)</f>
        <v/>
      </c>
      <c r="AF265" s="21">
        <f>100*(AF131-AF130)</f>
        <v/>
      </c>
      <c r="AG265" s="21">
        <f>100*(AG131-AG130)</f>
        <v/>
      </c>
      <c r="AH265" s="21">
        <f>100*(AH131-AH130)</f>
        <v/>
      </c>
      <c r="AI265" s="21">
        <f>100*(AI131-AI130)</f>
        <v/>
      </c>
      <c r="AJ265" s="21">
        <f>100*(AJ131-AJ130)</f>
        <v/>
      </c>
      <c r="AK265" s="21">
        <f>100*(AK131-AK130)</f>
        <v/>
      </c>
      <c r="AL265" s="21">
        <f>AVERAGE(C265:AK265)</f>
        <v/>
      </c>
    </row>
    <row r="266">
      <c r="A266" s="19">
        <f>A132</f>
        <v/>
      </c>
      <c r="B266" s="20">
        <f>B132</f>
        <v/>
      </c>
      <c r="C266" s="21">
        <f>100*(C132-C131)</f>
        <v/>
      </c>
      <c r="D266" s="21">
        <f>100*(D132-D131)</f>
        <v/>
      </c>
      <c r="E266" s="21">
        <f>100*(E132-E131)</f>
        <v/>
      </c>
      <c r="F266" s="21">
        <f>100*(F132-F131)</f>
        <v/>
      </c>
      <c r="G266" s="21">
        <f>100*(G132-G131)</f>
        <v/>
      </c>
      <c r="H266" s="21">
        <f>100*(H132-H131)</f>
        <v/>
      </c>
      <c r="I266" s="21">
        <f>100*(I132-I131)</f>
        <v/>
      </c>
      <c r="J266" s="21">
        <f>100*(J132-J131)</f>
        <v/>
      </c>
      <c r="K266" s="21">
        <f>100*(K132-K131)</f>
        <v/>
      </c>
      <c r="L266" s="21">
        <f>100*(L132-L131)</f>
        <v/>
      </c>
      <c r="M266" s="21">
        <f>100*(M132-M131)</f>
        <v/>
      </c>
      <c r="N266" s="21">
        <f>100*(N132-N131)</f>
        <v/>
      </c>
      <c r="O266" s="21">
        <f>100*(O132-O131)</f>
        <v/>
      </c>
      <c r="P266" s="21">
        <f>100*(P132-P131)</f>
        <v/>
      </c>
      <c r="Q266" s="21">
        <f>100*(Q132-Q131)</f>
        <v/>
      </c>
      <c r="R266" s="21">
        <f>100*(R132-R131)</f>
        <v/>
      </c>
      <c r="S266" s="21">
        <f>100*(S132-S131)</f>
        <v/>
      </c>
      <c r="T266" s="21">
        <f>100*(T132-T131)</f>
        <v/>
      </c>
      <c r="U266" s="21">
        <f>100*(U132-U131)</f>
        <v/>
      </c>
      <c r="V266" s="21">
        <f>100*(V132-V131)</f>
        <v/>
      </c>
      <c r="W266" s="21">
        <f>100*(W132-W131)</f>
        <v/>
      </c>
      <c r="X266" s="21">
        <f>100*(X132-X131)</f>
        <v/>
      </c>
      <c r="Y266" s="21">
        <f>100*(Y132-Y131)</f>
        <v/>
      </c>
      <c r="Z266" s="21">
        <f>100*(Z132-Z131)</f>
        <v/>
      </c>
      <c r="AA266" s="21">
        <f>100*(AA132-AA131)</f>
        <v/>
      </c>
      <c r="AB266" s="21">
        <f>100*(AB132-AB131)</f>
        <v/>
      </c>
      <c r="AC266" s="21">
        <f>100*(AC132-AC131)</f>
        <v/>
      </c>
      <c r="AD266" s="21">
        <f>100*(AD132-AD131)</f>
        <v/>
      </c>
      <c r="AE266" s="21">
        <f>100*(AE132-AE131)</f>
        <v/>
      </c>
      <c r="AF266" s="21">
        <f>100*(AF132-AF131)</f>
        <v/>
      </c>
      <c r="AG266" s="21">
        <f>100*(AG132-AG131)</f>
        <v/>
      </c>
      <c r="AH266" s="21">
        <f>100*(AH132-AH131)</f>
        <v/>
      </c>
      <c r="AI266" s="21">
        <f>100*(AI132-AI131)</f>
        <v/>
      </c>
      <c r="AJ266" s="21">
        <f>100*(AJ132-AJ131)</f>
        <v/>
      </c>
      <c r="AK266" s="21">
        <f>100*(AK132-AK131)</f>
        <v/>
      </c>
      <c r="AL266" s="21">
        <f>AVERAGE(C266:AK266)</f>
        <v/>
      </c>
    </row>
    <row r="267">
      <c r="A267" s="19">
        <f>A133</f>
        <v/>
      </c>
      <c r="B267" s="20">
        <f>B133</f>
        <v/>
      </c>
      <c r="C267" s="21">
        <f>100*(C133-C132)</f>
        <v/>
      </c>
      <c r="D267" s="21">
        <f>100*(D133-D132)</f>
        <v/>
      </c>
      <c r="E267" s="21">
        <f>100*(E133-E132)</f>
        <v/>
      </c>
      <c r="F267" s="21">
        <f>100*(F133-F132)</f>
        <v/>
      </c>
      <c r="G267" s="21">
        <f>100*(G133-G132)</f>
        <v/>
      </c>
      <c r="H267" s="21">
        <f>100*(H133-H132)</f>
        <v/>
      </c>
      <c r="I267" s="21">
        <f>100*(I133-I132)</f>
        <v/>
      </c>
      <c r="J267" s="21">
        <f>100*(J133-J132)</f>
        <v/>
      </c>
      <c r="K267" s="21">
        <f>100*(K133-K132)</f>
        <v/>
      </c>
      <c r="L267" s="21">
        <f>100*(L133-L132)</f>
        <v/>
      </c>
      <c r="M267" s="21">
        <f>100*(M133-M132)</f>
        <v/>
      </c>
      <c r="N267" s="21">
        <f>100*(N133-N132)</f>
        <v/>
      </c>
      <c r="O267" s="21">
        <f>100*(O133-O132)</f>
        <v/>
      </c>
      <c r="P267" s="21">
        <f>100*(P133-P132)</f>
        <v/>
      </c>
      <c r="Q267" s="21">
        <f>100*(Q133-Q132)</f>
        <v/>
      </c>
      <c r="R267" s="21">
        <f>100*(R133-R132)</f>
        <v/>
      </c>
      <c r="S267" s="21">
        <f>100*(S133-S132)</f>
        <v/>
      </c>
      <c r="T267" s="21">
        <f>100*(T133-T132)</f>
        <v/>
      </c>
      <c r="U267" s="21">
        <f>100*(U133-U132)</f>
        <v/>
      </c>
      <c r="V267" s="21">
        <f>100*(V133-V132)</f>
        <v/>
      </c>
      <c r="W267" s="21">
        <f>100*(W133-W132)</f>
        <v/>
      </c>
      <c r="X267" s="21">
        <f>100*(X133-X132)</f>
        <v/>
      </c>
      <c r="Y267" s="21">
        <f>100*(Y133-Y132)</f>
        <v/>
      </c>
      <c r="Z267" s="21">
        <f>100*(Z133-Z132)</f>
        <v/>
      </c>
      <c r="AA267" s="21">
        <f>100*(AA133-AA132)</f>
        <v/>
      </c>
      <c r="AB267" s="21">
        <f>100*(AB133-AB132)</f>
        <v/>
      </c>
      <c r="AC267" s="21">
        <f>100*(AC133-AC132)</f>
        <v/>
      </c>
      <c r="AD267" s="21">
        <f>100*(AD133-AD132)</f>
        <v/>
      </c>
      <c r="AE267" s="21">
        <f>100*(AE133-AE132)</f>
        <v/>
      </c>
      <c r="AF267" s="21">
        <f>100*(AF133-AF132)</f>
        <v/>
      </c>
      <c r="AG267" s="21">
        <f>100*(AG133-AG132)</f>
        <v/>
      </c>
      <c r="AH267" s="21">
        <f>100*(AH133-AH132)</f>
        <v/>
      </c>
      <c r="AI267" s="21">
        <f>100*(AI133-AI132)</f>
        <v/>
      </c>
      <c r="AJ267" s="21">
        <f>100*(AJ133-AJ132)</f>
        <v/>
      </c>
      <c r="AK267" s="21">
        <f>100*(AK133-AK132)</f>
        <v/>
      </c>
      <c r="AL267" s="21">
        <f>AVERAGE(C267:AK267)</f>
        <v/>
      </c>
    </row>
    <row r="268">
      <c r="A268" s="19">
        <f>A134</f>
        <v/>
      </c>
      <c r="B268" s="20">
        <f>B134</f>
        <v/>
      </c>
      <c r="C268" s="21">
        <f>100*(C134-C133)</f>
        <v/>
      </c>
      <c r="D268" s="21">
        <f>100*(D134-D133)</f>
        <v/>
      </c>
      <c r="E268" s="21">
        <f>100*(E134-E133)</f>
        <v/>
      </c>
      <c r="F268" s="21">
        <f>100*(F134-F133)</f>
        <v/>
      </c>
      <c r="G268" s="21">
        <f>100*(G134-G133)</f>
        <v/>
      </c>
      <c r="H268" s="21">
        <f>100*(H134-H133)</f>
        <v/>
      </c>
      <c r="I268" s="21">
        <f>100*(I134-I133)</f>
        <v/>
      </c>
      <c r="J268" s="21">
        <f>100*(J134-J133)</f>
        <v/>
      </c>
      <c r="K268" s="21">
        <f>100*(K134-K133)</f>
        <v/>
      </c>
      <c r="L268" s="21">
        <f>100*(L134-L133)</f>
        <v/>
      </c>
      <c r="M268" s="21">
        <f>100*(M134-M133)</f>
        <v/>
      </c>
      <c r="N268" s="21">
        <f>100*(N134-N133)</f>
        <v/>
      </c>
      <c r="O268" s="21">
        <f>100*(O134-O133)</f>
        <v/>
      </c>
      <c r="P268" s="21">
        <f>100*(P134-P133)</f>
        <v/>
      </c>
      <c r="Q268" s="21">
        <f>100*(Q134-Q133)</f>
        <v/>
      </c>
      <c r="R268" s="21">
        <f>100*(R134-R133)</f>
        <v/>
      </c>
      <c r="S268" s="21">
        <f>100*(S134-S133)</f>
        <v/>
      </c>
      <c r="T268" s="21">
        <f>100*(T134-T133)</f>
        <v/>
      </c>
      <c r="U268" s="21">
        <f>100*(U134-U133)</f>
        <v/>
      </c>
      <c r="V268" s="21">
        <f>100*(V134-V133)</f>
        <v/>
      </c>
      <c r="W268" s="21">
        <f>100*(W134-W133)</f>
        <v/>
      </c>
      <c r="X268" s="21">
        <f>100*(X134-X133)</f>
        <v/>
      </c>
      <c r="Y268" s="21">
        <f>100*(Y134-Y133)</f>
        <v/>
      </c>
      <c r="Z268" s="21">
        <f>100*(Z134-Z133)</f>
        <v/>
      </c>
      <c r="AA268" s="21">
        <f>100*(AA134-AA133)</f>
        <v/>
      </c>
      <c r="AB268" s="21">
        <f>100*(AB134-AB133)</f>
        <v/>
      </c>
      <c r="AC268" s="21">
        <f>100*(AC134-AC133)</f>
        <v/>
      </c>
      <c r="AD268" s="21">
        <f>100*(AD134-AD133)</f>
        <v/>
      </c>
      <c r="AE268" s="21">
        <f>100*(AE134-AE133)</f>
        <v/>
      </c>
      <c r="AF268" s="21">
        <f>100*(AF134-AF133)</f>
        <v/>
      </c>
      <c r="AG268" s="21">
        <f>100*(AG134-AG133)</f>
        <v/>
      </c>
      <c r="AH268" s="21">
        <f>100*(AH134-AH133)</f>
        <v/>
      </c>
      <c r="AI268" s="21">
        <f>100*(AI134-AI133)</f>
        <v/>
      </c>
      <c r="AJ268" s="21">
        <f>100*(AJ134-AJ133)</f>
        <v/>
      </c>
      <c r="AK268" s="21">
        <f>100*(AK134-AK133)</f>
        <v/>
      </c>
      <c r="AL268" s="21">
        <f>AVERAGE(C268:AK268)</f>
        <v/>
      </c>
    </row>
    <row r="269">
      <c r="A269" s="19">
        <f>A135</f>
        <v/>
      </c>
      <c r="B269" s="20">
        <f>B135</f>
        <v/>
      </c>
      <c r="C269" s="21">
        <f>100*(C135-C134)</f>
        <v/>
      </c>
      <c r="D269" s="21">
        <f>100*(D135-D134)</f>
        <v/>
      </c>
      <c r="E269" s="21">
        <f>100*(E135-E134)</f>
        <v/>
      </c>
      <c r="F269" s="21">
        <f>100*(F135-F134)</f>
        <v/>
      </c>
      <c r="G269" s="21">
        <f>100*(G135-G134)</f>
        <v/>
      </c>
      <c r="H269" s="21">
        <f>100*(H135-H134)</f>
        <v/>
      </c>
      <c r="I269" s="21">
        <f>100*(I135-I134)</f>
        <v/>
      </c>
      <c r="J269" s="21">
        <f>100*(J135-J134)</f>
        <v/>
      </c>
      <c r="K269" s="21">
        <f>100*(K135-K134)</f>
        <v/>
      </c>
      <c r="L269" s="21">
        <f>100*(L135-L134)</f>
        <v/>
      </c>
      <c r="M269" s="21">
        <f>100*(M135-M134)</f>
        <v/>
      </c>
      <c r="N269" s="21">
        <f>100*(N135-N134)</f>
        <v/>
      </c>
      <c r="O269" s="21">
        <f>100*(O135-O134)</f>
        <v/>
      </c>
      <c r="P269" s="21">
        <f>100*(P135-P134)</f>
        <v/>
      </c>
      <c r="Q269" s="21">
        <f>100*(Q135-Q134)</f>
        <v/>
      </c>
      <c r="R269" s="21">
        <f>100*(R135-R134)</f>
        <v/>
      </c>
      <c r="S269" s="21">
        <f>100*(S135-S134)</f>
        <v/>
      </c>
      <c r="T269" s="21">
        <f>100*(T135-T134)</f>
        <v/>
      </c>
      <c r="U269" s="21">
        <f>100*(U135-U134)</f>
        <v/>
      </c>
      <c r="V269" s="21">
        <f>100*(V135-V134)</f>
        <v/>
      </c>
      <c r="W269" s="21">
        <f>100*(W135-W134)</f>
        <v/>
      </c>
      <c r="X269" s="21">
        <f>100*(X135-X134)</f>
        <v/>
      </c>
      <c r="Y269" s="21">
        <f>100*(Y135-Y134)</f>
        <v/>
      </c>
      <c r="Z269" s="21">
        <f>100*(Z135-Z134)</f>
        <v/>
      </c>
      <c r="AA269" s="21">
        <f>100*(AA135-AA134)</f>
        <v/>
      </c>
      <c r="AB269" s="21">
        <f>100*(AB135-AB134)</f>
        <v/>
      </c>
      <c r="AC269" s="21">
        <f>100*(AC135-AC134)</f>
        <v/>
      </c>
      <c r="AD269" s="21">
        <f>100*(AD135-AD134)</f>
        <v/>
      </c>
      <c r="AE269" s="21">
        <f>100*(AE135-AE134)</f>
        <v/>
      </c>
      <c r="AF269" s="21">
        <f>100*(AF135-AF134)</f>
        <v/>
      </c>
      <c r="AG269" s="21">
        <f>100*(AG135-AG134)</f>
        <v/>
      </c>
      <c r="AH269" s="21">
        <f>100*(AH135-AH134)</f>
        <v/>
      </c>
      <c r="AI269" s="21">
        <f>100*(AI135-AI134)</f>
        <v/>
      </c>
      <c r="AJ269" s="21">
        <f>100*(AJ135-AJ134)</f>
        <v/>
      </c>
      <c r="AK269" s="21">
        <f>100*(AK135-AK134)</f>
        <v/>
      </c>
      <c r="AL269" s="21">
        <f>AVERAGE(C269:AK269)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5" t="inlineStr">
        <is>
          <t>A2: 3¾% Treasury Gilt 2020, auction 21 Oct 2010 - M2 with control B-β (decision #13)</t>
        </is>
      </c>
    </row>
    <row r="3">
      <c r="A3" s="3" t="inlineStr">
        <is>
          <t>k</t>
        </is>
      </c>
      <c r="B3" s="3" t="inlineStr">
        <is>
          <t>Date</t>
        </is>
      </c>
      <c r="C3" s="3" t="inlineStr">
        <is>
          <t>Model yield y (%)</t>
        </is>
      </c>
      <c r="D3" s="3" t="inlineStr">
        <is>
          <t>Δy (bp)</t>
        </is>
      </c>
      <c r="E3" s="3" t="inlineStr">
        <is>
          <t>Δc (bp), from control sheet</t>
        </is>
      </c>
      <c r="F3" s="3" t="inlineStr">
        <is>
          <t>In β window (1/0)</t>
        </is>
      </c>
      <c r="G3" s="3" t="inlineStr">
        <is>
          <t>AR B-β = Δy - β·Δc</t>
        </is>
      </c>
      <c r="H3" s="3" t="inlineStr">
        <is>
          <t>CAR B-β (base T-6)</t>
        </is>
      </c>
      <c r="I3" s="3" t="inlineStr">
        <is>
          <t>AR B (β = 1)</t>
        </is>
      </c>
      <c r="J3" s="3" t="inlineStr">
        <is>
          <t>CAR B</t>
        </is>
      </c>
      <c r="K3" s="3" t="inlineStr">
        <is>
          <t>Raw cumulative Δy</t>
        </is>
      </c>
    </row>
    <row r="4">
      <c r="A4" s="9" t="n">
        <v>-121</v>
      </c>
      <c r="B4" s="7" t="n">
        <v>40298</v>
      </c>
      <c r="C4" s="14" t="n">
        <v>4.00032594669</v>
      </c>
      <c r="F4" s="9" t="n">
        <v>0</v>
      </c>
    </row>
    <row r="5">
      <c r="A5" s="9" t="n">
        <v>-120</v>
      </c>
      <c r="B5" s="7" t="n">
        <v>40302</v>
      </c>
      <c r="C5" s="14" t="n">
        <v>3.9231927948</v>
      </c>
      <c r="D5" s="21">
        <f>100*(C5-C4)</f>
        <v/>
      </c>
      <c r="E5" s="22">
        <f>'A2 control'!AL139</f>
        <v/>
      </c>
      <c r="F5" s="9" t="n">
        <v>1</v>
      </c>
    </row>
    <row r="6">
      <c r="A6" s="9" t="n">
        <v>-119</v>
      </c>
      <c r="B6" s="7" t="n">
        <v>40303</v>
      </c>
      <c r="C6" s="14" t="n">
        <v>3.90036582876</v>
      </c>
      <c r="D6" s="21">
        <f>100*(C6-C5)</f>
        <v/>
      </c>
      <c r="E6" s="22">
        <f>'A2 control'!AL140</f>
        <v/>
      </c>
      <c r="F6" s="9" t="n">
        <v>1</v>
      </c>
    </row>
    <row r="7">
      <c r="A7" s="9" t="n">
        <v>-118</v>
      </c>
      <c r="B7" s="7" t="n">
        <v>40304</v>
      </c>
      <c r="C7" s="14" t="n">
        <v>3.88002510459</v>
      </c>
      <c r="D7" s="21">
        <f>100*(C7-C6)</f>
        <v/>
      </c>
      <c r="E7" s="22">
        <f>'A2 control'!AL141</f>
        <v/>
      </c>
      <c r="F7" s="9" t="n">
        <v>1</v>
      </c>
    </row>
    <row r="8">
      <c r="A8" s="9" t="n">
        <v>-117</v>
      </c>
      <c r="B8" s="7" t="n">
        <v>40305</v>
      </c>
      <c r="C8" s="14" t="n">
        <v>3.91896380226</v>
      </c>
      <c r="D8" s="21">
        <f>100*(C8-C7)</f>
        <v/>
      </c>
      <c r="E8" s="22">
        <f>'A2 control'!AL142</f>
        <v/>
      </c>
      <c r="F8" s="9" t="n">
        <v>1</v>
      </c>
    </row>
    <row r="9">
      <c r="A9" s="9" t="n">
        <v>-116</v>
      </c>
      <c r="B9" s="7" t="n">
        <v>40308</v>
      </c>
      <c r="C9" s="14" t="n">
        <v>4.00493113001</v>
      </c>
      <c r="D9" s="21">
        <f>100*(C9-C8)</f>
        <v/>
      </c>
      <c r="E9" s="22">
        <f>'A2 control'!AL143</f>
        <v/>
      </c>
      <c r="F9" s="9" t="n">
        <v>1</v>
      </c>
    </row>
    <row r="10">
      <c r="A10" s="9" t="n">
        <v>-115</v>
      </c>
      <c r="B10" s="7" t="n">
        <v>40309</v>
      </c>
      <c r="C10" s="14" t="n">
        <v>3.9721513669</v>
      </c>
      <c r="D10" s="21">
        <f>100*(C10-C9)</f>
        <v/>
      </c>
      <c r="E10" s="22">
        <f>'A2 control'!AL144</f>
        <v/>
      </c>
      <c r="F10" s="9" t="n">
        <v>1</v>
      </c>
    </row>
    <row r="11">
      <c r="A11" s="9" t="n">
        <v>-114</v>
      </c>
      <c r="B11" s="7" t="n">
        <v>40310</v>
      </c>
      <c r="C11" s="14" t="n">
        <v>3.9235317529</v>
      </c>
      <c r="D11" s="21">
        <f>100*(C11-C10)</f>
        <v/>
      </c>
      <c r="E11" s="22">
        <f>'A2 control'!AL145</f>
        <v/>
      </c>
      <c r="F11" s="9" t="n">
        <v>1</v>
      </c>
    </row>
    <row r="12">
      <c r="A12" s="9" t="n">
        <v>-113</v>
      </c>
      <c r="B12" s="7" t="n">
        <v>40311</v>
      </c>
      <c r="C12" s="14" t="n">
        <v>3.92796613746</v>
      </c>
      <c r="D12" s="21">
        <f>100*(C12-C11)</f>
        <v/>
      </c>
      <c r="E12" s="22">
        <f>'A2 control'!AL146</f>
        <v/>
      </c>
      <c r="F12" s="9" t="n">
        <v>1</v>
      </c>
    </row>
    <row r="13">
      <c r="A13" s="9" t="n">
        <v>-112</v>
      </c>
      <c r="B13" s="7" t="n">
        <v>40312</v>
      </c>
      <c r="C13" s="14" t="n">
        <v>3.84842629387</v>
      </c>
      <c r="D13" s="21">
        <f>100*(C13-C12)</f>
        <v/>
      </c>
      <c r="E13" s="22">
        <f>'A2 control'!AL147</f>
        <v/>
      </c>
      <c r="F13" s="9" t="n">
        <v>1</v>
      </c>
    </row>
    <row r="14">
      <c r="A14" s="9" t="n">
        <v>-111</v>
      </c>
      <c r="B14" s="7" t="n">
        <v>40315</v>
      </c>
      <c r="C14" s="14" t="n">
        <v>3.83896139783</v>
      </c>
      <c r="D14" s="21">
        <f>100*(C14-C13)</f>
        <v/>
      </c>
      <c r="E14" s="22">
        <f>'A2 control'!AL148</f>
        <v/>
      </c>
      <c r="F14" s="9" t="n">
        <v>1</v>
      </c>
    </row>
    <row r="15">
      <c r="A15" s="9" t="n">
        <v>-110</v>
      </c>
      <c r="B15" s="7" t="n">
        <v>40316</v>
      </c>
      <c r="C15" s="14" t="n">
        <v>3.84590899382</v>
      </c>
      <c r="D15" s="21">
        <f>100*(C15-C14)</f>
        <v/>
      </c>
      <c r="E15" s="22">
        <f>'A2 control'!AL149</f>
        <v/>
      </c>
      <c r="F15" s="9" t="n">
        <v>1</v>
      </c>
    </row>
    <row r="16">
      <c r="A16" s="9" t="n">
        <v>-109</v>
      </c>
      <c r="B16" s="7" t="n">
        <v>40317</v>
      </c>
      <c r="C16" s="14" t="n">
        <v>3.75597345422</v>
      </c>
      <c r="D16" s="21">
        <f>100*(C16-C15)</f>
        <v/>
      </c>
      <c r="E16" s="22">
        <f>'A2 control'!AL150</f>
        <v/>
      </c>
      <c r="F16" s="9" t="n">
        <v>1</v>
      </c>
    </row>
    <row r="17">
      <c r="A17" s="9" t="n">
        <v>-108</v>
      </c>
      <c r="B17" s="7" t="n">
        <v>40318</v>
      </c>
      <c r="C17" s="14" t="n">
        <v>3.65130540833</v>
      </c>
      <c r="D17" s="21">
        <f>100*(C17-C16)</f>
        <v/>
      </c>
      <c r="E17" s="22">
        <f>'A2 control'!AL151</f>
        <v/>
      </c>
      <c r="F17" s="9" t="n">
        <v>1</v>
      </c>
    </row>
    <row r="18">
      <c r="A18" s="9" t="n">
        <v>-107</v>
      </c>
      <c r="B18" s="7" t="n">
        <v>40319</v>
      </c>
      <c r="C18" s="14" t="n">
        <v>3.63498046505</v>
      </c>
      <c r="D18" s="21">
        <f>100*(C18-C17)</f>
        <v/>
      </c>
      <c r="E18" s="22">
        <f>'A2 control'!AL152</f>
        <v/>
      </c>
      <c r="F18" s="9" t="n">
        <v>1</v>
      </c>
    </row>
    <row r="19">
      <c r="A19" s="9" t="n">
        <v>-106</v>
      </c>
      <c r="B19" s="7" t="n">
        <v>40322</v>
      </c>
      <c r="C19" s="14" t="n">
        <v>3.63650175288</v>
      </c>
      <c r="D19" s="21">
        <f>100*(C19-C18)</f>
        <v/>
      </c>
      <c r="E19" s="22">
        <f>'A2 control'!AL153</f>
        <v/>
      </c>
      <c r="F19" s="9" t="n">
        <v>1</v>
      </c>
    </row>
    <row r="20">
      <c r="A20" s="9" t="n">
        <v>-105</v>
      </c>
      <c r="B20" s="7" t="n">
        <v>40323</v>
      </c>
      <c r="C20" s="14" t="n">
        <v>3.55855936569</v>
      </c>
      <c r="D20" s="21">
        <f>100*(C20-C19)</f>
        <v/>
      </c>
      <c r="E20" s="22">
        <f>'A2 control'!AL154</f>
        <v/>
      </c>
      <c r="F20" s="9" t="n">
        <v>1</v>
      </c>
    </row>
    <row r="21">
      <c r="A21" s="9" t="n">
        <v>-104</v>
      </c>
      <c r="B21" s="7" t="n">
        <v>40324</v>
      </c>
      <c r="C21" s="14" t="n">
        <v>3.65550782576</v>
      </c>
      <c r="D21" s="21">
        <f>100*(C21-C20)</f>
        <v/>
      </c>
      <c r="E21" s="22">
        <f>'A2 control'!AL155</f>
        <v/>
      </c>
      <c r="F21" s="9" t="n">
        <v>1</v>
      </c>
    </row>
    <row r="22">
      <c r="A22" s="9" t="n">
        <v>-103</v>
      </c>
      <c r="B22" s="7" t="n">
        <v>40325</v>
      </c>
      <c r="C22" s="14" t="n">
        <v>3.71146221426</v>
      </c>
      <c r="D22" s="21">
        <f>100*(C22-C21)</f>
        <v/>
      </c>
      <c r="E22" s="22">
        <f>'A2 control'!AL156</f>
        <v/>
      </c>
      <c r="F22" s="9" t="n">
        <v>1</v>
      </c>
    </row>
    <row r="23">
      <c r="A23" s="9" t="n">
        <v>-102</v>
      </c>
      <c r="B23" s="7" t="n">
        <v>40326</v>
      </c>
      <c r="C23" s="14" t="n">
        <v>3.68752960647</v>
      </c>
      <c r="D23" s="21">
        <f>100*(C23-C22)</f>
        <v/>
      </c>
      <c r="E23" s="22">
        <f>'A2 control'!AL157</f>
        <v/>
      </c>
      <c r="F23" s="9" t="n">
        <v>1</v>
      </c>
    </row>
    <row r="24">
      <c r="A24" s="9" t="n">
        <v>-101</v>
      </c>
      <c r="B24" s="7" t="n">
        <v>40330</v>
      </c>
      <c r="C24" s="14" t="n">
        <v>3.68010367969</v>
      </c>
      <c r="D24" s="21">
        <f>100*(C24-C23)</f>
        <v/>
      </c>
      <c r="E24" s="22">
        <f>'A2 control'!AL158</f>
        <v/>
      </c>
      <c r="F24" s="9" t="n">
        <v>1</v>
      </c>
    </row>
    <row r="25">
      <c r="A25" s="9" t="n">
        <v>-100</v>
      </c>
      <c r="B25" s="7" t="n">
        <v>40331</v>
      </c>
      <c r="C25" s="14" t="n">
        <v>3.65171690645</v>
      </c>
      <c r="D25" s="21">
        <f>100*(C25-C24)</f>
        <v/>
      </c>
      <c r="E25" s="22">
        <f>'A2 control'!AL159</f>
        <v/>
      </c>
      <c r="F25" s="9" t="n">
        <v>1</v>
      </c>
    </row>
    <row r="26">
      <c r="A26" s="9" t="n">
        <v>-99</v>
      </c>
      <c r="B26" s="7" t="n">
        <v>40332</v>
      </c>
      <c r="C26" s="14" t="n">
        <v>3.69839419183</v>
      </c>
      <c r="D26" s="21">
        <f>100*(C26-C25)</f>
        <v/>
      </c>
      <c r="E26" s="22">
        <f>'A2 control'!AL160</f>
        <v/>
      </c>
      <c r="F26" s="9" t="n">
        <v>1</v>
      </c>
    </row>
    <row r="27">
      <c r="A27" s="9" t="n">
        <v>-98</v>
      </c>
      <c r="B27" s="7" t="n">
        <v>40333</v>
      </c>
      <c r="C27" s="14" t="n">
        <v>3.62639690784</v>
      </c>
      <c r="D27" s="21">
        <f>100*(C27-C26)</f>
        <v/>
      </c>
      <c r="E27" s="22">
        <f>'A2 control'!AL161</f>
        <v/>
      </c>
      <c r="F27" s="9" t="n">
        <v>1</v>
      </c>
    </row>
    <row r="28">
      <c r="A28" s="9" t="n">
        <v>-97</v>
      </c>
      <c r="B28" s="7" t="n">
        <v>40336</v>
      </c>
      <c r="C28" s="14" t="n">
        <v>3.60451551887</v>
      </c>
      <c r="D28" s="21">
        <f>100*(C28-C27)</f>
        <v/>
      </c>
      <c r="E28" s="22">
        <f>'A2 control'!AL162</f>
        <v/>
      </c>
      <c r="F28" s="9" t="n">
        <v>1</v>
      </c>
    </row>
    <row r="29">
      <c r="A29" s="9" t="n">
        <v>-96</v>
      </c>
      <c r="B29" s="7" t="n">
        <v>40337</v>
      </c>
      <c r="C29" s="14" t="n">
        <v>3.57893899029</v>
      </c>
      <c r="D29" s="21">
        <f>100*(C29-C28)</f>
        <v/>
      </c>
      <c r="E29" s="22">
        <f>'A2 control'!AL163</f>
        <v/>
      </c>
      <c r="F29" s="9" t="n">
        <v>1</v>
      </c>
    </row>
    <row r="30">
      <c r="A30" s="9" t="n">
        <v>-95</v>
      </c>
      <c r="B30" s="7" t="n">
        <v>40338</v>
      </c>
      <c r="C30" s="14" t="n">
        <v>3.63519858944</v>
      </c>
      <c r="D30" s="21">
        <f>100*(C30-C29)</f>
        <v/>
      </c>
      <c r="E30" s="22">
        <f>'A2 control'!AL164</f>
        <v/>
      </c>
      <c r="F30" s="9" t="n">
        <v>1</v>
      </c>
    </row>
    <row r="31">
      <c r="A31" s="9" t="n">
        <v>-94</v>
      </c>
      <c r="B31" s="7" t="n">
        <v>40339</v>
      </c>
      <c r="C31" s="14" t="n">
        <v>3.66823333784</v>
      </c>
      <c r="D31" s="21">
        <f>100*(C31-C30)</f>
        <v/>
      </c>
      <c r="E31" s="22">
        <f>'A2 control'!AL165</f>
        <v/>
      </c>
      <c r="F31" s="9" t="n">
        <v>1</v>
      </c>
    </row>
    <row r="32">
      <c r="A32" s="9" t="n">
        <v>-93</v>
      </c>
      <c r="B32" s="7" t="n">
        <v>40340</v>
      </c>
      <c r="C32" s="14" t="n">
        <v>3.57431802555</v>
      </c>
      <c r="D32" s="21">
        <f>100*(C32-C31)</f>
        <v/>
      </c>
      <c r="E32" s="22">
        <f>'A2 control'!AL166</f>
        <v/>
      </c>
      <c r="F32" s="9" t="n">
        <v>1</v>
      </c>
    </row>
    <row r="33">
      <c r="A33" s="9" t="n">
        <v>-92</v>
      </c>
      <c r="B33" s="7" t="n">
        <v>40343</v>
      </c>
      <c r="C33" s="14" t="n">
        <v>3.66286447569</v>
      </c>
      <c r="D33" s="21">
        <f>100*(C33-C32)</f>
        <v/>
      </c>
      <c r="E33" s="22">
        <f>'A2 control'!AL167</f>
        <v/>
      </c>
      <c r="F33" s="9" t="n">
        <v>1</v>
      </c>
    </row>
    <row r="34">
      <c r="A34" s="9" t="n">
        <v>-91</v>
      </c>
      <c r="B34" s="7" t="n">
        <v>40344</v>
      </c>
      <c r="C34" s="14" t="n">
        <v>3.66732277015</v>
      </c>
      <c r="D34" s="21">
        <f>100*(C34-C33)</f>
        <v/>
      </c>
      <c r="E34" s="22">
        <f>'A2 control'!AL168</f>
        <v/>
      </c>
      <c r="F34" s="9" t="n">
        <v>1</v>
      </c>
    </row>
    <row r="35">
      <c r="A35" s="9" t="n">
        <v>-90</v>
      </c>
      <c r="B35" s="7" t="n">
        <v>40345</v>
      </c>
      <c r="C35" s="14" t="n">
        <v>3.65322710931</v>
      </c>
      <c r="D35" s="21">
        <f>100*(C35-C34)</f>
        <v/>
      </c>
      <c r="E35" s="22">
        <f>'A2 control'!AL169</f>
        <v/>
      </c>
      <c r="F35" s="9" t="n">
        <v>1</v>
      </c>
    </row>
    <row r="36">
      <c r="A36" s="9" t="n">
        <v>-89</v>
      </c>
      <c r="B36" s="7" t="n">
        <v>40346</v>
      </c>
      <c r="C36" s="14" t="n">
        <v>3.60747688818</v>
      </c>
      <c r="D36" s="21">
        <f>100*(C36-C35)</f>
        <v/>
      </c>
      <c r="E36" s="22">
        <f>'A2 control'!AL170</f>
        <v/>
      </c>
      <c r="F36" s="9" t="n">
        <v>1</v>
      </c>
    </row>
    <row r="37">
      <c r="A37" s="9" t="n">
        <v>-88</v>
      </c>
      <c r="B37" s="7" t="n">
        <v>40347</v>
      </c>
      <c r="C37" s="14" t="n">
        <v>3.65920895448</v>
      </c>
      <c r="D37" s="21">
        <f>100*(C37-C36)</f>
        <v/>
      </c>
      <c r="E37" s="22">
        <f>'A2 control'!AL171</f>
        <v/>
      </c>
      <c r="F37" s="9" t="n">
        <v>1</v>
      </c>
    </row>
    <row r="38">
      <c r="A38" s="9" t="n">
        <v>-87</v>
      </c>
      <c r="B38" s="7" t="n">
        <v>40350</v>
      </c>
      <c r="C38" s="14" t="n">
        <v>3.62884637118</v>
      </c>
      <c r="D38" s="21">
        <f>100*(C38-C37)</f>
        <v/>
      </c>
      <c r="E38" s="22">
        <f>'A2 control'!AL172</f>
        <v/>
      </c>
      <c r="F38" s="9" t="n">
        <v>1</v>
      </c>
    </row>
    <row r="39">
      <c r="A39" s="9" t="n">
        <v>-86</v>
      </c>
      <c r="B39" s="7" t="n">
        <v>40351</v>
      </c>
      <c r="C39" s="14" t="n">
        <v>3.57766392492</v>
      </c>
      <c r="D39" s="21">
        <f>100*(C39-C38)</f>
        <v/>
      </c>
      <c r="E39" s="22">
        <f>'A2 control'!AL173</f>
        <v/>
      </c>
      <c r="F39" s="9" t="n">
        <v>1</v>
      </c>
    </row>
    <row r="40">
      <c r="A40" s="9" t="n">
        <v>-85</v>
      </c>
      <c r="B40" s="7" t="n">
        <v>40352</v>
      </c>
      <c r="C40" s="14" t="n">
        <v>3.55692411271</v>
      </c>
      <c r="D40" s="21">
        <f>100*(C40-C39)</f>
        <v/>
      </c>
      <c r="E40" s="22">
        <f>'A2 control'!AL174</f>
        <v/>
      </c>
      <c r="F40" s="9" t="n">
        <v>1</v>
      </c>
    </row>
    <row r="41">
      <c r="A41" s="9" t="n">
        <v>-84</v>
      </c>
      <c r="B41" s="7" t="n">
        <v>40353</v>
      </c>
      <c r="C41" s="14" t="n">
        <v>3.50519012235</v>
      </c>
      <c r="D41" s="21">
        <f>100*(C41-C40)</f>
        <v/>
      </c>
      <c r="E41" s="22">
        <f>'A2 control'!AL175</f>
        <v/>
      </c>
      <c r="F41" s="9" t="n">
        <v>1</v>
      </c>
    </row>
    <row r="42">
      <c r="A42" s="9" t="n">
        <v>-83</v>
      </c>
      <c r="B42" s="7" t="n">
        <v>40354</v>
      </c>
      <c r="C42" s="14" t="n">
        <v>3.50315999425</v>
      </c>
      <c r="D42" s="21">
        <f>100*(C42-C41)</f>
        <v/>
      </c>
      <c r="E42" s="22">
        <f>'A2 control'!AL176</f>
        <v/>
      </c>
      <c r="F42" s="9" t="n">
        <v>1</v>
      </c>
    </row>
    <row r="43">
      <c r="A43" s="9" t="n">
        <v>-82</v>
      </c>
      <c r="B43" s="7" t="n">
        <v>40357</v>
      </c>
      <c r="C43" s="14" t="n">
        <v>3.49954688272</v>
      </c>
      <c r="D43" s="21">
        <f>100*(C43-C42)</f>
        <v/>
      </c>
      <c r="E43" s="22">
        <f>'A2 control'!AL177</f>
        <v/>
      </c>
      <c r="F43" s="9" t="n">
        <v>1</v>
      </c>
    </row>
    <row r="44">
      <c r="A44" s="9" t="n">
        <v>-81</v>
      </c>
      <c r="B44" s="7" t="n">
        <v>40358</v>
      </c>
      <c r="C44" s="14" t="n">
        <v>3.51437075009</v>
      </c>
      <c r="D44" s="21">
        <f>100*(C44-C43)</f>
        <v/>
      </c>
      <c r="E44" s="22">
        <f>'A2 control'!AL178</f>
        <v/>
      </c>
      <c r="F44" s="9" t="n">
        <v>1</v>
      </c>
    </row>
    <row r="45">
      <c r="A45" s="9" t="n">
        <v>-80</v>
      </c>
      <c r="B45" s="7" t="n">
        <v>40359</v>
      </c>
      <c r="C45" s="14" t="n">
        <v>3.47320877981</v>
      </c>
      <c r="D45" s="21">
        <f>100*(C45-C44)</f>
        <v/>
      </c>
      <c r="E45" s="22">
        <f>'A2 control'!AL179</f>
        <v/>
      </c>
      <c r="F45" s="9" t="n">
        <v>1</v>
      </c>
    </row>
    <row r="46">
      <c r="A46" s="9" t="n">
        <v>-79</v>
      </c>
      <c r="B46" s="7" t="n">
        <v>40360</v>
      </c>
      <c r="C46" s="14" t="n">
        <v>3.43073580414</v>
      </c>
      <c r="D46" s="21">
        <f>100*(C46-C45)</f>
        <v/>
      </c>
      <c r="E46" s="22">
        <f>'A2 control'!AL180</f>
        <v/>
      </c>
      <c r="F46" s="9" t="n">
        <v>1</v>
      </c>
    </row>
    <row r="47">
      <c r="A47" s="9" t="n">
        <v>-78</v>
      </c>
      <c r="B47" s="7" t="n">
        <v>40361</v>
      </c>
      <c r="C47" s="14" t="n">
        <v>3.476019232</v>
      </c>
      <c r="D47" s="21">
        <f>100*(C47-C46)</f>
        <v/>
      </c>
      <c r="E47" s="22">
        <f>'A2 control'!AL181</f>
        <v/>
      </c>
      <c r="F47" s="9" t="n">
        <v>1</v>
      </c>
    </row>
    <row r="48">
      <c r="A48" s="9" t="n">
        <v>-77</v>
      </c>
      <c r="B48" s="7" t="n">
        <v>40364</v>
      </c>
      <c r="C48" s="14" t="n">
        <v>3.43594453243</v>
      </c>
      <c r="D48" s="21">
        <f>100*(C48-C47)</f>
        <v/>
      </c>
      <c r="E48" s="22">
        <f>'A2 control'!AL182</f>
        <v/>
      </c>
      <c r="F48" s="9" t="n">
        <v>1</v>
      </c>
    </row>
    <row r="49">
      <c r="A49" s="9" t="n">
        <v>-76</v>
      </c>
      <c r="B49" s="7" t="n">
        <v>40365</v>
      </c>
      <c r="C49" s="14" t="n">
        <v>3.46486743131</v>
      </c>
      <c r="D49" s="21">
        <f>100*(C49-C48)</f>
        <v/>
      </c>
      <c r="E49" s="22">
        <f>'A2 control'!AL183</f>
        <v/>
      </c>
      <c r="F49" s="9" t="n">
        <v>1</v>
      </c>
    </row>
    <row r="50">
      <c r="A50" s="9" t="n">
        <v>-75</v>
      </c>
      <c r="B50" s="7" t="n">
        <v>40366</v>
      </c>
      <c r="C50" s="14" t="n">
        <v>3.47587493733</v>
      </c>
      <c r="D50" s="21">
        <f>100*(C50-C49)</f>
        <v/>
      </c>
      <c r="E50" s="22">
        <f>'A2 control'!AL184</f>
        <v/>
      </c>
      <c r="F50" s="9" t="n">
        <v>1</v>
      </c>
    </row>
    <row r="51">
      <c r="A51" s="9" t="n">
        <v>-74</v>
      </c>
      <c r="B51" s="7" t="n">
        <v>40367</v>
      </c>
      <c r="C51" s="14" t="n">
        <v>3.48449411275</v>
      </c>
      <c r="D51" s="21">
        <f>100*(C51-C50)</f>
        <v/>
      </c>
      <c r="E51" s="22">
        <f>'A2 control'!AL185</f>
        <v/>
      </c>
      <c r="F51" s="9" t="n">
        <v>1</v>
      </c>
    </row>
    <row r="52">
      <c r="A52" s="9" t="n">
        <v>-73</v>
      </c>
      <c r="B52" s="7" t="n">
        <v>40368</v>
      </c>
      <c r="C52" s="14" t="n">
        <v>3.44330881892</v>
      </c>
      <c r="D52" s="21">
        <f>100*(C52-C51)</f>
        <v/>
      </c>
      <c r="E52" s="22">
        <f>'A2 control'!AL186</f>
        <v/>
      </c>
      <c r="F52" s="9" t="n">
        <v>1</v>
      </c>
    </row>
    <row r="53">
      <c r="A53" s="9" t="n">
        <v>-72</v>
      </c>
      <c r="B53" s="7" t="n">
        <v>40371</v>
      </c>
      <c r="C53" s="14" t="n">
        <v>3.44857294511</v>
      </c>
      <c r="D53" s="21">
        <f>100*(C53-C52)</f>
        <v/>
      </c>
      <c r="E53" s="22">
        <f>'A2 control'!AL187</f>
        <v/>
      </c>
      <c r="F53" s="9" t="n">
        <v>1</v>
      </c>
    </row>
    <row r="54">
      <c r="A54" s="9" t="n">
        <v>-71</v>
      </c>
      <c r="B54" s="7" t="n">
        <v>40372</v>
      </c>
      <c r="C54" s="14" t="n">
        <v>3.48972589022</v>
      </c>
      <c r="D54" s="21">
        <f>100*(C54-C53)</f>
        <v/>
      </c>
      <c r="E54" s="22">
        <f>'A2 control'!AL188</f>
        <v/>
      </c>
      <c r="F54" s="9" t="n">
        <v>1</v>
      </c>
    </row>
    <row r="55">
      <c r="A55" s="9" t="n">
        <v>-70</v>
      </c>
      <c r="B55" s="7" t="n">
        <v>40373</v>
      </c>
      <c r="C55" s="14" t="n">
        <v>3.51480050386</v>
      </c>
      <c r="D55" s="21">
        <f>100*(C55-C54)</f>
        <v/>
      </c>
      <c r="E55" s="22">
        <f>'A2 control'!AL189</f>
        <v/>
      </c>
      <c r="F55" s="9" t="n">
        <v>1</v>
      </c>
    </row>
    <row r="56">
      <c r="A56" s="9" t="n">
        <v>-69</v>
      </c>
      <c r="B56" s="7" t="n">
        <v>40374</v>
      </c>
      <c r="C56" s="14" t="n">
        <v>3.49466611937</v>
      </c>
      <c r="D56" s="21">
        <f>100*(C56-C55)</f>
        <v/>
      </c>
      <c r="E56" s="22">
        <f>'A2 control'!AL190</f>
        <v/>
      </c>
      <c r="F56" s="9" t="n">
        <v>1</v>
      </c>
    </row>
    <row r="57">
      <c r="A57" s="9" t="n">
        <v>-68</v>
      </c>
      <c r="B57" s="7" t="n">
        <v>40375</v>
      </c>
      <c r="C57" s="14" t="n">
        <v>3.45654139843</v>
      </c>
      <c r="D57" s="21">
        <f>100*(C57-C56)</f>
        <v/>
      </c>
      <c r="E57" s="22">
        <f>'A2 control'!AL191</f>
        <v/>
      </c>
      <c r="F57" s="9" t="n">
        <v>1</v>
      </c>
    </row>
    <row r="58">
      <c r="A58" s="9" t="n">
        <v>-67</v>
      </c>
      <c r="B58" s="7" t="n">
        <v>40378</v>
      </c>
      <c r="C58" s="14" t="n">
        <v>3.47285035101</v>
      </c>
      <c r="D58" s="21">
        <f>100*(C58-C57)</f>
        <v/>
      </c>
      <c r="E58" s="22">
        <f>'A2 control'!AL192</f>
        <v/>
      </c>
      <c r="F58" s="9" t="n">
        <v>1</v>
      </c>
    </row>
    <row r="59">
      <c r="A59" s="9" t="n">
        <v>-66</v>
      </c>
      <c r="B59" s="7" t="n">
        <v>40379</v>
      </c>
      <c r="C59" s="14" t="n">
        <v>3.47341005276</v>
      </c>
      <c r="D59" s="21">
        <f>100*(C59-C58)</f>
        <v/>
      </c>
      <c r="E59" s="22">
        <f>'A2 control'!AL193</f>
        <v/>
      </c>
      <c r="F59" s="9" t="n">
        <v>1</v>
      </c>
    </row>
    <row r="60">
      <c r="A60" s="9" t="n">
        <v>-65</v>
      </c>
      <c r="B60" s="7" t="n">
        <v>40380</v>
      </c>
      <c r="C60" s="14" t="n">
        <v>3.4709029688</v>
      </c>
      <c r="D60" s="21">
        <f>100*(C60-C59)</f>
        <v/>
      </c>
      <c r="E60" s="22">
        <f>'A2 control'!AL194</f>
        <v/>
      </c>
      <c r="F60" s="9" t="n">
        <v>1</v>
      </c>
    </row>
    <row r="61">
      <c r="A61" s="9" t="n">
        <v>-64</v>
      </c>
      <c r="B61" s="7" t="n">
        <v>40381</v>
      </c>
      <c r="C61" s="14" t="n">
        <v>3.48171413098</v>
      </c>
      <c r="D61" s="21">
        <f>100*(C61-C60)</f>
        <v/>
      </c>
      <c r="E61" s="22">
        <f>'A2 control'!AL195</f>
        <v/>
      </c>
      <c r="F61" s="9" t="n">
        <v>1</v>
      </c>
    </row>
    <row r="62">
      <c r="A62" s="9" t="n">
        <v>-63</v>
      </c>
      <c r="B62" s="7" t="n">
        <v>40382</v>
      </c>
      <c r="C62" s="14" t="n">
        <v>3.55376569472</v>
      </c>
      <c r="D62" s="21">
        <f>100*(C62-C61)</f>
        <v/>
      </c>
      <c r="E62" s="22">
        <f>'A2 control'!AL196</f>
        <v/>
      </c>
      <c r="F62" s="9" t="n">
        <v>1</v>
      </c>
    </row>
    <row r="63">
      <c r="A63" s="9" t="n">
        <v>-62</v>
      </c>
      <c r="B63" s="7" t="n">
        <v>40385</v>
      </c>
      <c r="C63" s="14" t="n">
        <v>3.57370865594</v>
      </c>
      <c r="D63" s="21">
        <f>100*(C63-C62)</f>
        <v/>
      </c>
      <c r="E63" s="22">
        <f>'A2 control'!AL197</f>
        <v/>
      </c>
      <c r="F63" s="9" t="n">
        <v>1</v>
      </c>
    </row>
    <row r="64">
      <c r="A64" s="9" t="n">
        <v>-61</v>
      </c>
      <c r="B64" s="7" t="n">
        <v>40386</v>
      </c>
      <c r="C64" s="14" t="n">
        <v>3.62527261535</v>
      </c>
      <c r="D64" s="21">
        <f>100*(C64-C63)</f>
        <v/>
      </c>
      <c r="E64" s="22">
        <f>'A2 control'!AL198</f>
        <v/>
      </c>
      <c r="F64" s="9" t="n">
        <v>1</v>
      </c>
    </row>
    <row r="65">
      <c r="A65" s="9" t="n">
        <v>-60</v>
      </c>
      <c r="B65" s="7" t="n">
        <v>40387</v>
      </c>
      <c r="C65" s="14" t="n">
        <v>3.59944198296</v>
      </c>
      <c r="D65" s="21">
        <f>100*(C65-C64)</f>
        <v/>
      </c>
      <c r="E65" s="22">
        <f>'A2 control'!AL199</f>
        <v/>
      </c>
      <c r="F65" s="9" t="n">
        <v>1</v>
      </c>
    </row>
    <row r="66">
      <c r="A66" s="9" t="n">
        <v>-59</v>
      </c>
      <c r="B66" s="7" t="n">
        <v>40388</v>
      </c>
      <c r="C66" s="14" t="n">
        <v>3.53785622784</v>
      </c>
      <c r="D66" s="21">
        <f>100*(C66-C65)</f>
        <v/>
      </c>
      <c r="E66" s="22">
        <f>'A2 control'!AL200</f>
        <v/>
      </c>
      <c r="F66" s="9" t="n">
        <v>1</v>
      </c>
    </row>
    <row r="67">
      <c r="A67" s="9" t="n">
        <v>-58</v>
      </c>
      <c r="B67" s="7" t="n">
        <v>40389</v>
      </c>
      <c r="C67" s="14" t="n">
        <v>3.44618184102</v>
      </c>
      <c r="D67" s="21">
        <f>100*(C67-C66)</f>
        <v/>
      </c>
      <c r="E67" s="22">
        <f>'A2 control'!AL201</f>
        <v/>
      </c>
      <c r="F67" s="9" t="n">
        <v>1</v>
      </c>
    </row>
    <row r="68">
      <c r="A68" s="9" t="n">
        <v>-57</v>
      </c>
      <c r="B68" s="7" t="n">
        <v>40392</v>
      </c>
      <c r="C68" s="14" t="n">
        <v>3.46875712657</v>
      </c>
      <c r="D68" s="21">
        <f>100*(C68-C67)</f>
        <v/>
      </c>
      <c r="E68" s="22">
        <f>'A2 control'!AL202</f>
        <v/>
      </c>
      <c r="F68" s="9" t="n">
        <v>1</v>
      </c>
    </row>
    <row r="69">
      <c r="A69" s="9" t="n">
        <v>-56</v>
      </c>
      <c r="B69" s="7" t="n">
        <v>40393</v>
      </c>
      <c r="C69" s="14" t="n">
        <v>3.40022059215</v>
      </c>
      <c r="D69" s="21">
        <f>100*(C69-C68)</f>
        <v/>
      </c>
      <c r="E69" s="22">
        <f>'A2 control'!AL203</f>
        <v/>
      </c>
      <c r="F69" s="9" t="n">
        <v>1</v>
      </c>
    </row>
    <row r="70">
      <c r="A70" s="9" t="n">
        <v>-55</v>
      </c>
      <c r="B70" s="7" t="n">
        <v>40394</v>
      </c>
      <c r="C70" s="14" t="n">
        <v>3.41383635045</v>
      </c>
      <c r="D70" s="21">
        <f>100*(C70-C69)</f>
        <v/>
      </c>
      <c r="E70" s="22">
        <f>'A2 control'!AL204</f>
        <v/>
      </c>
      <c r="F70" s="9" t="n">
        <v>1</v>
      </c>
    </row>
    <row r="71">
      <c r="A71" s="9" t="n">
        <v>-54</v>
      </c>
      <c r="B71" s="7" t="n">
        <v>40395</v>
      </c>
      <c r="C71" s="14" t="n">
        <v>3.35733868338</v>
      </c>
      <c r="D71" s="21">
        <f>100*(C71-C70)</f>
        <v/>
      </c>
      <c r="E71" s="22">
        <f>'A2 control'!AL205</f>
        <v/>
      </c>
      <c r="F71" s="9" t="n">
        <v>1</v>
      </c>
    </row>
    <row r="72">
      <c r="A72" s="9" t="n">
        <v>-53</v>
      </c>
      <c r="B72" s="7" t="n">
        <v>40396</v>
      </c>
      <c r="C72" s="14" t="n">
        <v>3.3450267032</v>
      </c>
      <c r="D72" s="21">
        <f>100*(C72-C71)</f>
        <v/>
      </c>
      <c r="E72" s="22">
        <f>'A2 control'!AL206</f>
        <v/>
      </c>
      <c r="F72" s="9" t="n">
        <v>1</v>
      </c>
    </row>
    <row r="73">
      <c r="A73" s="9" t="n">
        <v>-52</v>
      </c>
      <c r="B73" s="7" t="n">
        <v>40399</v>
      </c>
      <c r="C73" s="14" t="n">
        <v>3.36285903659</v>
      </c>
      <c r="D73" s="21">
        <f>100*(C73-C72)</f>
        <v/>
      </c>
      <c r="E73" s="22">
        <f>'A2 control'!AL207</f>
        <v/>
      </c>
      <c r="F73" s="9" t="n">
        <v>1</v>
      </c>
    </row>
    <row r="74">
      <c r="A74" s="9" t="n">
        <v>-51</v>
      </c>
      <c r="B74" s="7" t="n">
        <v>40400</v>
      </c>
      <c r="C74" s="14" t="n">
        <v>3.37789107248</v>
      </c>
      <c r="D74" s="21">
        <f>100*(C74-C73)</f>
        <v/>
      </c>
      <c r="E74" s="22">
        <f>'A2 control'!AL208</f>
        <v/>
      </c>
      <c r="F74" s="9" t="n">
        <v>1</v>
      </c>
    </row>
    <row r="75">
      <c r="A75" s="9" t="n">
        <v>-50</v>
      </c>
      <c r="B75" s="7" t="n">
        <v>40401</v>
      </c>
      <c r="C75" s="14" t="n">
        <v>3.26711674384</v>
      </c>
      <c r="D75" s="21">
        <f>100*(C75-C74)</f>
        <v/>
      </c>
      <c r="E75" s="22">
        <f>'A2 control'!AL209</f>
        <v/>
      </c>
      <c r="F75" s="9" t="n">
        <v>1</v>
      </c>
    </row>
    <row r="76">
      <c r="A76" s="9" t="n">
        <v>-49</v>
      </c>
      <c r="B76" s="7" t="n">
        <v>40402</v>
      </c>
      <c r="C76" s="14" t="n">
        <v>3.23864157064</v>
      </c>
      <c r="D76" s="21">
        <f>100*(C76-C75)</f>
        <v/>
      </c>
      <c r="E76" s="22">
        <f>'A2 control'!AL210</f>
        <v/>
      </c>
      <c r="F76" s="9" t="n">
        <v>1</v>
      </c>
    </row>
    <row r="77">
      <c r="A77" s="9" t="n">
        <v>-48</v>
      </c>
      <c r="B77" s="7" t="n">
        <v>40403</v>
      </c>
      <c r="C77" s="14" t="n">
        <v>3.24410579304</v>
      </c>
      <c r="D77" s="21">
        <f>100*(C77-C76)</f>
        <v/>
      </c>
      <c r="E77" s="22">
        <f>'A2 control'!AL211</f>
        <v/>
      </c>
      <c r="F77" s="9" t="n">
        <v>1</v>
      </c>
    </row>
    <row r="78">
      <c r="A78" s="9" t="n">
        <v>-47</v>
      </c>
      <c r="B78" s="7" t="n">
        <v>40406</v>
      </c>
      <c r="C78" s="14" t="n">
        <v>3.1719718595</v>
      </c>
      <c r="D78" s="21">
        <f>100*(C78-C77)</f>
        <v/>
      </c>
      <c r="E78" s="22">
        <f>'A2 control'!AL212</f>
        <v/>
      </c>
      <c r="F78" s="9" t="n">
        <v>1</v>
      </c>
    </row>
    <row r="79">
      <c r="A79" s="9" t="n">
        <v>-46</v>
      </c>
      <c r="B79" s="7" t="n">
        <v>40407</v>
      </c>
      <c r="C79" s="14" t="n">
        <v>3.18814242448</v>
      </c>
      <c r="D79" s="21">
        <f>100*(C79-C78)</f>
        <v/>
      </c>
      <c r="E79" s="22">
        <f>'A2 control'!AL213</f>
        <v/>
      </c>
      <c r="F79" s="9" t="n">
        <v>1</v>
      </c>
    </row>
    <row r="80">
      <c r="A80" s="9" t="n">
        <v>-45</v>
      </c>
      <c r="B80" s="7" t="n">
        <v>40408</v>
      </c>
      <c r="C80" s="14" t="n">
        <v>3.15362276293</v>
      </c>
      <c r="D80" s="21">
        <f>100*(C80-C79)</f>
        <v/>
      </c>
      <c r="E80" s="22">
        <f>'A2 control'!AL214</f>
        <v/>
      </c>
      <c r="F80" s="9" t="n">
        <v>1</v>
      </c>
    </row>
    <row r="81">
      <c r="A81" s="9" t="n">
        <v>-44</v>
      </c>
      <c r="B81" s="7" t="n">
        <v>40409</v>
      </c>
      <c r="C81" s="14" t="n">
        <v>3.13609834957</v>
      </c>
      <c r="D81" s="21">
        <f>100*(C81-C80)</f>
        <v/>
      </c>
      <c r="E81" s="22">
        <f>'A2 control'!AL215</f>
        <v/>
      </c>
      <c r="F81" s="9" t="n">
        <v>1</v>
      </c>
    </row>
    <row r="82">
      <c r="A82" s="9" t="n">
        <v>-43</v>
      </c>
      <c r="B82" s="7" t="n">
        <v>40410</v>
      </c>
      <c r="C82" s="14" t="n">
        <v>3.10166353702</v>
      </c>
      <c r="D82" s="21">
        <f>100*(C82-C81)</f>
        <v/>
      </c>
      <c r="E82" s="22">
        <f>'A2 control'!AL216</f>
        <v/>
      </c>
      <c r="F82" s="9" t="n">
        <v>1</v>
      </c>
    </row>
    <row r="83">
      <c r="A83" s="9" t="n">
        <v>-42</v>
      </c>
      <c r="B83" s="7" t="n">
        <v>40413</v>
      </c>
      <c r="C83" s="14" t="n">
        <v>3.09683999295</v>
      </c>
      <c r="D83" s="21">
        <f>100*(C83-C82)</f>
        <v/>
      </c>
      <c r="E83" s="22">
        <f>'A2 control'!AL217</f>
        <v/>
      </c>
      <c r="F83" s="9" t="n">
        <v>1</v>
      </c>
    </row>
    <row r="84">
      <c r="A84" s="9" t="n">
        <v>-41</v>
      </c>
      <c r="B84" s="7" t="n">
        <v>40414</v>
      </c>
      <c r="C84" s="14" t="n">
        <v>3.00146591602</v>
      </c>
      <c r="D84" s="21">
        <f>100*(C84-C83)</f>
        <v/>
      </c>
      <c r="E84" s="22">
        <f>'A2 control'!AL218</f>
        <v/>
      </c>
      <c r="F84" s="9" t="n">
        <v>1</v>
      </c>
    </row>
    <row r="85">
      <c r="A85" s="9" t="n">
        <v>-40</v>
      </c>
      <c r="B85" s="7" t="n">
        <v>40415</v>
      </c>
      <c r="C85" s="14" t="n">
        <v>2.96611559619</v>
      </c>
      <c r="D85" s="21">
        <f>100*(C85-C84)</f>
        <v/>
      </c>
      <c r="E85" s="22">
        <f>'A2 control'!AL219</f>
        <v/>
      </c>
      <c r="F85" s="9" t="n">
        <v>1</v>
      </c>
    </row>
    <row r="86">
      <c r="A86" s="9" t="n">
        <v>-39</v>
      </c>
      <c r="B86" s="7" t="n">
        <v>40416</v>
      </c>
      <c r="C86" s="14" t="n">
        <v>2.95112110067</v>
      </c>
      <c r="D86" s="21">
        <f>100*(C86-C85)</f>
        <v/>
      </c>
      <c r="E86" s="22">
        <f>'A2 control'!AL220</f>
        <v/>
      </c>
      <c r="F86" s="9" t="n">
        <v>1</v>
      </c>
    </row>
    <row r="87">
      <c r="A87" s="9" t="n">
        <v>-38</v>
      </c>
      <c r="B87" s="7" t="n">
        <v>40417</v>
      </c>
      <c r="C87" s="14" t="n">
        <v>2.95829273615</v>
      </c>
      <c r="D87" s="21">
        <f>100*(C87-C86)</f>
        <v/>
      </c>
      <c r="E87" s="22">
        <f>'A2 control'!AL221</f>
        <v/>
      </c>
      <c r="F87" s="9" t="n">
        <v>1</v>
      </c>
    </row>
    <row r="88">
      <c r="A88" s="9" t="n">
        <v>-37</v>
      </c>
      <c r="B88" s="7" t="n">
        <v>40421</v>
      </c>
      <c r="C88" s="14" t="n">
        <v>2.89373589511</v>
      </c>
      <c r="D88" s="21">
        <f>100*(C88-C87)</f>
        <v/>
      </c>
      <c r="E88" s="22">
        <f>'A2 control'!AL222</f>
        <v/>
      </c>
      <c r="F88" s="9" t="n">
        <v>1</v>
      </c>
    </row>
    <row r="89">
      <c r="A89" s="9" t="n">
        <v>-36</v>
      </c>
      <c r="B89" s="7" t="n">
        <v>40422</v>
      </c>
      <c r="C89" s="14" t="n">
        <v>2.99425317099</v>
      </c>
      <c r="D89" s="21">
        <f>100*(C89-C88)</f>
        <v/>
      </c>
      <c r="E89" s="22">
        <f>'A2 control'!AL223</f>
        <v/>
      </c>
      <c r="F89" s="9" t="n">
        <v>1</v>
      </c>
    </row>
    <row r="90">
      <c r="A90" s="9" t="n">
        <v>-35</v>
      </c>
      <c r="B90" s="7" t="n">
        <v>40423</v>
      </c>
      <c r="C90" s="14" t="n">
        <v>3.02470426975</v>
      </c>
      <c r="D90" s="21">
        <f>100*(C90-C89)</f>
        <v/>
      </c>
      <c r="E90" s="22">
        <f>'A2 control'!AL224</f>
        <v/>
      </c>
      <c r="F90" s="9" t="n">
        <v>1</v>
      </c>
    </row>
    <row r="91">
      <c r="A91" s="9" t="n">
        <v>-34</v>
      </c>
      <c r="B91" s="7" t="n">
        <v>40424</v>
      </c>
      <c r="C91" s="14" t="n">
        <v>3.07033255123</v>
      </c>
      <c r="D91" s="21">
        <f>100*(C91-C90)</f>
        <v/>
      </c>
      <c r="E91" s="22">
        <f>'A2 control'!AL225</f>
        <v/>
      </c>
      <c r="F91" s="9" t="n">
        <v>1</v>
      </c>
    </row>
    <row r="92">
      <c r="A92" s="9" t="n">
        <v>-33</v>
      </c>
      <c r="B92" s="7" t="n">
        <v>40427</v>
      </c>
      <c r="C92" s="14" t="n">
        <v>3.04332342071</v>
      </c>
      <c r="D92" s="21">
        <f>100*(C92-C91)</f>
        <v/>
      </c>
      <c r="E92" s="22">
        <f>'A2 control'!AL226</f>
        <v/>
      </c>
      <c r="F92" s="9" t="n">
        <v>1</v>
      </c>
    </row>
    <row r="93">
      <c r="A93" s="9" t="n">
        <v>-32</v>
      </c>
      <c r="B93" s="7" t="n">
        <v>40428</v>
      </c>
      <c r="C93" s="14" t="n">
        <v>2.97485365097</v>
      </c>
      <c r="D93" s="21">
        <f>100*(C93-C92)</f>
        <v/>
      </c>
      <c r="E93" s="22">
        <f>'A2 control'!AL227</f>
        <v/>
      </c>
      <c r="F93" s="9" t="n">
        <v>1</v>
      </c>
    </row>
    <row r="94">
      <c r="A94" s="9" t="n">
        <v>-31</v>
      </c>
      <c r="B94" s="7" t="n">
        <v>40429</v>
      </c>
      <c r="C94" s="14" t="n">
        <v>3.04942002275</v>
      </c>
      <c r="D94" s="21">
        <f>100*(C94-C93)</f>
        <v/>
      </c>
      <c r="E94" s="22">
        <f>'A2 control'!AL228</f>
        <v/>
      </c>
      <c r="F94" s="9" t="n">
        <v>1</v>
      </c>
    </row>
    <row r="95">
      <c r="A95" s="9" t="n">
        <v>-30</v>
      </c>
      <c r="B95" s="7" t="n">
        <v>40430</v>
      </c>
      <c r="C95" s="14" t="n">
        <v>3.11395097984</v>
      </c>
      <c r="D95" s="21">
        <f>100*(C95-C94)</f>
        <v/>
      </c>
      <c r="E95" s="22">
        <f>'A2 control'!AL229</f>
        <v/>
      </c>
      <c r="F95" s="9" t="n">
        <v>1</v>
      </c>
    </row>
    <row r="96">
      <c r="A96" s="9" t="n">
        <v>-29</v>
      </c>
      <c r="B96" s="7" t="n">
        <v>40431</v>
      </c>
      <c r="C96" s="14" t="n">
        <v>3.18673964156</v>
      </c>
      <c r="D96" s="21">
        <f>100*(C96-C95)</f>
        <v/>
      </c>
      <c r="E96" s="22">
        <f>'A2 control'!AL230</f>
        <v/>
      </c>
      <c r="F96" s="9" t="n">
        <v>1</v>
      </c>
    </row>
    <row r="97">
      <c r="A97" s="9" t="n">
        <v>-28</v>
      </c>
      <c r="B97" s="7" t="n">
        <v>40434</v>
      </c>
      <c r="C97" s="14" t="n">
        <v>3.17917631973</v>
      </c>
      <c r="D97" s="21">
        <f>100*(C97-C96)</f>
        <v/>
      </c>
      <c r="E97" s="22">
        <f>'A2 control'!AL231</f>
        <v/>
      </c>
      <c r="F97" s="9" t="n">
        <v>1</v>
      </c>
    </row>
    <row r="98">
      <c r="A98" s="9" t="n">
        <v>-27</v>
      </c>
      <c r="B98" s="7" t="n">
        <v>40435</v>
      </c>
      <c r="C98" s="14" t="n">
        <v>3.1172656756</v>
      </c>
      <c r="D98" s="21">
        <f>100*(C98-C97)</f>
        <v/>
      </c>
      <c r="E98" s="22">
        <f>'A2 control'!AL232</f>
        <v/>
      </c>
      <c r="F98" s="9" t="n">
        <v>1</v>
      </c>
    </row>
    <row r="99">
      <c r="A99" s="9" t="n">
        <v>-26</v>
      </c>
      <c r="B99" s="7" t="n">
        <v>40436</v>
      </c>
      <c r="C99" s="14" t="n">
        <v>3.14079051925</v>
      </c>
      <c r="D99" s="21">
        <f>100*(C99-C98)</f>
        <v/>
      </c>
      <c r="E99" s="22">
        <f>'A2 control'!AL233</f>
        <v/>
      </c>
      <c r="F99" s="9" t="n">
        <v>1</v>
      </c>
    </row>
    <row r="100">
      <c r="A100" s="9" t="n">
        <v>-25</v>
      </c>
      <c r="B100" s="7" t="n">
        <v>40437</v>
      </c>
      <c r="C100" s="14" t="n">
        <v>3.20450835638</v>
      </c>
      <c r="D100" s="21">
        <f>100*(C100-C99)</f>
        <v/>
      </c>
      <c r="E100" s="22">
        <f>'A2 control'!AL234</f>
        <v/>
      </c>
      <c r="F100" s="9" t="n">
        <v>1</v>
      </c>
    </row>
    <row r="101">
      <c r="A101" s="9" t="n">
        <v>-24</v>
      </c>
      <c r="B101" s="7" t="n">
        <v>40438</v>
      </c>
      <c r="C101" s="14" t="n">
        <v>3.18948487707</v>
      </c>
      <c r="D101" s="21">
        <f>100*(C101-C100)</f>
        <v/>
      </c>
      <c r="E101" s="22">
        <f>'A2 control'!AL235</f>
        <v/>
      </c>
      <c r="F101" s="9" t="n">
        <v>1</v>
      </c>
    </row>
    <row r="102">
      <c r="A102" s="9" t="n">
        <v>-23</v>
      </c>
      <c r="B102" s="7" t="n">
        <v>40441</v>
      </c>
      <c r="C102" s="14" t="n">
        <v>3.21703818896</v>
      </c>
      <c r="D102" s="21">
        <f>100*(C102-C101)</f>
        <v/>
      </c>
      <c r="E102" s="22">
        <f>'A2 control'!AL236</f>
        <v/>
      </c>
      <c r="F102" s="9" t="n">
        <v>1</v>
      </c>
    </row>
    <row r="103">
      <c r="A103" s="9" t="n">
        <v>-22</v>
      </c>
      <c r="B103" s="7" t="n">
        <v>40442</v>
      </c>
      <c r="C103" s="14" t="n">
        <v>3.17963589249</v>
      </c>
      <c r="D103" s="21">
        <f>100*(C103-C102)</f>
        <v/>
      </c>
      <c r="E103" s="22">
        <f>'A2 control'!AL237</f>
        <v/>
      </c>
      <c r="F103" s="9" t="n">
        <v>1</v>
      </c>
    </row>
    <row r="104">
      <c r="A104" s="9" t="n">
        <v>-21</v>
      </c>
      <c r="B104" s="7" t="n">
        <v>40443</v>
      </c>
      <c r="C104" s="14" t="n">
        <v>3.02992456523</v>
      </c>
      <c r="D104" s="21">
        <f>100*(C104-C103)</f>
        <v/>
      </c>
      <c r="E104" s="22">
        <f>'A2 control'!AL238</f>
        <v/>
      </c>
      <c r="F104" s="9" t="n">
        <v>1</v>
      </c>
    </row>
    <row r="105">
      <c r="A105" s="9" t="n">
        <v>-20</v>
      </c>
      <c r="B105" s="7" t="n">
        <v>40444</v>
      </c>
      <c r="C105" s="14" t="n">
        <v>3.00825693725</v>
      </c>
      <c r="D105" s="21">
        <f>100*(C105-C104)</f>
        <v/>
      </c>
      <c r="E105" s="22">
        <f>'A2 control'!AL239</f>
        <v/>
      </c>
      <c r="F105" s="9" t="n">
        <v>0</v>
      </c>
    </row>
    <row r="106">
      <c r="A106" s="9" t="n">
        <v>-19</v>
      </c>
      <c r="B106" s="7" t="n">
        <v>40445</v>
      </c>
      <c r="C106" s="14" t="n">
        <v>3.09677376202</v>
      </c>
      <c r="D106" s="21">
        <f>100*(C106-C105)</f>
        <v/>
      </c>
      <c r="E106" s="22">
        <f>'A2 control'!AL240</f>
        <v/>
      </c>
      <c r="F106" s="9" t="n">
        <v>0</v>
      </c>
    </row>
    <row r="107">
      <c r="A107" s="9" t="n">
        <v>-18</v>
      </c>
      <c r="B107" s="7" t="n">
        <v>40448</v>
      </c>
      <c r="C107" s="14" t="n">
        <v>3.02868864502</v>
      </c>
      <c r="D107" s="21">
        <f>100*(C107-C106)</f>
        <v/>
      </c>
      <c r="E107" s="22">
        <f>'A2 control'!AL241</f>
        <v/>
      </c>
      <c r="F107" s="9" t="n">
        <v>0</v>
      </c>
    </row>
    <row r="108">
      <c r="A108" s="9" t="n">
        <v>-17</v>
      </c>
      <c r="B108" s="7" t="n">
        <v>40449</v>
      </c>
      <c r="C108" s="14" t="n">
        <v>2.9866461482</v>
      </c>
      <c r="D108" s="21">
        <f>100*(C108-C107)</f>
        <v/>
      </c>
      <c r="E108" s="22">
        <f>'A2 control'!AL242</f>
        <v/>
      </c>
      <c r="F108" s="9" t="n">
        <v>0</v>
      </c>
    </row>
    <row r="109">
      <c r="A109" s="9" t="n">
        <v>-16</v>
      </c>
      <c r="B109" s="7" t="n">
        <v>40450</v>
      </c>
      <c r="C109" s="14" t="n">
        <v>2.96136437473</v>
      </c>
      <c r="D109" s="21">
        <f>100*(C109-C108)</f>
        <v/>
      </c>
      <c r="E109" s="22">
        <f>'A2 control'!AL243</f>
        <v/>
      </c>
      <c r="F109" s="9" t="n">
        <v>0</v>
      </c>
    </row>
    <row r="110">
      <c r="A110" s="9" t="n">
        <v>-15</v>
      </c>
      <c r="B110" s="7" t="n">
        <v>40451</v>
      </c>
      <c r="C110" s="14" t="n">
        <v>3.00226775235</v>
      </c>
      <c r="D110" s="21">
        <f>100*(C110-C109)</f>
        <v/>
      </c>
      <c r="E110" s="22">
        <f>'A2 control'!AL244</f>
        <v/>
      </c>
      <c r="F110" s="9" t="n">
        <v>0</v>
      </c>
    </row>
    <row r="111">
      <c r="A111" s="9" t="n">
        <v>-14</v>
      </c>
      <c r="B111" s="7" t="n">
        <v>40452</v>
      </c>
      <c r="C111" s="14" t="n">
        <v>3.02356880304</v>
      </c>
      <c r="D111" s="21">
        <f>100*(C111-C110)</f>
        <v/>
      </c>
      <c r="E111" s="22">
        <f>'A2 control'!AL245</f>
        <v/>
      </c>
      <c r="F111" s="9" t="n">
        <v>0</v>
      </c>
    </row>
    <row r="112">
      <c r="A112" s="9" t="n">
        <v>-13</v>
      </c>
      <c r="B112" s="7" t="n">
        <v>40455</v>
      </c>
      <c r="C112" s="14" t="n">
        <v>2.98202735434</v>
      </c>
      <c r="D112" s="21">
        <f>100*(C112-C111)</f>
        <v/>
      </c>
      <c r="E112" s="22">
        <f>'A2 control'!AL246</f>
        <v/>
      </c>
      <c r="F112" s="9" t="n">
        <v>0</v>
      </c>
    </row>
    <row r="113">
      <c r="A113" s="9" t="n">
        <v>-12</v>
      </c>
      <c r="B113" s="7" t="n">
        <v>40456</v>
      </c>
      <c r="C113" s="14" t="n">
        <v>3.01628706702</v>
      </c>
      <c r="D113" s="21">
        <f>100*(C113-C112)</f>
        <v/>
      </c>
      <c r="E113" s="22">
        <f>'A2 control'!AL247</f>
        <v/>
      </c>
      <c r="F113" s="9" t="n">
        <v>0</v>
      </c>
    </row>
    <row r="114">
      <c r="A114" s="9" t="n">
        <v>-11</v>
      </c>
      <c r="B114" s="7" t="n">
        <v>40457</v>
      </c>
      <c r="C114" s="14" t="n">
        <v>2.94863653689</v>
      </c>
      <c r="D114" s="21">
        <f>100*(C114-C113)</f>
        <v/>
      </c>
      <c r="E114" s="22">
        <f>'A2 control'!AL248</f>
        <v/>
      </c>
      <c r="F114" s="9" t="n">
        <v>0</v>
      </c>
    </row>
    <row r="115">
      <c r="A115" s="9" t="n">
        <v>-10</v>
      </c>
      <c r="B115" s="7" t="n">
        <v>40458</v>
      </c>
      <c r="C115" s="14" t="n">
        <v>2.97921155878</v>
      </c>
      <c r="D115" s="21">
        <f>100*(C115-C114)</f>
        <v/>
      </c>
      <c r="E115" s="22">
        <f>'A2 control'!AL249</f>
        <v/>
      </c>
      <c r="F115" s="9" t="n">
        <v>0</v>
      </c>
      <c r="G115" s="21">
        <f>D115-$B$137*E115</f>
        <v/>
      </c>
      <c r="H115" s="21">
        <f>H116-G116</f>
        <v/>
      </c>
      <c r="I115" s="21">
        <f>D115-E115</f>
        <v/>
      </c>
      <c r="J115" s="21">
        <f>J116-I116</f>
        <v/>
      </c>
      <c r="K115" s="21">
        <f>K116-D116</f>
        <v/>
      </c>
    </row>
    <row r="116">
      <c r="A116" s="9" t="n">
        <v>-9</v>
      </c>
      <c r="B116" s="7" t="n">
        <v>40459</v>
      </c>
      <c r="C116" s="14" t="n">
        <v>2.91360220653</v>
      </c>
      <c r="D116" s="21">
        <f>100*(C116-C115)</f>
        <v/>
      </c>
      <c r="E116" s="22">
        <f>'A2 control'!AL250</f>
        <v/>
      </c>
      <c r="F116" s="9" t="n">
        <v>0</v>
      </c>
      <c r="G116" s="21">
        <f>D116-$B$137*E116</f>
        <v/>
      </c>
      <c r="H116" s="21">
        <f>H117-G117</f>
        <v/>
      </c>
      <c r="I116" s="21">
        <f>D116-E116</f>
        <v/>
      </c>
      <c r="J116" s="21">
        <f>J117-I117</f>
        <v/>
      </c>
      <c r="K116" s="21">
        <f>K117-D117</f>
        <v/>
      </c>
    </row>
    <row r="117">
      <c r="A117" s="9" t="n">
        <v>-8</v>
      </c>
      <c r="B117" s="7" t="n">
        <v>40462</v>
      </c>
      <c r="C117" s="14" t="n">
        <v>2.93337556571</v>
      </c>
      <c r="D117" s="21">
        <f>100*(C117-C116)</f>
        <v/>
      </c>
      <c r="E117" s="22">
        <f>'A2 control'!AL251</f>
        <v/>
      </c>
      <c r="F117" s="9" t="n">
        <v>0</v>
      </c>
      <c r="G117" s="21">
        <f>D117-$B$137*E117</f>
        <v/>
      </c>
      <c r="H117" s="21">
        <f>H118-G118</f>
        <v/>
      </c>
      <c r="I117" s="21">
        <f>D117-E117</f>
        <v/>
      </c>
      <c r="J117" s="21">
        <f>J118-I118</f>
        <v/>
      </c>
      <c r="K117" s="21">
        <f>K118-D118</f>
        <v/>
      </c>
    </row>
    <row r="118">
      <c r="A118" s="9" t="n">
        <v>-7</v>
      </c>
      <c r="B118" s="7" t="n">
        <v>40463</v>
      </c>
      <c r="C118" s="14" t="n">
        <v>2.8978569776</v>
      </c>
      <c r="D118" s="21">
        <f>100*(C118-C117)</f>
        <v/>
      </c>
      <c r="E118" s="22">
        <f>'A2 control'!AL252</f>
        <v/>
      </c>
      <c r="F118" s="9" t="n">
        <v>0</v>
      </c>
      <c r="G118" s="21">
        <f>D118-$B$137*E118</f>
        <v/>
      </c>
      <c r="H118" s="21">
        <f>H119-G119</f>
        <v/>
      </c>
      <c r="I118" s="21">
        <f>D118-E118</f>
        <v/>
      </c>
      <c r="J118" s="21">
        <f>J119-I119</f>
        <v/>
      </c>
      <c r="K118" s="21">
        <f>K119-D119</f>
        <v/>
      </c>
    </row>
    <row r="119">
      <c r="A119" s="9" t="n">
        <v>-6</v>
      </c>
      <c r="B119" s="7" t="n">
        <v>40464</v>
      </c>
      <c r="C119" s="14" t="n">
        <v>2.93029088881</v>
      </c>
      <c r="D119" s="21">
        <f>100*(C119-C118)</f>
        <v/>
      </c>
      <c r="E119" s="22">
        <f>'A2 control'!AL253</f>
        <v/>
      </c>
      <c r="F119" s="9" t="n">
        <v>0</v>
      </c>
      <c r="G119" s="21">
        <f>D119-$B$137*E119</f>
        <v/>
      </c>
      <c r="H119" s="21" t="n">
        <v>0</v>
      </c>
      <c r="I119" s="21">
        <f>D119-E119</f>
        <v/>
      </c>
      <c r="J119" s="21" t="n">
        <v>0</v>
      </c>
      <c r="K119" s="21" t="n">
        <v>0</v>
      </c>
    </row>
    <row r="120">
      <c r="A120" s="9" t="n">
        <v>-5</v>
      </c>
      <c r="B120" s="7" t="n">
        <v>40465</v>
      </c>
      <c r="C120" s="14" t="n">
        <v>2.9299827491</v>
      </c>
      <c r="D120" s="21">
        <f>100*(C120-C119)</f>
        <v/>
      </c>
      <c r="E120" s="22">
        <f>'A2 control'!AL254</f>
        <v/>
      </c>
      <c r="F120" s="9" t="n">
        <v>0</v>
      </c>
      <c r="G120" s="21">
        <f>D120-$B$137*E120</f>
        <v/>
      </c>
      <c r="H120" s="21">
        <f>H119+G120</f>
        <v/>
      </c>
      <c r="I120" s="21">
        <f>D120-E120</f>
        <v/>
      </c>
      <c r="J120" s="21">
        <f>J119+I120</f>
        <v/>
      </c>
      <c r="K120" s="21">
        <f>K119+D120</f>
        <v/>
      </c>
    </row>
    <row r="121">
      <c r="A121" s="9" t="n">
        <v>-4</v>
      </c>
      <c r="B121" s="7" t="n">
        <v>40466</v>
      </c>
      <c r="C121" s="14" t="n">
        <v>2.99258048629</v>
      </c>
      <c r="D121" s="21">
        <f>100*(C121-C120)</f>
        <v/>
      </c>
      <c r="E121" s="22">
        <f>'A2 control'!AL255</f>
        <v/>
      </c>
      <c r="F121" s="9" t="n">
        <v>0</v>
      </c>
      <c r="G121" s="21">
        <f>D121-$B$137*E121</f>
        <v/>
      </c>
      <c r="H121" s="21">
        <f>H120+G121</f>
        <v/>
      </c>
      <c r="I121" s="21">
        <f>D121-E121</f>
        <v/>
      </c>
      <c r="J121" s="21">
        <f>J120+I121</f>
        <v/>
      </c>
      <c r="K121" s="21">
        <f>K120+D121</f>
        <v/>
      </c>
    </row>
    <row r="122">
      <c r="A122" s="9" t="n">
        <v>-3</v>
      </c>
      <c r="B122" s="7" t="n">
        <v>40469</v>
      </c>
      <c r="C122" s="14" t="n">
        <v>3.01292349149</v>
      </c>
      <c r="D122" s="21">
        <f>100*(C122-C121)</f>
        <v/>
      </c>
      <c r="E122" s="22">
        <f>'A2 control'!AL256</f>
        <v/>
      </c>
      <c r="F122" s="9" t="n">
        <v>0</v>
      </c>
      <c r="G122" s="21">
        <f>D122-$B$137*E122</f>
        <v/>
      </c>
      <c r="H122" s="21">
        <f>H121+G122</f>
        <v/>
      </c>
      <c r="I122" s="21">
        <f>D122-E122</f>
        <v/>
      </c>
      <c r="J122" s="21">
        <f>J121+I122</f>
        <v/>
      </c>
      <c r="K122" s="21">
        <f>K121+D122</f>
        <v/>
      </c>
    </row>
    <row r="123">
      <c r="A123" s="9" t="n">
        <v>-2</v>
      </c>
      <c r="B123" s="7" t="n">
        <v>40470</v>
      </c>
      <c r="C123" s="14" t="n">
        <v>3.05107798927</v>
      </c>
      <c r="D123" s="21">
        <f>100*(C123-C122)</f>
        <v/>
      </c>
      <c r="E123" s="22">
        <f>'A2 control'!AL257</f>
        <v/>
      </c>
      <c r="F123" s="9" t="n">
        <v>0</v>
      </c>
      <c r="G123" s="21">
        <f>D123-$B$137*E123</f>
        <v/>
      </c>
      <c r="H123" s="21">
        <f>H122+G123</f>
        <v/>
      </c>
      <c r="I123" s="21">
        <f>D123-E123</f>
        <v/>
      </c>
      <c r="J123" s="21">
        <f>J122+I123</f>
        <v/>
      </c>
      <c r="K123" s="21">
        <f>K122+D123</f>
        <v/>
      </c>
    </row>
    <row r="124">
      <c r="A124" s="9" t="n">
        <v>-1</v>
      </c>
      <c r="B124" s="7" t="n">
        <v>40471</v>
      </c>
      <c r="C124" s="14" t="n">
        <v>3.03409659011</v>
      </c>
      <c r="D124" s="21">
        <f>100*(C124-C123)</f>
        <v/>
      </c>
      <c r="E124" s="22">
        <f>'A2 control'!AL258</f>
        <v/>
      </c>
      <c r="F124" s="9" t="n">
        <v>0</v>
      </c>
      <c r="G124" s="21">
        <f>D124-$B$137*E124</f>
        <v/>
      </c>
      <c r="H124" s="21">
        <f>H123+G124</f>
        <v/>
      </c>
      <c r="I124" s="21">
        <f>D124-E124</f>
        <v/>
      </c>
      <c r="J124" s="21">
        <f>J123+I124</f>
        <v/>
      </c>
      <c r="K124" s="21">
        <f>K123+D124</f>
        <v/>
      </c>
    </row>
    <row r="125">
      <c r="A125" s="9" t="n">
        <v>0</v>
      </c>
      <c r="B125" s="7" t="n">
        <v>40472</v>
      </c>
      <c r="C125" s="14" t="n">
        <v>2.98142785014</v>
      </c>
      <c r="D125" s="21">
        <f>100*(C125-C124)</f>
        <v/>
      </c>
      <c r="E125" s="22">
        <f>'A2 control'!AL259</f>
        <v/>
      </c>
      <c r="F125" s="9" t="n">
        <v>0</v>
      </c>
      <c r="G125" s="21">
        <f>D125-$B$137*E125</f>
        <v/>
      </c>
      <c r="H125" s="21">
        <f>H124+G125</f>
        <v/>
      </c>
      <c r="I125" s="21">
        <f>D125-E125</f>
        <v/>
      </c>
      <c r="J125" s="21">
        <f>J124+I125</f>
        <v/>
      </c>
      <c r="K125" s="21">
        <f>K124+D125</f>
        <v/>
      </c>
    </row>
    <row r="126">
      <c r="A126" s="9" t="n">
        <v>1</v>
      </c>
      <c r="B126" s="7" t="n">
        <v>40473</v>
      </c>
      <c r="C126" s="14" t="n">
        <v>2.99767503314</v>
      </c>
      <c r="D126" s="21">
        <f>100*(C126-C125)</f>
        <v/>
      </c>
      <c r="E126" s="22">
        <f>'A2 control'!AL260</f>
        <v/>
      </c>
      <c r="F126" s="9" t="n">
        <v>0</v>
      </c>
      <c r="G126" s="21">
        <f>D126-$B$137*E126</f>
        <v/>
      </c>
      <c r="H126" s="21">
        <f>H125+G126</f>
        <v/>
      </c>
      <c r="I126" s="21">
        <f>D126-E126</f>
        <v/>
      </c>
      <c r="J126" s="21">
        <f>J125+I126</f>
        <v/>
      </c>
      <c r="K126" s="21">
        <f>K125+D126</f>
        <v/>
      </c>
    </row>
    <row r="127">
      <c r="A127" s="9" t="n">
        <v>2</v>
      </c>
      <c r="B127" s="7" t="n">
        <v>40476</v>
      </c>
      <c r="C127" s="14" t="n">
        <v>2.96963771041</v>
      </c>
      <c r="D127" s="21">
        <f>100*(C127-C126)</f>
        <v/>
      </c>
      <c r="E127" s="22">
        <f>'A2 control'!AL261</f>
        <v/>
      </c>
      <c r="F127" s="9" t="n">
        <v>0</v>
      </c>
      <c r="G127" s="21">
        <f>D127-$B$137*E127</f>
        <v/>
      </c>
      <c r="H127" s="21">
        <f>H126+G127</f>
        <v/>
      </c>
      <c r="I127" s="21">
        <f>D127-E127</f>
        <v/>
      </c>
      <c r="J127" s="21">
        <f>J126+I127</f>
        <v/>
      </c>
      <c r="K127" s="21">
        <f>K126+D127</f>
        <v/>
      </c>
    </row>
    <row r="128">
      <c r="A128" s="9" t="n">
        <v>3</v>
      </c>
      <c r="B128" s="7" t="n">
        <v>40477</v>
      </c>
      <c r="C128" s="14" t="n">
        <v>3.10378874978</v>
      </c>
      <c r="D128" s="21">
        <f>100*(C128-C127)</f>
        <v/>
      </c>
      <c r="E128" s="22">
        <f>'A2 control'!AL262</f>
        <v/>
      </c>
      <c r="F128" s="9" t="n">
        <v>0</v>
      </c>
      <c r="G128" s="21">
        <f>D128-$B$137*E128</f>
        <v/>
      </c>
      <c r="H128" s="21">
        <f>H127+G128</f>
        <v/>
      </c>
      <c r="I128" s="21">
        <f>D128-E128</f>
        <v/>
      </c>
      <c r="J128" s="21">
        <f>J127+I128</f>
        <v/>
      </c>
      <c r="K128" s="21">
        <f>K127+D128</f>
        <v/>
      </c>
    </row>
    <row r="129">
      <c r="A129" s="9" t="n">
        <v>4</v>
      </c>
      <c r="B129" s="7" t="n">
        <v>40478</v>
      </c>
      <c r="C129" s="14" t="n">
        <v>3.19907623919</v>
      </c>
      <c r="D129" s="21">
        <f>100*(C129-C128)</f>
        <v/>
      </c>
      <c r="E129" s="22">
        <f>'A2 control'!AL263</f>
        <v/>
      </c>
      <c r="F129" s="9" t="n">
        <v>0</v>
      </c>
      <c r="G129" s="21">
        <f>D129-$B$137*E129</f>
        <v/>
      </c>
      <c r="H129" s="21">
        <f>H128+G129</f>
        <v/>
      </c>
      <c r="I129" s="21">
        <f>D129-E129</f>
        <v/>
      </c>
      <c r="J129" s="21">
        <f>J128+I129</f>
        <v/>
      </c>
      <c r="K129" s="21">
        <f>K128+D129</f>
        <v/>
      </c>
    </row>
    <row r="130">
      <c r="A130" s="9" t="n">
        <v>5</v>
      </c>
      <c r="B130" s="7" t="n">
        <v>40479</v>
      </c>
      <c r="C130" s="14" t="n">
        <v>3.19639411248</v>
      </c>
      <c r="D130" s="21">
        <f>100*(C130-C129)</f>
        <v/>
      </c>
      <c r="E130" s="22">
        <f>'A2 control'!AL264</f>
        <v/>
      </c>
      <c r="F130" s="9" t="n">
        <v>0</v>
      </c>
      <c r="G130" s="21">
        <f>D130-$B$137*E130</f>
        <v/>
      </c>
      <c r="H130" s="21">
        <f>H129+G130</f>
        <v/>
      </c>
      <c r="I130" s="21">
        <f>D130-E130</f>
        <v/>
      </c>
      <c r="J130" s="21">
        <f>J129+I130</f>
        <v/>
      </c>
      <c r="K130" s="21">
        <f>K129+D130</f>
        <v/>
      </c>
    </row>
    <row r="131">
      <c r="A131" s="9" t="n">
        <v>6</v>
      </c>
      <c r="B131" s="7" t="n">
        <v>40480</v>
      </c>
      <c r="C131" s="14" t="n">
        <v>3.12861518151</v>
      </c>
      <c r="D131" s="21">
        <f>100*(C131-C130)</f>
        <v/>
      </c>
      <c r="E131" s="22">
        <f>'A2 control'!AL265</f>
        <v/>
      </c>
      <c r="F131" s="9" t="n">
        <v>0</v>
      </c>
      <c r="G131" s="21">
        <f>D131-$B$137*E131</f>
        <v/>
      </c>
      <c r="H131" s="21">
        <f>H130+G131</f>
        <v/>
      </c>
      <c r="I131" s="21">
        <f>D131-E131</f>
        <v/>
      </c>
      <c r="J131" s="21">
        <f>J130+I131</f>
        <v/>
      </c>
      <c r="K131" s="21">
        <f>K130+D131</f>
        <v/>
      </c>
    </row>
    <row r="132">
      <c r="A132" s="9" t="n">
        <v>7</v>
      </c>
      <c r="B132" s="7" t="n">
        <v>40483</v>
      </c>
      <c r="C132" s="14" t="n">
        <v>3.09598656109</v>
      </c>
      <c r="D132" s="21">
        <f>100*(C132-C131)</f>
        <v/>
      </c>
      <c r="E132" s="22">
        <f>'A2 control'!AL266</f>
        <v/>
      </c>
      <c r="F132" s="9" t="n">
        <v>0</v>
      </c>
      <c r="G132" s="21">
        <f>D132-$B$137*E132</f>
        <v/>
      </c>
      <c r="H132" s="21">
        <f>H131+G132</f>
        <v/>
      </c>
      <c r="I132" s="21">
        <f>D132-E132</f>
        <v/>
      </c>
      <c r="J132" s="21">
        <f>J131+I132</f>
        <v/>
      </c>
      <c r="K132" s="21">
        <f>K131+D132</f>
        <v/>
      </c>
    </row>
    <row r="133">
      <c r="A133" s="9" t="n">
        <v>8</v>
      </c>
      <c r="B133" s="7" t="n">
        <v>40484</v>
      </c>
      <c r="C133" s="14" t="n">
        <v>3.08294829797</v>
      </c>
      <c r="D133" s="21">
        <f>100*(C133-C132)</f>
        <v/>
      </c>
      <c r="E133" s="22">
        <f>'A2 control'!AL267</f>
        <v/>
      </c>
      <c r="F133" s="9" t="n">
        <v>0</v>
      </c>
      <c r="G133" s="21">
        <f>D133-$B$137*E133</f>
        <v/>
      </c>
      <c r="H133" s="21">
        <f>H132+G133</f>
        <v/>
      </c>
      <c r="I133" s="21">
        <f>D133-E133</f>
        <v/>
      </c>
      <c r="J133" s="21">
        <f>J132+I133</f>
        <v/>
      </c>
      <c r="K133" s="21">
        <f>K132+D133</f>
        <v/>
      </c>
    </row>
    <row r="134">
      <c r="A134" s="9" t="n">
        <v>9</v>
      </c>
      <c r="B134" s="7" t="n">
        <v>40485</v>
      </c>
      <c r="C134" s="14" t="n">
        <v>3.04975111073</v>
      </c>
      <c r="D134" s="21">
        <f>100*(C134-C133)</f>
        <v/>
      </c>
      <c r="E134" s="22">
        <f>'A2 control'!AL268</f>
        <v/>
      </c>
      <c r="F134" s="9" t="n">
        <v>0</v>
      </c>
      <c r="G134" s="21">
        <f>D134-$B$137*E134</f>
        <v/>
      </c>
      <c r="H134" s="21">
        <f>H133+G134</f>
        <v/>
      </c>
      <c r="I134" s="21">
        <f>D134-E134</f>
        <v/>
      </c>
      <c r="J134" s="21">
        <f>J133+I134</f>
        <v/>
      </c>
      <c r="K134" s="21">
        <f>K133+D134</f>
        <v/>
      </c>
    </row>
    <row r="135">
      <c r="A135" s="9" t="n">
        <v>10</v>
      </c>
      <c r="B135" s="7" t="n">
        <v>40486</v>
      </c>
      <c r="C135" s="14" t="n">
        <v>3.00461789634</v>
      </c>
      <c r="D135" s="21">
        <f>100*(C135-C134)</f>
        <v/>
      </c>
      <c r="E135" s="22">
        <f>'A2 control'!AL269</f>
        <v/>
      </c>
      <c r="F135" s="9" t="n">
        <v>0</v>
      </c>
      <c r="G135" s="21">
        <f>D135-$B$137*E135</f>
        <v/>
      </c>
      <c r="H135" s="21">
        <f>H134+G135</f>
        <v/>
      </c>
      <c r="I135" s="21">
        <f>D135-E135</f>
        <v/>
      </c>
      <c r="J135" s="21">
        <f>J134+I135</f>
        <v/>
      </c>
      <c r="K135" s="21">
        <f>K134+D135</f>
        <v/>
      </c>
    </row>
    <row r="137">
      <c r="A137" s="6" t="inlineStr">
        <is>
          <t>β = SLOPE(Δy, Δc) over k = -120..-21</t>
        </is>
      </c>
      <c r="B137" s="23">
        <f>SLOPE(D5:D104,E5:E104)</f>
        <v/>
      </c>
    </row>
    <row r="138">
      <c r="A138" s="6" t="inlineStr">
        <is>
          <t>α (estimated, not subtracted)</t>
        </is>
      </c>
      <c r="B138" s="21">
        <f>INTERCEPT(D5:D104,E5:E104)</f>
        <v/>
      </c>
    </row>
    <row r="139">
      <c r="A139" s="6" t="inlineStr">
        <is>
          <t>R²</t>
        </is>
      </c>
      <c r="B139" s="17">
        <f>RSQ(D5:D104,E5:E104)</f>
        <v/>
      </c>
    </row>
    <row r="140">
      <c r="A140" s="6" t="inlineStr">
        <is>
          <t>Observations</t>
        </is>
      </c>
      <c r="B140" s="18">
        <f>COUNT(D5:D104)</f>
        <v/>
      </c>
    </row>
    <row r="141">
      <c r="A141" s="6" t="inlineStr">
        <is>
          <t>Python β, for comparison</t>
        </is>
      </c>
      <c r="B141" s="24" t="n">
        <v>1.041915161533848</v>
      </c>
    </row>
    <row r="143">
      <c r="A143" s="3" t="inlineStr">
        <is>
          <t>The PM's three numbers (bp)</t>
        </is>
      </c>
      <c r="B143" s="3" t="inlineStr">
        <is>
          <t>B-β (main)</t>
        </is>
      </c>
      <c r="C143" s="3" t="inlineStr">
        <is>
          <t>B (β = 1)</t>
        </is>
      </c>
      <c r="D143" s="3" t="inlineStr">
        <is>
          <t>Raw (no control)</t>
        </is>
      </c>
      <c r="E143" s="3" t="inlineStr">
        <is>
          <t>Python B-β</t>
        </is>
      </c>
    </row>
    <row r="144">
      <c r="A144" s="6" t="inlineStr">
        <is>
          <t>Pre-auction cheapening, CAR(T-1) - CAR(T-6)</t>
        </is>
      </c>
      <c r="B144" s="16">
        <f>H124-H119</f>
        <v/>
      </c>
      <c r="C144" s="17">
        <f>J124-J119</f>
        <v/>
      </c>
      <c r="D144" s="17">
        <f>K124-K119</f>
        <v/>
      </c>
      <c r="E144" s="8" t="n">
        <v>-0.1920319320321975</v>
      </c>
    </row>
    <row r="145">
      <c r="A145" s="6" t="inlineStr">
        <is>
          <t>Auction day, CAR(T) - CAR(T-1)</t>
        </is>
      </c>
      <c r="B145" s="16">
        <f>H125-H124</f>
        <v/>
      </c>
      <c r="C145" s="17">
        <f>J125-J124</f>
        <v/>
      </c>
      <c r="D145" s="17">
        <f>K125-K124</f>
        <v/>
      </c>
      <c r="E145" s="8" t="n">
        <v>0.06597674136069109</v>
      </c>
    </row>
    <row r="146">
      <c r="A146" s="6" t="inlineStr">
        <is>
          <t>Post-auction, CAR(T+5) - CAR(T)</t>
        </is>
      </c>
      <c r="B146" s="16">
        <f>H130-H125</f>
        <v/>
      </c>
      <c r="C146" s="17">
        <f>J130-J125</f>
        <v/>
      </c>
      <c r="D146" s="17">
        <f>K130-K125</f>
        <v/>
      </c>
      <c r="E146" s="8" t="n">
        <v>1.542085866334769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5" t="inlineStr">
        <is>
          <t>A3: 4¼% Treasury Stock 2032, auction 09 Oct 2012 - M1 (spec §7)</t>
        </is>
      </c>
    </row>
    <row r="3">
      <c r="A3" s="6" t="inlineStr">
        <is>
          <t>Auction date</t>
        </is>
      </c>
      <c r="B3" s="7" t="n">
        <v>41191</v>
      </c>
    </row>
    <row r="4">
      <c r="A4" s="6" t="inlineStr">
        <is>
          <t>Settlement date (DMO issue date)</t>
        </is>
      </c>
      <c r="B4" s="7" t="n">
        <v>41192</v>
      </c>
    </row>
    <row r="5">
      <c r="A5" s="6" t="inlineStr">
        <is>
          <t>Effective settlement (first issue date if later, decision #10)</t>
        </is>
      </c>
      <c r="B5" s="7" t="n">
        <v>41192</v>
      </c>
    </row>
    <row r="6">
      <c r="A6" s="6" t="inlineStr">
        <is>
          <t>Curve date (T-1 close)</t>
        </is>
      </c>
      <c r="B6" s="7" t="n">
        <v>41190</v>
      </c>
    </row>
    <row r="7">
      <c r="A7" s="6" t="inlineStr">
        <is>
          <t>Coupon (% p.a.)</t>
        </is>
      </c>
      <c r="B7" s="8" t="n">
        <v>4.25</v>
      </c>
    </row>
    <row r="8">
      <c r="A8" s="6" t="inlineStr">
        <is>
          <t>Maturity</t>
        </is>
      </c>
      <c r="B8" s="7" t="n">
        <v>48372</v>
      </c>
    </row>
    <row r="9">
      <c r="A9" s="6" t="inlineStr">
        <is>
          <t>First issue date</t>
        </is>
      </c>
      <c r="B9" s="7" t="n">
        <v>36671</v>
      </c>
    </row>
    <row r="10">
      <c r="A10" s="6" t="inlineStr">
        <is>
          <t>First coupon date (source below)</t>
        </is>
      </c>
      <c r="B10" s="7" t="n">
        <v>36867</v>
      </c>
    </row>
    <row r="11">
      <c r="A11" s="6" t="inlineStr">
        <is>
          <t>First coupon source</t>
        </is>
      </c>
      <c r="B11" s="9" t="inlineStr">
        <is>
          <t>DMO reference prices (accrued interest)</t>
        </is>
      </c>
    </row>
    <row r="12">
      <c r="A12" s="6" t="inlineStr">
        <is>
          <t>Accrued interest at settlement (cash_flows)</t>
        </is>
      </c>
      <c r="B12" s="10" t="n">
        <v>1.451502732240437</v>
      </c>
    </row>
    <row r="13">
      <c r="A13" s="6" t="inlineStr">
        <is>
          <t>Average accepted yield, AAY (% , D2.1A)</t>
        </is>
      </c>
      <c r="B13" s="10" t="n">
        <v>2.661455</v>
      </c>
    </row>
    <row r="14">
      <c r="A14" s="6" t="inlineStr">
        <is>
          <t>Curve: last maturity T (y)</t>
        </is>
      </c>
      <c r="B14" s="11" t="n">
        <v>25</v>
      </c>
    </row>
    <row r="15">
      <c r="A15" s="6" t="inlineStr">
        <is>
          <t>Curve: z(T) (%)</t>
        </is>
      </c>
      <c r="B15" s="10" t="n">
        <v>3.362378833684991</v>
      </c>
    </row>
    <row r="16">
      <c r="A16" s="6" t="inlineStr">
        <is>
          <t>Curve: BoE forward f(T) (%)</t>
        </is>
      </c>
      <c r="B16" s="10" t="n">
        <v>4.77938075244922</v>
      </c>
    </row>
    <row r="19">
      <c r="A19" s="3" t="inlineStr">
        <is>
          <t>Cash flow date</t>
        </is>
      </c>
      <c r="B19" s="3" t="inlineStr">
        <is>
          <t>Amount per £100</t>
        </is>
      </c>
      <c r="C19" s="3" t="inlineStr">
        <is>
          <t>t = days/365.25</t>
        </is>
      </c>
      <c r="D19" s="3" t="inlineStr">
        <is>
          <t>z(t) % (spline; flat fwd beyond T)</t>
        </is>
      </c>
      <c r="E19" s="3" t="inlineStr">
        <is>
          <t>DF = exp(-z/100·t)</t>
        </is>
      </c>
      <c r="F19" s="3" t="inlineStr">
        <is>
          <t>PV = amount·DF</t>
        </is>
      </c>
      <c r="G19" s="3" t="inlineStr">
        <is>
          <t>Exponent (semi-annual periods)</t>
        </is>
      </c>
      <c r="H19" s="3" t="inlineStr">
        <is>
          <t>v^exponent at model yield</t>
        </is>
      </c>
      <c r="I19" s="3" t="inlineStr">
        <is>
          <t>PV at model yield</t>
        </is>
      </c>
      <c r="J19" s="3" t="inlineStr">
        <is>
          <t>BoE point below</t>
        </is>
      </c>
      <c r="K19" s="3" t="inlineStr">
        <is>
          <t>z below</t>
        </is>
      </c>
      <c r="L19" s="3" t="inlineStr">
        <is>
          <t>BoE point above</t>
        </is>
      </c>
      <c r="M19" s="3" t="inlineStr">
        <is>
          <t>z above</t>
        </is>
      </c>
      <c r="N19" s="3" t="inlineStr">
        <is>
          <t>Linear interp. of z (check)</t>
        </is>
      </c>
    </row>
    <row r="20">
      <c r="A20" s="7" t="n">
        <v>41250</v>
      </c>
      <c r="B20" s="10" t="n">
        <v>2.125</v>
      </c>
      <c r="C20" s="12">
        <f>(A20-$B$5)/365.25</f>
        <v/>
      </c>
      <c r="D20" s="10" t="n">
        <v>0.4437292671868397</v>
      </c>
      <c r="E20" s="13">
        <f>EXP(-D20/100*C20)</f>
        <v/>
      </c>
      <c r="F20" s="12">
        <f>B20*E20</f>
        <v/>
      </c>
      <c r="G20" s="10" t="n">
        <v>0.3169398907103825</v>
      </c>
      <c r="H20" s="13">
        <f>(1/(1+$B$64/200))^G20</f>
        <v/>
      </c>
      <c r="I20" s="12">
        <f>B20*H20</f>
        <v/>
      </c>
      <c r="J20" s="8" t="n">
        <v>0.083333</v>
      </c>
      <c r="K20" s="10" t="n">
        <v>0.4644470778566459</v>
      </c>
      <c r="L20" s="8" t="n">
        <v>0.166667</v>
      </c>
      <c r="M20" s="10" t="n">
        <v>0.4414457103737501</v>
      </c>
      <c r="N20" s="12">
        <f>IF(L20=J20,K20,K20+(M20-K20)*(C20-J20)/(L20-J20))</f>
        <v/>
      </c>
    </row>
    <row r="21">
      <c r="A21" s="7" t="n">
        <v>41432</v>
      </c>
      <c r="B21" s="10" t="n">
        <v>2.125</v>
      </c>
      <c r="C21" s="12">
        <f>(A21-$B$5)/365.25</f>
        <v/>
      </c>
      <c r="D21" s="10" t="n">
        <v>0.3485315037602145</v>
      </c>
      <c r="E21" s="13">
        <f>EXP(-D21/100*C21)</f>
        <v/>
      </c>
      <c r="F21" s="12">
        <f>B21*E21</f>
        <v/>
      </c>
      <c r="G21" s="10" t="n">
        <v>1.316939890710382</v>
      </c>
      <c r="H21" s="13">
        <f>(1/(1+$B$64/200))^G21</f>
        <v/>
      </c>
      <c r="I21" s="12">
        <f>B21*H21</f>
        <v/>
      </c>
      <c r="J21" s="8" t="n">
        <v>0.583333</v>
      </c>
      <c r="K21" s="10" t="n">
        <v>0.3607156590742769</v>
      </c>
      <c r="L21" s="8" t="n">
        <v>0.666667</v>
      </c>
      <c r="M21" s="10" t="n">
        <v>0.3468088284474698</v>
      </c>
      <c r="N21" s="12">
        <f>IF(L21=J21,K21,K21+(M21-K21)*(C21-J21)/(L21-J21))</f>
        <v/>
      </c>
    </row>
    <row r="22">
      <c r="A22" s="7" t="n">
        <v>41615</v>
      </c>
      <c r="B22" s="10" t="n">
        <v>2.125</v>
      </c>
      <c r="C22" s="12">
        <f>(A22-$B$5)/365.25</f>
        <v/>
      </c>
      <c r="D22" s="10" t="n">
        <v>0.2451454880028714</v>
      </c>
      <c r="E22" s="13">
        <f>EXP(-D22/100*C22)</f>
        <v/>
      </c>
      <c r="F22" s="12">
        <f>B22*E22</f>
        <v/>
      </c>
      <c r="G22" s="10" t="n">
        <v>2.316939890710382</v>
      </c>
      <c r="H22" s="13">
        <f>(1/(1+$B$64/200))^G22</f>
        <v/>
      </c>
      <c r="I22" s="12">
        <f>B22*H22</f>
        <v/>
      </c>
      <c r="J22" s="8" t="n">
        <v>1.083333</v>
      </c>
      <c r="K22" s="10" t="n">
        <v>0.2593896370758758</v>
      </c>
      <c r="L22" s="8" t="n">
        <v>1.166667</v>
      </c>
      <c r="M22" s="10" t="n">
        <v>0.2435954675729639</v>
      </c>
      <c r="N22" s="12">
        <f>IF(L22=J22,K22,K22+(M22-K22)*(C22-J22)/(L22-J22))</f>
        <v/>
      </c>
    </row>
    <row r="23">
      <c r="A23" s="7" t="n">
        <v>41797</v>
      </c>
      <c r="B23" s="10" t="n">
        <v>2.125</v>
      </c>
      <c r="C23" s="12">
        <f>(A23-$B$5)/365.25</f>
        <v/>
      </c>
      <c r="D23" s="10" t="n">
        <v>0.1862816522133475</v>
      </c>
      <c r="E23" s="13">
        <f>EXP(-D23/100*C23)</f>
        <v/>
      </c>
      <c r="F23" s="12">
        <f>B23*E23</f>
        <v/>
      </c>
      <c r="G23" s="10" t="n">
        <v>3.316939890710382</v>
      </c>
      <c r="H23" s="13">
        <f>(1/(1+$B$64/200))^G23</f>
        <v/>
      </c>
      <c r="I23" s="12">
        <f>B23*H23</f>
        <v/>
      </c>
      <c r="J23" s="8" t="n">
        <v>1.583333</v>
      </c>
      <c r="K23" s="10" t="n">
        <v>0.1908907806211938</v>
      </c>
      <c r="L23" s="8" t="n">
        <v>1.666667</v>
      </c>
      <c r="M23" s="10" t="n">
        <v>0.1857393597698153</v>
      </c>
      <c r="N23" s="12">
        <f>IF(L23=J23,K23,K23+(M23-K23)*(C23-J23)/(L23-J23))</f>
        <v/>
      </c>
    </row>
    <row r="24">
      <c r="A24" s="7" t="n">
        <v>41980</v>
      </c>
      <c r="B24" s="10" t="n">
        <v>2.125</v>
      </c>
      <c r="C24" s="12">
        <f>(A24-$B$5)/365.25</f>
        <v/>
      </c>
      <c r="D24" s="10" t="n">
        <v>0.1867596116209051</v>
      </c>
      <c r="E24" s="13">
        <f>EXP(-D24/100*C24)</f>
        <v/>
      </c>
      <c r="F24" s="12">
        <f>B24*E24</f>
        <v/>
      </c>
      <c r="G24" s="10" t="n">
        <v>4.316939890710382</v>
      </c>
      <c r="H24" s="13">
        <f>(1/(1+$B$64/200))^G24</f>
        <v/>
      </c>
      <c r="I24" s="12">
        <f>B24*H24</f>
        <v/>
      </c>
      <c r="J24" s="8" t="n">
        <v>2.083333</v>
      </c>
      <c r="K24" s="10" t="n">
        <v>0.1835613611866985</v>
      </c>
      <c r="L24" s="8" t="n">
        <v>2.166667</v>
      </c>
      <c r="M24" s="10" t="n">
        <v>0.1872247906972788</v>
      </c>
      <c r="N24" s="12">
        <f>IF(L24=J24,K24,K24+(M24-K24)*(C24-J24)/(L24-J24))</f>
        <v/>
      </c>
    </row>
    <row r="25">
      <c r="A25" s="7" t="n">
        <v>42162</v>
      </c>
      <c r="B25" s="10" t="n">
        <v>2.125</v>
      </c>
      <c r="C25" s="12">
        <f>(A25-$B$5)/365.25</f>
        <v/>
      </c>
      <c r="D25" s="10" t="n">
        <v>0.2298621421230539</v>
      </c>
      <c r="E25" s="13">
        <f>EXP(-D25/100*C25)</f>
        <v/>
      </c>
      <c r="F25" s="12">
        <f>B25*E25</f>
        <v/>
      </c>
      <c r="G25" s="10" t="n">
        <v>5.316939890710382</v>
      </c>
      <c r="H25" s="13">
        <f>(1/(1+$B$64/200))^G25</f>
        <v/>
      </c>
      <c r="I25" s="12">
        <f>B25*H25</f>
        <v/>
      </c>
      <c r="J25" s="8" t="n">
        <v>2.583333</v>
      </c>
      <c r="K25" s="10" t="n">
        <v>0.2215687038328742</v>
      </c>
      <c r="L25" s="8" t="n">
        <v>2.666667</v>
      </c>
      <c r="M25" s="10" t="n">
        <v>0.2311691189450544</v>
      </c>
      <c r="N25" s="12">
        <f>IF(L25=J25,K25,K25+(M25-K25)*(C25-J25)/(L25-J25))</f>
        <v/>
      </c>
    </row>
    <row r="26">
      <c r="A26" s="7" t="n">
        <v>42345</v>
      </c>
      <c r="B26" s="10" t="n">
        <v>2.125</v>
      </c>
      <c r="C26" s="12">
        <f>(A26-$B$5)/365.25</f>
        <v/>
      </c>
      <c r="D26" s="10" t="n">
        <v>0.3016509468106117</v>
      </c>
      <c r="E26" s="13">
        <f>EXP(-D26/100*C26)</f>
        <v/>
      </c>
      <c r="F26" s="12">
        <f>B26*E26</f>
        <v/>
      </c>
      <c r="G26" s="10" t="n">
        <v>6.316939890710382</v>
      </c>
      <c r="H26" s="13">
        <f>(1/(1+$B$64/200))^G26</f>
        <v/>
      </c>
      <c r="I26" s="12">
        <f>B26*H26</f>
        <v/>
      </c>
      <c r="J26" s="8" t="n">
        <v>3.083333</v>
      </c>
      <c r="K26" s="10" t="n">
        <v>0.2897731214386458</v>
      </c>
      <c r="L26" s="8" t="n">
        <v>3.166667</v>
      </c>
      <c r="M26" s="10" t="n">
        <v>0.3032875657523746</v>
      </c>
      <c r="N26" s="12">
        <f>IF(L26=J26,K26,K26+(M26-K26)*(C26-J26)/(L26-J26))</f>
        <v/>
      </c>
    </row>
    <row r="27">
      <c r="A27" s="7" t="n">
        <v>42528</v>
      </c>
      <c r="B27" s="10" t="n">
        <v>2.125</v>
      </c>
      <c r="C27" s="12">
        <f>(A27-$B$5)/365.25</f>
        <v/>
      </c>
      <c r="D27" s="10" t="n">
        <v>0.3919873147851429</v>
      </c>
      <c r="E27" s="13">
        <f>EXP(-D27/100*C27)</f>
        <v/>
      </c>
      <c r="F27" s="12">
        <f>B27*E27</f>
        <v/>
      </c>
      <c r="G27" s="10" t="n">
        <v>7.316939890710382</v>
      </c>
      <c r="H27" s="13">
        <f>(1/(1+$B$64/200))^G27</f>
        <v/>
      </c>
      <c r="I27" s="12">
        <f>B27*H27</f>
        <v/>
      </c>
      <c r="J27" s="8" t="n">
        <v>3.583333</v>
      </c>
      <c r="K27" s="10" t="n">
        <v>0.3776909369579466</v>
      </c>
      <c r="L27" s="8" t="n">
        <v>3.666667</v>
      </c>
      <c r="M27" s="10" t="n">
        <v>0.3937137159641422</v>
      </c>
      <c r="N27" s="12">
        <f>IF(L27=J27,K27,K27+(M27-K27)*(C27-J27)/(L27-J27))</f>
        <v/>
      </c>
    </row>
    <row r="28">
      <c r="A28" s="7" t="n">
        <v>42711</v>
      </c>
      <c r="B28" s="10" t="n">
        <v>2.125</v>
      </c>
      <c r="C28" s="12">
        <f>(A28-$B$5)/365.25</f>
        <v/>
      </c>
      <c r="D28" s="10" t="n">
        <v>0.4940009176154281</v>
      </c>
      <c r="E28" s="13">
        <f>EXP(-D28/100*C28)</f>
        <v/>
      </c>
      <c r="F28" s="12">
        <f>B28*E28</f>
        <v/>
      </c>
      <c r="G28" s="10" t="n">
        <v>8.316939890710383</v>
      </c>
      <c r="H28" s="13">
        <f>(1/(1+$B$64/200))^G28</f>
        <v/>
      </c>
      <c r="I28" s="12">
        <f>B28*H28</f>
        <v/>
      </c>
      <c r="J28" s="8" t="n">
        <v>4.083333</v>
      </c>
      <c r="K28" s="10" t="n">
        <v>0.4780928720829513</v>
      </c>
      <c r="L28" s="8" t="n">
        <v>4.166666</v>
      </c>
      <c r="M28" s="10" t="n">
        <v>0.4956693135293742</v>
      </c>
      <c r="N28" s="12">
        <f>IF(L28=J28,K28,K28+(M28-K28)*(C28-J28)/(L28-J28))</f>
        <v/>
      </c>
    </row>
    <row r="29">
      <c r="A29" s="7" t="n">
        <v>42893</v>
      </c>
      <c r="B29" s="10" t="n">
        <v>2.125</v>
      </c>
      <c r="C29" s="12">
        <f>(A29-$B$5)/365.25</f>
        <v/>
      </c>
      <c r="D29" s="10" t="n">
        <v>0.6024048869939238</v>
      </c>
      <c r="E29" s="13">
        <f>EXP(-D29/100*C29)</f>
        <v/>
      </c>
      <c r="F29" s="12">
        <f>B29*E29</f>
        <v/>
      </c>
      <c r="G29" s="10" t="n">
        <v>9.316939890710383</v>
      </c>
      <c r="H29" s="13">
        <f>(1/(1+$B$64/200))^G29</f>
        <v/>
      </c>
      <c r="I29" s="12">
        <f>B29*H29</f>
        <v/>
      </c>
      <c r="J29" s="8" t="n">
        <v>4.583333</v>
      </c>
      <c r="K29" s="10" t="n">
        <v>0.5860595232226667</v>
      </c>
      <c r="L29" s="8" t="n">
        <v>4.666666</v>
      </c>
      <c r="M29" s="10" t="n">
        <v>0.6045345696709711</v>
      </c>
      <c r="N29" s="12">
        <f>IF(L29=J29,K29,K29+(M29-K29)*(C29-J29)/(L29-J29))</f>
        <v/>
      </c>
    </row>
    <row r="30">
      <c r="A30" s="7" t="n">
        <v>43076</v>
      </c>
      <c r="B30" s="10" t="n">
        <v>2.125</v>
      </c>
      <c r="C30" s="12">
        <f>(A30-$B$5)/365.25</f>
        <v/>
      </c>
      <c r="D30" s="10" t="n">
        <v>0.7151843377562509</v>
      </c>
      <c r="E30" s="13">
        <f>EXP(-D30/100*C30)</f>
        <v/>
      </c>
      <c r="F30" s="12">
        <f>B30*E30</f>
        <v/>
      </c>
      <c r="G30" s="10" t="n">
        <v>10.31693989071038</v>
      </c>
      <c r="H30" s="13">
        <f>(1/(1+$B$64/200))^G30</f>
        <v/>
      </c>
      <c r="I30" s="12">
        <f>B30*H30</f>
        <v/>
      </c>
      <c r="J30" s="8" t="n">
        <v>5</v>
      </c>
      <c r="K30" s="10" t="n">
        <v>0.6793367612933351</v>
      </c>
      <c r="L30" s="8" t="n">
        <v>5.5</v>
      </c>
      <c r="M30" s="10" t="n">
        <v>0.7931417497793148</v>
      </c>
      <c r="N30" s="12">
        <f>IF(L30=J30,K30,K30+(M30-K30)*(C30-J30)/(L30-J30))</f>
        <v/>
      </c>
    </row>
    <row r="31">
      <c r="A31" s="7" t="n">
        <v>43258</v>
      </c>
      <c r="B31" s="10" t="n">
        <v>2.125</v>
      </c>
      <c r="C31" s="12">
        <f>(A31-$B$5)/365.25</f>
        <v/>
      </c>
      <c r="D31" s="10" t="n">
        <v>0.8288883776139306</v>
      </c>
      <c r="E31" s="13">
        <f>EXP(-D31/100*C31)</f>
        <v/>
      </c>
      <c r="F31" s="12">
        <f>B31*E31</f>
        <v/>
      </c>
      <c r="G31" s="10" t="n">
        <v>11.31693989071038</v>
      </c>
      <c r="H31" s="13">
        <f>(1/(1+$B$64/200))^G31</f>
        <v/>
      </c>
      <c r="I31" s="12">
        <f>B31*H31</f>
        <v/>
      </c>
      <c r="J31" s="8" t="n">
        <v>5.5</v>
      </c>
      <c r="K31" s="10" t="n">
        <v>0.7931417497793148</v>
      </c>
      <c r="L31" s="8" t="n">
        <v>6</v>
      </c>
      <c r="M31" s="10" t="n">
        <v>0.9073365930044227</v>
      </c>
      <c r="N31" s="12">
        <f>IF(L31=J31,K31,K31+(M31-K31)*(C31-J31)/(L31-J31))</f>
        <v/>
      </c>
    </row>
    <row r="32">
      <c r="A32" s="7" t="n">
        <v>43441</v>
      </c>
      <c r="B32" s="10" t="n">
        <v>2.125</v>
      </c>
      <c r="C32" s="12">
        <f>(A32-$B$5)/365.25</f>
        <v/>
      </c>
      <c r="D32" s="10" t="n">
        <v>0.9431539035193617</v>
      </c>
      <c r="E32" s="13">
        <f>EXP(-D32/100*C32)</f>
        <v/>
      </c>
      <c r="F32" s="12">
        <f>B32*E32</f>
        <v/>
      </c>
      <c r="G32" s="10" t="n">
        <v>12.31693989071038</v>
      </c>
      <c r="H32" s="13">
        <f>(1/(1+$B$64/200))^G32</f>
        <v/>
      </c>
      <c r="I32" s="12">
        <f>B32*H32</f>
        <v/>
      </c>
      <c r="J32" s="8" t="n">
        <v>6</v>
      </c>
      <c r="K32" s="10" t="n">
        <v>0.9073365930044227</v>
      </c>
      <c r="L32" s="8" t="n">
        <v>6.5</v>
      </c>
      <c r="M32" s="10" t="n">
        <v>1.020621163489129</v>
      </c>
      <c r="N32" s="12">
        <f>IF(L32=J32,K32,K32+(M32-K32)*(C32-J32)/(L32-J32))</f>
        <v/>
      </c>
    </row>
    <row r="33">
      <c r="A33" s="7" t="n">
        <v>43623</v>
      </c>
      <c r="B33" s="10" t="n">
        <v>2.125</v>
      </c>
      <c r="C33" s="12">
        <f>(A33-$B$5)/365.25</f>
        <v/>
      </c>
      <c r="D33" s="10" t="n">
        <v>1.055554167843635</v>
      </c>
      <c r="E33" s="13">
        <f>EXP(-D33/100*C33)</f>
        <v/>
      </c>
      <c r="F33" s="12">
        <f>B33*E33</f>
        <v/>
      </c>
      <c r="G33" s="10" t="n">
        <v>13.31693989071038</v>
      </c>
      <c r="H33" s="13">
        <f>(1/(1+$B$64/200))^G33</f>
        <v/>
      </c>
      <c r="I33" s="12">
        <f>B33*H33</f>
        <v/>
      </c>
      <c r="J33" s="8" t="n">
        <v>6.5</v>
      </c>
      <c r="K33" s="10" t="n">
        <v>1.020621163489129</v>
      </c>
      <c r="L33" s="8" t="n">
        <v>7</v>
      </c>
      <c r="M33" s="10" t="n">
        <v>1.132015041462262</v>
      </c>
      <c r="N33" s="12">
        <f>IF(L33=J33,K33,K33+(M33-K33)*(C33-J33)/(L33-J33))</f>
        <v/>
      </c>
    </row>
    <row r="34">
      <c r="A34" s="7" t="n">
        <v>43806</v>
      </c>
      <c r="B34" s="10" t="n">
        <v>2.125</v>
      </c>
      <c r="C34" s="12">
        <f>(A34-$B$5)/365.25</f>
        <v/>
      </c>
      <c r="D34" s="10" t="n">
        <v>1.166421341634384</v>
      </c>
      <c r="E34" s="13">
        <f>EXP(-D34/100*C34)</f>
        <v/>
      </c>
      <c r="F34" s="12">
        <f>B34*E34</f>
        <v/>
      </c>
      <c r="G34" s="10" t="n">
        <v>14.31693989071038</v>
      </c>
      <c r="H34" s="13">
        <f>(1/(1+$B$64/200))^G34</f>
        <v/>
      </c>
      <c r="I34" s="12">
        <f>B34*H34</f>
        <v/>
      </c>
      <c r="J34" s="8" t="n">
        <v>7</v>
      </c>
      <c r="K34" s="10" t="n">
        <v>1.132015041462262</v>
      </c>
      <c r="L34" s="8" t="n">
        <v>7.5</v>
      </c>
      <c r="M34" s="10" t="n">
        <v>1.240769916860218</v>
      </c>
      <c r="N34" s="12">
        <f>IF(L34=J34,K34,K34+(M34-K34)*(C34-J34)/(L34-J34))</f>
        <v/>
      </c>
    </row>
    <row r="35">
      <c r="A35" s="7" t="n">
        <v>43989</v>
      </c>
      <c r="B35" s="10" t="n">
        <v>2.125</v>
      </c>
      <c r="C35" s="12">
        <f>(A35-$B$5)/365.25</f>
        <v/>
      </c>
      <c r="D35" s="10" t="n">
        <v>1.274444259975022</v>
      </c>
      <c r="E35" s="13">
        <f>EXP(-D35/100*C35)</f>
        <v/>
      </c>
      <c r="F35" s="12">
        <f>B35*E35</f>
        <v/>
      </c>
      <c r="G35" s="10" t="n">
        <v>15.31693989071038</v>
      </c>
      <c r="H35" s="13">
        <f>(1/(1+$B$64/200))^G35</f>
        <v/>
      </c>
      <c r="I35" s="12">
        <f>B35*H35</f>
        <v/>
      </c>
      <c r="J35" s="8" t="n">
        <v>7.5</v>
      </c>
      <c r="K35" s="10" t="n">
        <v>1.240769916860218</v>
      </c>
      <c r="L35" s="8" t="n">
        <v>8</v>
      </c>
      <c r="M35" s="10" t="n">
        <v>1.346329800155731</v>
      </c>
      <c r="N35" s="12">
        <f>IF(L35=J35,K35,K35+(M35-K35)*(C35-J35)/(L35-J35))</f>
        <v/>
      </c>
    </row>
    <row r="36">
      <c r="A36" s="7" t="n">
        <v>44172</v>
      </c>
      <c r="B36" s="10" t="n">
        <v>2.125</v>
      </c>
      <c r="C36" s="12">
        <f>(A36-$B$5)/365.25</f>
        <v/>
      </c>
      <c r="D36" s="10" t="n">
        <v>1.379118948993162</v>
      </c>
      <c r="E36" s="13">
        <f>EXP(-D36/100*C36)</f>
        <v/>
      </c>
      <c r="F36" s="12">
        <f>B36*E36</f>
        <v/>
      </c>
      <c r="G36" s="10" t="n">
        <v>16.31693989071038</v>
      </c>
      <c r="H36" s="13">
        <f>(1/(1+$B$64/200))^G36</f>
        <v/>
      </c>
      <c r="I36" s="12">
        <f>B36*H36</f>
        <v/>
      </c>
      <c r="J36" s="8" t="n">
        <v>8</v>
      </c>
      <c r="K36" s="10" t="n">
        <v>1.346329800155731</v>
      </c>
      <c r="L36" s="8" t="n">
        <v>8.5</v>
      </c>
      <c r="M36" s="10" t="n">
        <v>1.44830910030806</v>
      </c>
      <c r="N36" s="12">
        <f>IF(L36=J36,K36,K36+(M36-K36)*(C36-J36)/(L36-J36))</f>
        <v/>
      </c>
    </row>
    <row r="37">
      <c r="A37" s="7" t="n">
        <v>44354</v>
      </c>
      <c r="B37" s="10" t="n">
        <v>2.125</v>
      </c>
      <c r="C37" s="12">
        <f>(A37-$B$5)/365.25</f>
        <v/>
      </c>
      <c r="D37" s="10" t="n">
        <v>1.479568499949924</v>
      </c>
      <c r="E37" s="13">
        <f>EXP(-D37/100*C37)</f>
        <v/>
      </c>
      <c r="F37" s="12">
        <f>B37*E37</f>
        <v/>
      </c>
      <c r="G37" s="10" t="n">
        <v>17.31693989071038</v>
      </c>
      <c r="H37" s="13">
        <f>(1/(1+$B$64/200))^G37</f>
        <v/>
      </c>
      <c r="I37" s="12">
        <f>B37*H37</f>
        <v/>
      </c>
      <c r="J37" s="8" t="n">
        <v>8.5</v>
      </c>
      <c r="K37" s="10" t="n">
        <v>1.44830910030806</v>
      </c>
      <c r="L37" s="8" t="n">
        <v>9</v>
      </c>
      <c r="M37" s="10" t="n">
        <v>1.54648120153772</v>
      </c>
      <c r="N37" s="12">
        <f>IF(L37=J37,K37,K37+(M37-K37)*(C37-J37)/(L37-J37))</f>
        <v/>
      </c>
    </row>
    <row r="38">
      <c r="A38" s="7" t="n">
        <v>44537</v>
      </c>
      <c r="B38" s="10" t="n">
        <v>2.125</v>
      </c>
      <c r="C38" s="12">
        <f>(A38-$B$5)/365.25</f>
        <v/>
      </c>
      <c r="D38" s="10" t="n">
        <v>1.576714477197927</v>
      </c>
      <c r="E38" s="13">
        <f>EXP(-D38/100*C38)</f>
        <v/>
      </c>
      <c r="F38" s="12">
        <f>B38*E38</f>
        <v/>
      </c>
      <c r="G38" s="10" t="n">
        <v>18.31693989071038</v>
      </c>
      <c r="H38" s="13">
        <f>(1/(1+$B$64/200))^G38</f>
        <v/>
      </c>
      <c r="I38" s="12">
        <f>B38*H38</f>
        <v/>
      </c>
      <c r="J38" s="8" t="n">
        <v>9</v>
      </c>
      <c r="K38" s="10" t="n">
        <v>1.54648120153772</v>
      </c>
      <c r="L38" s="8" t="n">
        <v>9.5</v>
      </c>
      <c r="M38" s="10" t="n">
        <v>1.640756009458147</v>
      </c>
      <c r="N38" s="12">
        <f>IF(L38=J38,K38,K38+(M38-K38)*(C38-J38)/(L38-J38))</f>
        <v/>
      </c>
    </row>
    <row r="39">
      <c r="A39" s="7" t="n">
        <v>44719</v>
      </c>
      <c r="B39" s="10" t="n">
        <v>2.125</v>
      </c>
      <c r="C39" s="12">
        <f>(A39-$B$5)/365.25</f>
        <v/>
      </c>
      <c r="D39" s="10" t="n">
        <v>1.669448438893248</v>
      </c>
      <c r="E39" s="13">
        <f>EXP(-D39/100*C39)</f>
        <v/>
      </c>
      <c r="F39" s="12">
        <f>B39*E39</f>
        <v/>
      </c>
      <c r="G39" s="10" t="n">
        <v>19.31693989071038</v>
      </c>
      <c r="H39" s="13">
        <f>(1/(1+$B$64/200))^G39</f>
        <v/>
      </c>
      <c r="I39" s="12">
        <f>B39*H39</f>
        <v/>
      </c>
      <c r="J39" s="8" t="n">
        <v>9.5</v>
      </c>
      <c r="K39" s="10" t="n">
        <v>1.640756009458147</v>
      </c>
      <c r="L39" s="8" t="n">
        <v>10</v>
      </c>
      <c r="M39" s="10" t="n">
        <v>1.731173801581802</v>
      </c>
      <c r="N39" s="12">
        <f>IF(L39=J39,K39,K39+(M39-K39)*(C39-J39)/(L39-J39))</f>
        <v/>
      </c>
    </row>
    <row r="40">
      <c r="A40" s="7" t="n">
        <v>44902</v>
      </c>
      <c r="B40" s="10" t="n">
        <v>2.125</v>
      </c>
      <c r="C40" s="12">
        <f>(A40-$B$5)/365.25</f>
        <v/>
      </c>
      <c r="D40" s="10" t="n">
        <v>1.758862160872244</v>
      </c>
      <c r="E40" s="13">
        <f>EXP(-D40/100*C40)</f>
        <v/>
      </c>
      <c r="F40" s="12">
        <f>B40*E40</f>
        <v/>
      </c>
      <c r="G40" s="10" t="n">
        <v>20.31693989071038</v>
      </c>
      <c r="H40" s="13">
        <f>(1/(1+$B$64/200))^G40</f>
        <v/>
      </c>
      <c r="I40" s="12">
        <f>B40*H40</f>
        <v/>
      </c>
      <c r="J40" s="8" t="n">
        <v>10</v>
      </c>
      <c r="K40" s="10" t="n">
        <v>1.731173801581802</v>
      </c>
      <c r="L40" s="8" t="n">
        <v>10.5</v>
      </c>
      <c r="M40" s="10" t="n">
        <v>1.817858040277592</v>
      </c>
      <c r="N40" s="12">
        <f>IF(L40=J40,K40,K40+(M40-K40)*(C40-J40)/(L40-J40))</f>
        <v/>
      </c>
    </row>
    <row r="41">
      <c r="A41" s="7" t="n">
        <v>45084</v>
      </c>
      <c r="B41" s="10" t="n">
        <v>2.125</v>
      </c>
      <c r="C41" s="12">
        <f>(A41-$B$5)/365.25</f>
        <v/>
      </c>
      <c r="D41" s="10" t="n">
        <v>1.844116359668934</v>
      </c>
      <c r="E41" s="13">
        <f>EXP(-D41/100*C41)</f>
        <v/>
      </c>
      <c r="F41" s="12">
        <f>B41*E41</f>
        <v/>
      </c>
      <c r="G41" s="10" t="n">
        <v>21.31693989071038</v>
      </c>
      <c r="H41" s="13">
        <f>(1/(1+$B$64/200))^G41</f>
        <v/>
      </c>
      <c r="I41" s="12">
        <f>B41*H41</f>
        <v/>
      </c>
      <c r="J41" s="8" t="n">
        <v>10.5</v>
      </c>
      <c r="K41" s="10" t="n">
        <v>1.817858040277592</v>
      </c>
      <c r="L41" s="8" t="n">
        <v>11</v>
      </c>
      <c r="M41" s="10" t="n">
        <v>1.900970819706727</v>
      </c>
      <c r="N41" s="12">
        <f>IF(L41=J41,K41,K41+(M41-K41)*(C41-J41)/(L41-J41))</f>
        <v/>
      </c>
    </row>
    <row r="42">
      <c r="A42" s="7" t="n">
        <v>45267</v>
      </c>
      <c r="B42" s="10" t="n">
        <v>2.125</v>
      </c>
      <c r="C42" s="12">
        <f>(A42-$B$5)/365.25</f>
        <v/>
      </c>
      <c r="D42" s="10" t="n">
        <v>1.926319657448691</v>
      </c>
      <c r="E42" s="13">
        <f>EXP(-D42/100*C42)</f>
        <v/>
      </c>
      <c r="F42" s="12">
        <f>B42*E42</f>
        <v/>
      </c>
      <c r="G42" s="10" t="n">
        <v>22.31693989071038</v>
      </c>
      <c r="H42" s="13">
        <f>(1/(1+$B$64/200))^G42</f>
        <v/>
      </c>
      <c r="I42" s="12">
        <f>B42*H42</f>
        <v/>
      </c>
      <c r="J42" s="8" t="n">
        <v>11</v>
      </c>
      <c r="K42" s="10" t="n">
        <v>1.900970819706727</v>
      </c>
      <c r="L42" s="8" t="n">
        <v>11.5</v>
      </c>
      <c r="M42" s="10" t="n">
        <v>1.980703092413085</v>
      </c>
      <c r="N42" s="12">
        <f>IF(L42=J42,K42,K42+(M42-K42)*(C42-J42)/(L42-J42))</f>
        <v/>
      </c>
    </row>
    <row r="43">
      <c r="A43" s="7" t="n">
        <v>45450</v>
      </c>
      <c r="B43" s="10" t="n">
        <v>2.125</v>
      </c>
      <c r="C43" s="12">
        <f>(A43-$B$5)/365.25</f>
        <v/>
      </c>
      <c r="D43" s="10" t="n">
        <v>2.005193669497511</v>
      </c>
      <c r="E43" s="13">
        <f>EXP(-D43/100*C43)</f>
        <v/>
      </c>
      <c r="F43" s="12">
        <f>B43*E43</f>
        <v/>
      </c>
      <c r="G43" s="10" t="n">
        <v>23.31693989071038</v>
      </c>
      <c r="H43" s="13">
        <f>(1/(1+$B$64/200))^G43</f>
        <v/>
      </c>
      <c r="I43" s="12">
        <f>B43*H43</f>
        <v/>
      </c>
      <c r="J43" s="8" t="n">
        <v>11.5</v>
      </c>
      <c r="K43" s="10" t="n">
        <v>1.980703092413085</v>
      </c>
      <c r="L43" s="8" t="n">
        <v>12</v>
      </c>
      <c r="M43" s="10" t="n">
        <v>2.057268657160154</v>
      </c>
      <c r="N43" s="12">
        <f>IF(L43=J43,K43,K43+(M43-K43)*(C43-J43)/(L43-J43))</f>
        <v/>
      </c>
    </row>
    <row r="44">
      <c r="A44" s="7" t="n">
        <v>45633</v>
      </c>
      <c r="B44" s="10" t="n">
        <v>2.125</v>
      </c>
      <c r="C44" s="12">
        <f>(A44-$B$5)/365.25</f>
        <v/>
      </c>
      <c r="D44" s="10" t="n">
        <v>2.080959609018891</v>
      </c>
      <c r="E44" s="13">
        <f>EXP(-D44/100*C44)</f>
        <v/>
      </c>
      <c r="F44" s="12">
        <f>B44*E44</f>
        <v/>
      </c>
      <c r="G44" s="10" t="n">
        <v>24.31693989071038</v>
      </c>
      <c r="H44" s="13">
        <f>(1/(1+$B$64/200))^G44</f>
        <v/>
      </c>
      <c r="I44" s="12">
        <f>B44*H44</f>
        <v/>
      </c>
      <c r="J44" s="8" t="n">
        <v>12</v>
      </c>
      <c r="K44" s="10" t="n">
        <v>2.057268657160154</v>
      </c>
      <c r="L44" s="8" t="n">
        <v>12.5</v>
      </c>
      <c r="M44" s="10" t="n">
        <v>2.130899588040619</v>
      </c>
      <c r="N44" s="12">
        <f>IF(L44=J44,K44,K44+(M44-K44)*(C44-J44)/(L44-J44))</f>
        <v/>
      </c>
    </row>
    <row r="45">
      <c r="A45" s="7" t="n">
        <v>45815</v>
      </c>
      <c r="B45" s="10" t="n">
        <v>2.125</v>
      </c>
      <c r="C45" s="12">
        <f>(A45-$B$5)/365.25</f>
        <v/>
      </c>
      <c r="D45" s="10" t="n">
        <v>2.153465285192819</v>
      </c>
      <c r="E45" s="13">
        <f>EXP(-D45/100*C45)</f>
        <v/>
      </c>
      <c r="F45" s="12">
        <f>B45*E45</f>
        <v/>
      </c>
      <c r="G45" s="10" t="n">
        <v>25.31693989071038</v>
      </c>
      <c r="H45" s="13">
        <f>(1/(1+$B$64/200))^G45</f>
        <v/>
      </c>
      <c r="I45" s="12">
        <f>B45*H45</f>
        <v/>
      </c>
      <c r="J45" s="8" t="n">
        <v>12.5</v>
      </c>
      <c r="K45" s="10" t="n">
        <v>2.130899588040619</v>
      </c>
      <c r="L45" s="8" t="n">
        <v>13</v>
      </c>
      <c r="M45" s="10" t="n">
        <v>2.201838962199865</v>
      </c>
      <c r="N45" s="12">
        <f>IF(L45=J45,K45,K45+(M45-K45)*(C45-J45)/(L45-J45))</f>
        <v/>
      </c>
    </row>
    <row r="46">
      <c r="A46" s="7" t="n">
        <v>45998</v>
      </c>
      <c r="B46" s="10" t="n">
        <v>2.125</v>
      </c>
      <c r="C46" s="12">
        <f>(A46-$B$5)/365.25</f>
        <v/>
      </c>
      <c r="D46" s="10" t="n">
        <v>2.223748763911712</v>
      </c>
      <c r="E46" s="13">
        <f>EXP(-D46/100*C46)</f>
        <v/>
      </c>
      <c r="F46" s="12">
        <f>B46*E46</f>
        <v/>
      </c>
      <c r="G46" s="10" t="n">
        <v>26.31693989071038</v>
      </c>
      <c r="H46" s="13">
        <f>(1/(1+$B$64/200))^G46</f>
        <v/>
      </c>
      <c r="I46" s="12">
        <f>B46*H46</f>
        <v/>
      </c>
      <c r="J46" s="8" t="n">
        <v>13</v>
      </c>
      <c r="K46" s="10" t="n">
        <v>2.201838962199865</v>
      </c>
      <c r="L46" s="8" t="n">
        <v>13.5</v>
      </c>
      <c r="M46" s="10" t="n">
        <v>2.270313833574319</v>
      </c>
      <c r="N46" s="12">
        <f>IF(L46=J46,K46,K46+(M46-K46)*(C46-J46)/(L46-J46))</f>
        <v/>
      </c>
    </row>
    <row r="47">
      <c r="A47" s="7" t="n">
        <v>46180</v>
      </c>
      <c r="B47" s="10" t="n">
        <v>2.125</v>
      </c>
      <c r="C47" s="12">
        <f>(A47-$B$5)/365.25</f>
        <v/>
      </c>
      <c r="D47" s="10" t="n">
        <v>2.291258715770728</v>
      </c>
      <c r="E47" s="13">
        <f>EXP(-D47/100*C47)</f>
        <v/>
      </c>
      <c r="F47" s="12">
        <f>B47*E47</f>
        <v/>
      </c>
      <c r="G47" s="10" t="n">
        <v>27.31693989071038</v>
      </c>
      <c r="H47" s="13">
        <f>(1/(1+$B$64/200))^G47</f>
        <v/>
      </c>
      <c r="I47" s="12">
        <f>B47*H47</f>
        <v/>
      </c>
      <c r="J47" s="8" t="n">
        <v>13.5</v>
      </c>
      <c r="K47" s="10" t="n">
        <v>2.270313833574319</v>
      </c>
      <c r="L47" s="8" t="n">
        <v>14</v>
      </c>
      <c r="M47" s="10" t="n">
        <v>2.336521360186892</v>
      </c>
      <c r="N47" s="12">
        <f>IF(L47=J47,K47,K47+(M47-K47)*(C47-J47)/(L47-J47))</f>
        <v/>
      </c>
    </row>
    <row r="48">
      <c r="A48" s="7" t="n">
        <v>46363</v>
      </c>
      <c r="B48" s="10" t="n">
        <v>2.125</v>
      </c>
      <c r="C48" s="12">
        <f>(A48-$B$5)/365.25</f>
        <v/>
      </c>
      <c r="D48" s="10" t="n">
        <v>2.35692572093004</v>
      </c>
      <c r="E48" s="13">
        <f>EXP(-D48/100*C48)</f>
        <v/>
      </c>
      <c r="F48" s="12">
        <f>B48*E48</f>
        <v/>
      </c>
      <c r="G48" s="10" t="n">
        <v>28.31693989071038</v>
      </c>
      <c r="H48" s="13">
        <f>(1/(1+$B$64/200))^G48</f>
        <v/>
      </c>
      <c r="I48" s="12">
        <f>B48*H48</f>
        <v/>
      </c>
      <c r="J48" s="8" t="n">
        <v>14</v>
      </c>
      <c r="K48" s="10" t="n">
        <v>2.336521360186892</v>
      </c>
      <c r="L48" s="8" t="n">
        <v>14.5</v>
      </c>
      <c r="M48" s="10" t="n">
        <v>2.400633083071396</v>
      </c>
      <c r="N48" s="12">
        <f>IF(L48=J48,K48,K48+(M48-K48)*(C48-J48)/(L48-J48))</f>
        <v/>
      </c>
    </row>
    <row r="49">
      <c r="A49" s="7" t="n">
        <v>46545</v>
      </c>
      <c r="B49" s="10" t="n">
        <v>2.125</v>
      </c>
      <c r="C49" s="12">
        <f>(A49-$B$5)/365.25</f>
        <v/>
      </c>
      <c r="D49" s="10" t="n">
        <v>2.420195603131652</v>
      </c>
      <c r="E49" s="13">
        <f>EXP(-D49/100*C49)</f>
        <v/>
      </c>
      <c r="F49" s="12">
        <f>B49*E49</f>
        <v/>
      </c>
      <c r="G49" s="10" t="n">
        <v>29.31693989071038</v>
      </c>
      <c r="H49" s="13">
        <f>(1/(1+$B$64/200))^G49</f>
        <v/>
      </c>
      <c r="I49" s="12">
        <f>B49*H49</f>
        <v/>
      </c>
      <c r="J49" s="8" t="n">
        <v>14.5</v>
      </c>
      <c r="K49" s="10" t="n">
        <v>2.400633083071396</v>
      </c>
      <c r="L49" s="8" t="n">
        <v>15</v>
      </c>
      <c r="M49" s="10" t="n">
        <v>2.462799195770728</v>
      </c>
      <c r="N49" s="12">
        <f>IF(L49=J49,K49,K49+(M49-K49)*(C49-J49)/(L49-J49))</f>
        <v/>
      </c>
    </row>
    <row r="50">
      <c r="A50" s="7" t="n">
        <v>46728</v>
      </c>
      <c r="B50" s="10" t="n">
        <v>2.125</v>
      </c>
      <c r="C50" s="12">
        <f>(A50-$B$5)/365.25</f>
        <v/>
      </c>
      <c r="D50" s="10" t="n">
        <v>2.481908240156448</v>
      </c>
      <c r="E50" s="13">
        <f>EXP(-D50/100*C50)</f>
        <v/>
      </c>
      <c r="F50" s="12">
        <f>B50*E50</f>
        <v/>
      </c>
      <c r="G50" s="10" t="n">
        <v>30.31693989071038</v>
      </c>
      <c r="H50" s="13">
        <f>(1/(1+$B$64/200))^G50</f>
        <v/>
      </c>
      <c r="I50" s="12">
        <f>B50*H50</f>
        <v/>
      </c>
      <c r="J50" s="8" t="n">
        <v>15</v>
      </c>
      <c r="K50" s="10" t="n">
        <v>2.462799195770728</v>
      </c>
      <c r="L50" s="8" t="n">
        <v>15.5</v>
      </c>
      <c r="M50" s="10" t="n">
        <v>2.523151780395457</v>
      </c>
      <c r="N50" s="12">
        <f>IF(L50=J50,K50,K50+(M50-K50)*(C50-J50)/(L50-J50))</f>
        <v/>
      </c>
    </row>
    <row r="51">
      <c r="A51" s="7" t="n">
        <v>46911</v>
      </c>
      <c r="B51" s="10" t="n">
        <v>2.125</v>
      </c>
      <c r="C51" s="12">
        <f>(A51-$B$5)/365.25</f>
        <v/>
      </c>
      <c r="D51" s="10" t="n">
        <v>2.541837419627746</v>
      </c>
      <c r="E51" s="13">
        <f>EXP(-D51/100*C51)</f>
        <v/>
      </c>
      <c r="F51" s="12">
        <f>B51*E51</f>
        <v/>
      </c>
      <c r="G51" s="10" t="n">
        <v>31.31693989071038</v>
      </c>
      <c r="H51" s="13">
        <f>(1/(1+$B$64/200))^G51</f>
        <v/>
      </c>
      <c r="I51" s="12">
        <f>B51*H51</f>
        <v/>
      </c>
      <c r="J51" s="8" t="n">
        <v>15.5</v>
      </c>
      <c r="K51" s="10" t="n">
        <v>2.523151780395457</v>
      </c>
      <c r="L51" s="8" t="n">
        <v>16</v>
      </c>
      <c r="M51" s="10" t="n">
        <v>2.581800620445863</v>
      </c>
      <c r="N51" s="12">
        <f>IF(L51=J51,K51,K51+(M51-K51)*(C51-J51)/(L51-J51))</f>
        <v/>
      </c>
    </row>
    <row r="52">
      <c r="A52" s="7" t="n">
        <v>47094</v>
      </c>
      <c r="B52" s="10" t="n">
        <v>2.125</v>
      </c>
      <c r="C52" s="12">
        <f>(A52-$B$5)/365.25</f>
        <v/>
      </c>
      <c r="D52" s="10" t="n">
        <v>2.600083795958241</v>
      </c>
      <c r="E52" s="13">
        <f>EXP(-D52/100*C52)</f>
        <v/>
      </c>
      <c r="F52" s="12">
        <f>B52*E52</f>
        <v/>
      </c>
      <c r="G52" s="10" t="n">
        <v>32.31693989071038</v>
      </c>
      <c r="H52" s="13">
        <f>(1/(1+$B$64/200))^G52</f>
        <v/>
      </c>
      <c r="I52" s="12">
        <f>B52*H52</f>
        <v/>
      </c>
      <c r="J52" s="8" t="n">
        <v>16</v>
      </c>
      <c r="K52" s="10" t="n">
        <v>2.581800620445863</v>
      </c>
      <c r="L52" s="8" t="n">
        <v>16.5</v>
      </c>
      <c r="M52" s="10" t="n">
        <v>2.638822320459351</v>
      </c>
      <c r="N52" s="12">
        <f>IF(L52=J52,K52,K52+(M52-K52)*(C52-J52)/(L52-J52))</f>
        <v/>
      </c>
    </row>
    <row r="53">
      <c r="A53" s="7" t="n">
        <v>47276</v>
      </c>
      <c r="B53" s="10" t="n">
        <v>2.125</v>
      </c>
      <c r="C53" s="12">
        <f>(A53-$B$5)/365.25</f>
        <v/>
      </c>
      <c r="D53" s="10" t="n">
        <v>2.656409026091028</v>
      </c>
      <c r="E53" s="13">
        <f>EXP(-D53/100*C53)</f>
        <v/>
      </c>
      <c r="F53" s="12">
        <f>B53*E53</f>
        <v/>
      </c>
      <c r="G53" s="10" t="n">
        <v>33.31693989071038</v>
      </c>
      <c r="H53" s="13">
        <f>(1/(1+$B$64/200))^G53</f>
        <v/>
      </c>
      <c r="I53" s="12">
        <f>B53*H53</f>
        <v/>
      </c>
      <c r="J53" s="8" t="n">
        <v>16.5</v>
      </c>
      <c r="K53" s="10" t="n">
        <v>2.638822320459351</v>
      </c>
      <c r="L53" s="8" t="n">
        <v>17</v>
      </c>
      <c r="M53" s="10" t="n">
        <v>2.694264272941115</v>
      </c>
      <c r="N53" s="12">
        <f>IF(L53=J53,K53,K53+(M53-K53)*(C53-J53)/(L53-J53))</f>
        <v/>
      </c>
    </row>
    <row r="54">
      <c r="A54" s="7" t="n">
        <v>47459</v>
      </c>
      <c r="B54" s="10" t="n">
        <v>2.125</v>
      </c>
      <c r="C54" s="12">
        <f>(A54-$B$5)/365.25</f>
        <v/>
      </c>
      <c r="D54" s="10" t="n">
        <v>2.711472299651035</v>
      </c>
      <c r="E54" s="13">
        <f>EXP(-D54/100*C54)</f>
        <v/>
      </c>
      <c r="F54" s="12">
        <f>B54*E54</f>
        <v/>
      </c>
      <c r="G54" s="10" t="n">
        <v>34.31693989071038</v>
      </c>
      <c r="H54" s="13">
        <f>(1/(1+$B$64/200))^G54</f>
        <v/>
      </c>
      <c r="I54" s="12">
        <f>B54*H54</f>
        <v/>
      </c>
      <c r="J54" s="8" t="n">
        <v>17</v>
      </c>
      <c r="K54" s="10" t="n">
        <v>2.694264272941115</v>
      </c>
      <c r="L54" s="8" t="n">
        <v>17.5</v>
      </c>
      <c r="M54" s="10" t="n">
        <v>2.748153417645616</v>
      </c>
      <c r="N54" s="12">
        <f>IF(L54=J54,K54,K54+(M54-K54)*(C54-J54)/(L54-J54))</f>
        <v/>
      </c>
    </row>
    <row r="55">
      <c r="A55" s="7" t="n">
        <v>47641</v>
      </c>
      <c r="B55" s="10" t="n">
        <v>2.125</v>
      </c>
      <c r="C55" s="12">
        <f>(A55-$B$5)/365.25</f>
        <v/>
      </c>
      <c r="D55" s="10" t="n">
        <v>2.764693163705813</v>
      </c>
      <c r="E55" s="13">
        <f>EXP(-D55/100*C55)</f>
        <v/>
      </c>
      <c r="F55" s="12">
        <f>B55*E55</f>
        <v/>
      </c>
      <c r="G55" s="10" t="n">
        <v>35.31693989071038</v>
      </c>
      <c r="H55" s="13">
        <f>(1/(1+$B$64/200))^G55</f>
        <v/>
      </c>
      <c r="I55" s="12">
        <f>B55*H55</f>
        <v/>
      </c>
      <c r="J55" s="8" t="n">
        <v>17.5</v>
      </c>
      <c r="K55" s="10" t="n">
        <v>2.748153417645616</v>
      </c>
      <c r="L55" s="8" t="n">
        <v>18</v>
      </c>
      <c r="M55" s="10" t="n">
        <v>2.800500103984977</v>
      </c>
      <c r="N55" s="12">
        <f>IF(L55=J55,K55,K55+(M55-K55)*(C55-J55)/(L55-J55))</f>
        <v/>
      </c>
    </row>
    <row r="56">
      <c r="A56" s="7" t="n">
        <v>47824</v>
      </c>
      <c r="B56" s="10" t="n">
        <v>2.125</v>
      </c>
      <c r="C56" s="12">
        <f>(A56-$B$5)/365.25</f>
        <v/>
      </c>
      <c r="D56" s="10" t="n">
        <v>2.816662055387215</v>
      </c>
      <c r="E56" s="13">
        <f>EXP(-D56/100*C56)</f>
        <v/>
      </c>
      <c r="F56" s="12">
        <f>B56*E56</f>
        <v/>
      </c>
      <c r="G56" s="10" t="n">
        <v>36.31693989071038</v>
      </c>
      <c r="H56" s="13">
        <f>(1/(1+$B$64/200))^G56</f>
        <v/>
      </c>
      <c r="I56" s="12">
        <f>B56*H56</f>
        <v/>
      </c>
      <c r="J56" s="8" t="n">
        <v>18</v>
      </c>
      <c r="K56" s="10" t="n">
        <v>2.800500103984977</v>
      </c>
      <c r="L56" s="8" t="n">
        <v>18.5</v>
      </c>
      <c r="M56" s="10" t="n">
        <v>2.85130038236337</v>
      </c>
      <c r="N56" s="12">
        <f>IF(L56=J56,K56,K56+(M56-K56)*(C56-J56)/(L56-J56))</f>
        <v/>
      </c>
    </row>
    <row r="57">
      <c r="A57" s="7" t="n">
        <v>48006</v>
      </c>
      <c r="B57" s="10" t="n">
        <v>2.125</v>
      </c>
      <c r="C57" s="12">
        <f>(A57-$B$5)/365.25</f>
        <v/>
      </c>
      <c r="D57" s="10" t="n">
        <v>2.866803222820375</v>
      </c>
      <c r="E57" s="13">
        <f>EXP(-D57/100*C57)</f>
        <v/>
      </c>
      <c r="F57" s="12">
        <f>B57*E57</f>
        <v/>
      </c>
      <c r="G57" s="10" t="n">
        <v>37.31693989071038</v>
      </c>
      <c r="H57" s="13">
        <f>(1/(1+$B$64/200))^G57</f>
        <v/>
      </c>
      <c r="I57" s="12">
        <f>B57*H57</f>
        <v/>
      </c>
      <c r="J57" s="8" t="n">
        <v>18.5</v>
      </c>
      <c r="K57" s="10" t="n">
        <v>2.85130038236337</v>
      </c>
      <c r="L57" s="8" t="n">
        <v>19</v>
      </c>
      <c r="M57" s="10" t="n">
        <v>2.900539528094734</v>
      </c>
      <c r="N57" s="12">
        <f>IF(L57=J57,K57,K57+(M57-K57)*(C57-J57)/(L57-J57))</f>
        <v/>
      </c>
    </row>
    <row r="58">
      <c r="A58" s="7" t="n">
        <v>48189</v>
      </c>
      <c r="B58" s="10" t="n">
        <v>2.125</v>
      </c>
      <c r="C58" s="12">
        <f>(A58-$B$5)/365.25</f>
        <v/>
      </c>
      <c r="D58" s="10" t="n">
        <v>2.915650668289312</v>
      </c>
      <c r="E58" s="13">
        <f>EXP(-D58/100*C58)</f>
        <v/>
      </c>
      <c r="F58" s="12">
        <f>B58*E58</f>
        <v/>
      </c>
      <c r="G58" s="10" t="n">
        <v>38.31693989071038</v>
      </c>
      <c r="H58" s="13">
        <f>(1/(1+$B$64/200))^G58</f>
        <v/>
      </c>
      <c r="I58" s="12">
        <f>B58*H58</f>
        <v/>
      </c>
      <c r="J58" s="8" t="n">
        <v>19</v>
      </c>
      <c r="K58" s="10" t="n">
        <v>2.900539528094734</v>
      </c>
      <c r="L58" s="8" t="n">
        <v>19.5</v>
      </c>
      <c r="M58" s="10" t="n">
        <v>2.948196917095604</v>
      </c>
      <c r="N58" s="12">
        <f>IF(L58=J58,K58,K58+(M58-K58)*(C58-J58)/(L58-J58))</f>
        <v/>
      </c>
    </row>
    <row r="59">
      <c r="A59" s="7" t="n">
        <v>48372</v>
      </c>
      <c r="B59" s="10" t="n">
        <v>102.125</v>
      </c>
      <c r="C59" s="12">
        <f>(A59-$B$5)/365.25</f>
        <v/>
      </c>
      <c r="D59" s="10" t="n">
        <v>2.962902400685966</v>
      </c>
      <c r="E59" s="13">
        <f>EXP(-D59/100*C59)</f>
        <v/>
      </c>
      <c r="F59" s="12">
        <f>B59*E59</f>
        <v/>
      </c>
      <c r="G59" s="10" t="n">
        <v>39.31693989071038</v>
      </c>
      <c r="H59" s="13">
        <f>(1/(1+$B$64/200))^G59</f>
        <v/>
      </c>
      <c r="I59" s="12">
        <f>B59*H59</f>
        <v/>
      </c>
      <c r="J59" s="8" t="n">
        <v>19.5</v>
      </c>
      <c r="K59" s="10" t="n">
        <v>2.948196917095604</v>
      </c>
      <c r="L59" s="8" t="n">
        <v>20</v>
      </c>
      <c r="M59" s="10" t="n">
        <v>2.994247623252944</v>
      </c>
      <c r="N59" s="12">
        <f>IF(L59=J59,K59,K59+(M59-K59)*(C59-J59)/(L59-J59))</f>
        <v/>
      </c>
    </row>
    <row r="61">
      <c r="A61" s="6" t="inlineStr">
        <is>
          <t>Curve dirty price = SUM(PV)</t>
        </is>
      </c>
      <c r="B61" s="12">
        <f>SUM(F20:F59)</f>
        <v/>
      </c>
    </row>
    <row r="62">
      <c r="A62" s="6" t="inlineStr">
        <is>
          <t>Accrued interest</t>
        </is>
      </c>
      <c r="B62" s="12">
        <f>B12</f>
        <v/>
      </c>
    </row>
    <row r="63">
      <c r="A63" s="6" t="inlineStr">
        <is>
          <t>Curve clean price</t>
        </is>
      </c>
      <c r="B63" s="12">
        <f>B61-B62</f>
        <v/>
      </c>
    </row>
    <row r="64">
      <c r="A64" s="6" t="inlineStr">
        <is>
          <t>Model yield (% , brentq in Python)</t>
        </is>
      </c>
      <c r="B64" s="14" t="n">
        <v>2.651339842168229</v>
      </c>
    </row>
    <row r="65">
      <c r="A65" s="6" t="inlineStr">
        <is>
          <t>Price at the model yield = SUM(PV at model yield)</t>
        </is>
      </c>
      <c r="B65" s="12">
        <f>SUM(I20:I59)</f>
        <v/>
      </c>
    </row>
    <row r="66">
      <c r="A66" s="6" t="inlineStr">
        <is>
          <t>Check: price at model yield - curve dirty (≈ 0)</t>
        </is>
      </c>
      <c r="B66" s="15">
        <f>B65-B61</f>
        <v/>
      </c>
    </row>
    <row r="67">
      <c r="A67" s="6" t="inlineStr">
        <is>
          <t>M1 (bp) = 100·(AAY - model yield)</t>
        </is>
      </c>
      <c r="B67" s="16">
        <f>100*(B13-B64)</f>
        <v/>
      </c>
    </row>
    <row r="68">
      <c r="A68" s="6" t="inlineStr">
        <is>
          <t>Python M1 (bp), for comparison</t>
        </is>
      </c>
      <c r="B68" s="8" t="n">
        <v>1.011515783177153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6" customWidth="1" min="3" max="3"/>
    <col width="18" customWidth="1" min="4" max="4"/>
    <col width="18" customWidth="1" min="5" max="5"/>
    <col width="10" customWidth="1" min="6" max="6"/>
    <col width="52" customWidth="1" min="7" max="7"/>
  </cols>
  <sheetData>
    <row r="1">
      <c r="A1" s="5" t="inlineStr">
        <is>
          <t>A3: 4¼% Treasury Stock 2032, auction 09 Oct 2012 - M1b baseline, T-25 to T-6 (decision #4)</t>
        </is>
      </c>
    </row>
    <row r="3">
      <c r="A3" s="3" t="inlineStr">
        <is>
          <t>k (business days)</t>
        </is>
      </c>
      <c r="B3" s="3" t="inlineStr">
        <is>
          <t>Date</t>
        </is>
      </c>
      <c r="C3" s="3" t="inlineStr">
        <is>
          <t>Market yield (%): DMO yield (from the DMO clean price before 25 Nov 2002)</t>
        </is>
      </c>
      <c r="D3" s="3" t="inlineStr">
        <is>
          <t>Model yield (%, curve of that day)</t>
        </is>
      </c>
      <c r="E3" s="3" t="inlineStr">
        <is>
          <t>Residual (bp) = 100·(DMO - model)</t>
        </is>
      </c>
      <c r="F3" s="3" t="inlineStr">
        <is>
          <t>Included (1/0)</t>
        </is>
      </c>
      <c r="G3" s="3" t="inlineStr">
        <is>
          <t>Excluded because</t>
        </is>
      </c>
    </row>
    <row r="4">
      <c r="A4" s="9" t="n">
        <v>-25</v>
      </c>
      <c r="B4" s="7" t="n">
        <v>41156</v>
      </c>
      <c r="C4" s="10" t="n">
        <v>2.499266</v>
      </c>
      <c r="D4" s="10" t="n">
        <v>2.493772018</v>
      </c>
      <c r="E4" s="17">
        <f>IF(F4=1,100*(C4-D4),"")</f>
        <v/>
      </c>
      <c r="F4" s="9" t="n">
        <v>1</v>
      </c>
      <c r="G4" s="9" t="inlineStr"/>
    </row>
    <row r="5">
      <c r="A5" s="9" t="n">
        <v>-24</v>
      </c>
      <c r="B5" s="7" t="n">
        <v>41157</v>
      </c>
      <c r="C5" s="10" t="n">
        <v>2.515781</v>
      </c>
      <c r="D5" s="10" t="n">
        <v>2.522845006</v>
      </c>
      <c r="E5" s="17">
        <f>IF(F5=1,100*(C5-D5),"")</f>
        <v/>
      </c>
      <c r="F5" s="9" t="n">
        <v>1</v>
      </c>
      <c r="G5" s="9" t="inlineStr"/>
    </row>
    <row r="6">
      <c r="A6" s="9" t="n">
        <v>-23</v>
      </c>
      <c r="B6" s="7" t="n">
        <v>41158</v>
      </c>
      <c r="C6" s="10" t="n">
        <v>2.597495</v>
      </c>
      <c r="D6" s="10" t="n">
        <v>2.599990239</v>
      </c>
      <c r="E6" s="17">
        <f>IF(F6=1,100*(C6-D6),"")</f>
        <v/>
      </c>
      <c r="F6" s="9" t="n">
        <v>1</v>
      </c>
      <c r="G6" s="9" t="inlineStr"/>
    </row>
    <row r="7">
      <c r="A7" s="9" t="n">
        <v>-22</v>
      </c>
      <c r="B7" s="7" t="n">
        <v>41159</v>
      </c>
      <c r="C7" s="10" t="n">
        <v>2.57786</v>
      </c>
      <c r="D7" s="10" t="n">
        <v>2.57709504</v>
      </c>
      <c r="E7" s="17">
        <f>IF(F7=1,100*(C7-D7),"")</f>
        <v/>
      </c>
      <c r="F7" s="9" t="n">
        <v>1</v>
      </c>
      <c r="G7" s="9" t="inlineStr"/>
    </row>
    <row r="8">
      <c r="A8" s="9" t="n">
        <v>-21</v>
      </c>
      <c r="B8" s="7" t="n">
        <v>41162</v>
      </c>
      <c r="C8" s="10" t="n">
        <v>2.632029</v>
      </c>
      <c r="D8" s="10" t="n">
        <v>2.632477038</v>
      </c>
      <c r="E8" s="17">
        <f>IF(F8=1,100*(C8-D8),"")</f>
        <v/>
      </c>
      <c r="F8" s="9" t="n">
        <v>1</v>
      </c>
      <c r="G8" s="9" t="inlineStr"/>
    </row>
    <row r="9">
      <c r="A9" s="9" t="n">
        <v>-20</v>
      </c>
      <c r="B9" s="7" t="n">
        <v>41163</v>
      </c>
      <c r="C9" s="10" t="n">
        <v>2.647255</v>
      </c>
      <c r="D9" s="10" t="n">
        <v>2.651279947</v>
      </c>
      <c r="E9" s="17">
        <f>IF(F9=1,100*(C9-D9),"")</f>
        <v/>
      </c>
      <c r="F9" s="9" t="n">
        <v>1</v>
      </c>
      <c r="G9" s="9" t="inlineStr"/>
    </row>
    <row r="10">
      <c r="A10" s="9" t="n">
        <v>-19</v>
      </c>
      <c r="B10" s="7" t="n">
        <v>41164</v>
      </c>
      <c r="C10" s="10" t="n">
        <v>2.709606</v>
      </c>
      <c r="D10" s="10" t="n">
        <v>2.711245375</v>
      </c>
      <c r="E10" s="17">
        <f>IF(F10=1,100*(C10-D10),"")</f>
        <v/>
      </c>
      <c r="F10" s="9" t="n">
        <v>1</v>
      </c>
      <c r="G10" s="9" t="inlineStr"/>
    </row>
    <row r="11">
      <c r="A11" s="9" t="n">
        <v>-18</v>
      </c>
      <c r="B11" s="7" t="n">
        <v>41165</v>
      </c>
      <c r="C11" s="10" t="n">
        <v>2.672108</v>
      </c>
      <c r="D11" s="10" t="n">
        <v>2.682577796</v>
      </c>
      <c r="E11" s="17">
        <f>IF(F11=1,100*(C11-D11),"")</f>
        <v/>
      </c>
      <c r="F11" s="9" t="n">
        <v>1</v>
      </c>
      <c r="G11" s="9" t="inlineStr"/>
    </row>
    <row r="12">
      <c r="A12" s="9" t="n">
        <v>-17</v>
      </c>
      <c r="B12" s="7" t="n">
        <v>41166</v>
      </c>
      <c r="C12" s="10" t="n">
        <v>2.798563</v>
      </c>
      <c r="D12" s="10" t="n">
        <v>2.816994946</v>
      </c>
      <c r="E12" s="17">
        <f>IF(F12=1,100*(C12-D12),"")</f>
        <v/>
      </c>
      <c r="F12" s="9" t="n">
        <v>1</v>
      </c>
      <c r="G12" s="9" t="inlineStr"/>
    </row>
    <row r="13">
      <c r="A13" s="9" t="n">
        <v>-16</v>
      </c>
      <c r="B13" s="7" t="n">
        <v>41169</v>
      </c>
      <c r="C13" s="10" t="n">
        <v>2.761051</v>
      </c>
      <c r="D13" s="10" t="n">
        <v>2.772122857</v>
      </c>
      <c r="E13" s="17">
        <f>IF(F13=1,100*(C13-D13),"")</f>
        <v/>
      </c>
      <c r="F13" s="9" t="n">
        <v>1</v>
      </c>
      <c r="G13" s="9" t="inlineStr"/>
    </row>
    <row r="14">
      <c r="A14" s="9" t="n">
        <v>-15</v>
      </c>
      <c r="B14" s="7" t="n">
        <v>41170</v>
      </c>
      <c r="C14" s="10" t="n">
        <v>2.728984</v>
      </c>
      <c r="D14" s="10" t="n">
        <v>2.731461489</v>
      </c>
      <c r="E14" s="17">
        <f>IF(F14=1,100*(C14-D14),"")</f>
        <v/>
      </c>
      <c r="F14" s="9" t="n">
        <v>1</v>
      </c>
      <c r="G14" s="9" t="inlineStr"/>
    </row>
    <row r="15">
      <c r="A15" s="9" t="n">
        <v>-14</v>
      </c>
      <c r="B15" s="7" t="n">
        <v>41171</v>
      </c>
      <c r="C15" s="10" t="n">
        <v>2.702273</v>
      </c>
      <c r="D15" s="10" t="n">
        <v>2.711157593</v>
      </c>
      <c r="E15" s="17">
        <f>IF(F15=1,100*(C15-D15),"")</f>
        <v/>
      </c>
      <c r="F15" s="9" t="n">
        <v>1</v>
      </c>
      <c r="G15" s="9" t="inlineStr"/>
    </row>
    <row r="16">
      <c r="A16" s="9" t="n">
        <v>-13</v>
      </c>
      <c r="B16" s="7" t="n">
        <v>41172</v>
      </c>
      <c r="C16" s="10" t="n">
        <v>2.655638</v>
      </c>
      <c r="D16" s="10" t="n">
        <v>2.6656181</v>
      </c>
      <c r="E16" s="17">
        <f>IF(F16=1,100*(C16-D16),"")</f>
        <v/>
      </c>
      <c r="F16" s="9" t="n">
        <v>1</v>
      </c>
      <c r="G16" s="9" t="inlineStr"/>
    </row>
    <row r="17">
      <c r="A17" s="9" t="n">
        <v>-12</v>
      </c>
      <c r="B17" s="7" t="n">
        <v>41173</v>
      </c>
      <c r="C17" s="10" t="n">
        <v>2.706897</v>
      </c>
      <c r="D17" s="10" t="n">
        <v>2.705853914</v>
      </c>
      <c r="E17" s="17">
        <f>IF(F17=1,100*(C17-D17),"")</f>
        <v/>
      </c>
      <c r="F17" s="9" t="n">
        <v>1</v>
      </c>
      <c r="G17" s="9" t="inlineStr"/>
    </row>
    <row r="18">
      <c r="A18" s="9" t="n">
        <v>-11</v>
      </c>
      <c r="B18" s="7" t="n">
        <v>41176</v>
      </c>
      <c r="C18" s="10" t="n">
        <v>2.693498</v>
      </c>
      <c r="D18" s="10" t="n">
        <v>2.695677496</v>
      </c>
      <c r="E18" s="17">
        <f>IF(F18=1,100*(C18-D18),"")</f>
        <v/>
      </c>
      <c r="F18" s="9" t="n">
        <v>1</v>
      </c>
      <c r="G18" s="9" t="inlineStr"/>
    </row>
    <row r="19">
      <c r="A19" s="9" t="n">
        <v>-10</v>
      </c>
      <c r="B19" s="7" t="n">
        <v>41177</v>
      </c>
      <c r="C19" s="10" t="n">
        <v>2.679552</v>
      </c>
      <c r="D19" s="10" t="n">
        <v>2.684220872</v>
      </c>
      <c r="E19" s="17">
        <f>IF(F19=1,100*(C19-D19),"")</f>
        <v/>
      </c>
      <c r="F19" s="9" t="n">
        <v>1</v>
      </c>
      <c r="G19" s="9" t="inlineStr"/>
    </row>
    <row r="20">
      <c r="A20" s="9" t="n">
        <v>-9</v>
      </c>
      <c r="B20" s="7" t="n">
        <v>41178</v>
      </c>
      <c r="C20" s="10" t="n">
        <v>2.566225</v>
      </c>
      <c r="D20" s="10" t="n">
        <v>2.576344299</v>
      </c>
      <c r="E20" s="17">
        <f>IF(F20=1,100*(C20-D20),"")</f>
        <v/>
      </c>
      <c r="F20" s="9" t="n">
        <v>1</v>
      </c>
      <c r="G20" s="9" t="inlineStr"/>
    </row>
    <row r="21">
      <c r="A21" s="9" t="n">
        <v>-8</v>
      </c>
      <c r="B21" s="7" t="n">
        <v>41179</v>
      </c>
      <c r="C21" s="10" t="n">
        <v>2.611872</v>
      </c>
      <c r="D21" s="10" t="n">
        <v>2.622332026</v>
      </c>
      <c r="E21" s="17">
        <f>IF(F21=1,100*(C21-D21),"")</f>
        <v/>
      </c>
      <c r="F21" s="9" t="n">
        <v>1</v>
      </c>
      <c r="G21" s="9" t="inlineStr"/>
    </row>
    <row r="22">
      <c r="A22" s="9" t="n">
        <v>-7</v>
      </c>
      <c r="B22" s="7" t="n">
        <v>41180</v>
      </c>
      <c r="C22" s="10" t="n">
        <v>2.613693</v>
      </c>
      <c r="D22" s="10" t="n">
        <v>2.625105355</v>
      </c>
      <c r="E22" s="17">
        <f>IF(F22=1,100*(C22-D22),"")</f>
        <v/>
      </c>
      <c r="F22" s="9" t="n">
        <v>1</v>
      </c>
      <c r="G22" s="9" t="inlineStr"/>
    </row>
    <row r="23">
      <c r="A23" s="9" t="n">
        <v>-6</v>
      </c>
      <c r="B23" s="7" t="n">
        <v>41183</v>
      </c>
      <c r="C23" s="10" t="n">
        <v>2.638028</v>
      </c>
      <c r="D23" s="10" t="n">
        <v>2.630169554</v>
      </c>
      <c r="E23" s="17">
        <f>IF(F23=1,100*(C23-D23),"")</f>
        <v/>
      </c>
      <c r="F23" s="9" t="n">
        <v>1</v>
      </c>
      <c r="G23" s="9" t="inlineStr"/>
    </row>
    <row r="25">
      <c r="A25" s="6" t="inlineStr">
        <is>
          <t>Valid days (need ≥ 10)</t>
        </is>
      </c>
      <c r="B25" s="18">
        <f>SUM(F4:F23)</f>
        <v/>
      </c>
    </row>
    <row r="26">
      <c r="A26" s="6" t="inlineStr">
        <is>
          <t>Baseline = mean residual (bp)</t>
        </is>
      </c>
      <c r="B26" s="17">
        <f>IF(B25&gt;=10,AVERAGEIF(F4:F23,1,E4:E23),"n/a")</f>
        <v/>
      </c>
    </row>
    <row r="27">
      <c r="A27" s="6" t="inlineStr">
        <is>
          <t>M1 (bp), from the M1 sheet</t>
        </is>
      </c>
      <c r="B27" s="17">
        <f>'A3 M1'!B67</f>
        <v/>
      </c>
    </row>
    <row r="28">
      <c r="A28" s="6" t="inlineStr">
        <is>
          <t>M1b (bp) = M1 - baseline</t>
        </is>
      </c>
      <c r="B28" s="16">
        <f>IF(B25&gt;=10,B27-B26,"n/a")</f>
        <v/>
      </c>
    </row>
    <row r="29">
      <c r="A29" s="6" t="inlineStr">
        <is>
          <t>Python M1b (bp), for comparison</t>
        </is>
      </c>
      <c r="B29" s="8" t="n">
        <v>1.514850574727147</v>
      </c>
    </row>
    <row r="30">
      <c r="A30" s="6" t="inlineStr">
        <is>
          <t>Python note</t>
        </is>
      </c>
      <c r="B30" s="9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26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5" t="inlineStr">
        <is>
          <t>A3: control maturities = BoE points 2-30y more than 3y from the gilt's 19.66y to maturity (35 points). Top: z (%); bottom: daily change (bp).</t>
        </is>
      </c>
    </row>
    <row r="3">
      <c r="A3" s="3" t="inlineStr">
        <is>
          <t>k</t>
        </is>
      </c>
      <c r="B3" s="3" t="inlineStr">
        <is>
          <t>Date</t>
        </is>
      </c>
      <c r="C3" s="3" t="inlineStr">
        <is>
          <t>z 2y</t>
        </is>
      </c>
      <c r="D3" s="3" t="inlineStr">
        <is>
          <t>z 2.5y</t>
        </is>
      </c>
      <c r="E3" s="3" t="inlineStr">
        <is>
          <t>z 3y</t>
        </is>
      </c>
      <c r="F3" s="3" t="inlineStr">
        <is>
          <t>z 3.5y</t>
        </is>
      </c>
      <c r="G3" s="3" t="inlineStr">
        <is>
          <t>z 4y</t>
        </is>
      </c>
      <c r="H3" s="3" t="inlineStr">
        <is>
          <t>z 4.5y</t>
        </is>
      </c>
      <c r="I3" s="3" t="inlineStr">
        <is>
          <t>z 5y</t>
        </is>
      </c>
      <c r="J3" s="3" t="inlineStr">
        <is>
          <t>z 5.5y</t>
        </is>
      </c>
      <c r="K3" s="3" t="inlineStr">
        <is>
          <t>z 6y</t>
        </is>
      </c>
      <c r="L3" s="3" t="inlineStr">
        <is>
          <t>z 6.5y</t>
        </is>
      </c>
      <c r="M3" s="3" t="inlineStr">
        <is>
          <t>z 7y</t>
        </is>
      </c>
      <c r="N3" s="3" t="inlineStr">
        <is>
          <t>z 7.5y</t>
        </is>
      </c>
      <c r="O3" s="3" t="inlineStr">
        <is>
          <t>z 8y</t>
        </is>
      </c>
      <c r="P3" s="3" t="inlineStr">
        <is>
          <t>z 8.5y</t>
        </is>
      </c>
      <c r="Q3" s="3" t="inlineStr">
        <is>
          <t>z 9y</t>
        </is>
      </c>
      <c r="R3" s="3" t="inlineStr">
        <is>
          <t>z 9.5y</t>
        </is>
      </c>
      <c r="S3" s="3" t="inlineStr">
        <is>
          <t>z 10y</t>
        </is>
      </c>
      <c r="T3" s="3" t="inlineStr">
        <is>
          <t>z 10.5y</t>
        </is>
      </c>
      <c r="U3" s="3" t="inlineStr">
        <is>
          <t>z 11y</t>
        </is>
      </c>
      <c r="V3" s="3" t="inlineStr">
        <is>
          <t>z 11.5y</t>
        </is>
      </c>
      <c r="W3" s="3" t="inlineStr">
        <is>
          <t>z 12y</t>
        </is>
      </c>
      <c r="X3" s="3" t="inlineStr">
        <is>
          <t>z 12.5y</t>
        </is>
      </c>
      <c r="Y3" s="3" t="inlineStr">
        <is>
          <t>z 13y</t>
        </is>
      </c>
      <c r="Z3" s="3" t="inlineStr">
        <is>
          <t>z 13.5y</t>
        </is>
      </c>
      <c r="AA3" s="3" t="inlineStr">
        <is>
          <t>z 14y</t>
        </is>
      </c>
      <c r="AB3" s="3" t="inlineStr">
        <is>
          <t>z 14.5y</t>
        </is>
      </c>
      <c r="AC3" s="3" t="inlineStr">
        <is>
          <t>z 15y</t>
        </is>
      </c>
      <c r="AD3" s="3" t="inlineStr">
        <is>
          <t>z 15.5y</t>
        </is>
      </c>
      <c r="AE3" s="3" t="inlineStr">
        <is>
          <t>z 16y</t>
        </is>
      </c>
      <c r="AF3" s="3" t="inlineStr">
        <is>
          <t>z 16.5y</t>
        </is>
      </c>
      <c r="AG3" s="3" t="inlineStr">
        <is>
          <t>z 23y</t>
        </is>
      </c>
      <c r="AH3" s="3" t="inlineStr">
        <is>
          <t>z 23.5y</t>
        </is>
      </c>
      <c r="AI3" s="3" t="inlineStr">
        <is>
          <t>z 24y</t>
        </is>
      </c>
      <c r="AJ3" s="3" t="inlineStr">
        <is>
          <t>z 24.5y</t>
        </is>
      </c>
      <c r="AK3" s="3" t="inlineStr">
        <is>
          <t>z 25y</t>
        </is>
      </c>
    </row>
    <row r="4">
      <c r="A4" s="9" t="n">
        <v>-121</v>
      </c>
      <c r="B4" s="7" t="n">
        <v>41016</v>
      </c>
      <c r="C4" s="10" t="n">
        <v>0.4001861303507333</v>
      </c>
      <c r="D4" s="10" t="n">
        <v>0.455621495824422</v>
      </c>
      <c r="E4" s="10" t="n">
        <v>0.5417148528689127</v>
      </c>
      <c r="F4" s="10" t="n">
        <v>0.6475603037977068</v>
      </c>
      <c r="G4" s="10" t="n">
        <v>0.7659078980183182</v>
      </c>
      <c r="H4" s="10" t="n">
        <v>0.8917571354780258</v>
      </c>
      <c r="I4" s="10" t="n">
        <v>1.021609903385193</v>
      </c>
      <c r="J4" s="10" t="n">
        <v>1.152964083762411</v>
      </c>
      <c r="K4" s="10" t="n">
        <v>1.283980567693941</v>
      </c>
      <c r="L4" s="10" t="n">
        <v>1.413252655584151</v>
      </c>
      <c r="M4" s="10" t="n">
        <v>1.539697272337084</v>
      </c>
      <c r="N4" s="10" t="n">
        <v>1.662462120074411</v>
      </c>
      <c r="O4" s="10" t="n">
        <v>1.780884248918144</v>
      </c>
      <c r="P4" s="10" t="n">
        <v>1.89447733224664</v>
      </c>
      <c r="Q4" s="10" t="n">
        <v>2.002920634363628</v>
      </c>
      <c r="R4" s="10" t="n">
        <v>2.106051518062829</v>
      </c>
      <c r="S4" s="10" t="n">
        <v>2.203844612918455</v>
      </c>
      <c r="T4" s="10" t="n">
        <v>2.296408743638152</v>
      </c>
      <c r="U4" s="10" t="n">
        <v>2.383930528117144</v>
      </c>
      <c r="V4" s="10" t="n">
        <v>2.466627875794085</v>
      </c>
      <c r="W4" s="10" t="n">
        <v>2.544742129693056</v>
      </c>
      <c r="X4" s="10" t="n">
        <v>2.618533379706485</v>
      </c>
      <c r="Y4" s="10" t="n">
        <v>2.688276853015985</v>
      </c>
      <c r="Z4" s="10" t="n">
        <v>2.754255711360728</v>
      </c>
      <c r="AA4" s="10" t="n">
        <v>2.816733730166657</v>
      </c>
      <c r="AB4" s="10" t="n">
        <v>2.875942953791646</v>
      </c>
      <c r="AC4" s="10" t="n">
        <v>2.932088283141028</v>
      </c>
      <c r="AD4" s="10" t="n">
        <v>2.985351853643804</v>
      </c>
      <c r="AE4" s="10" t="n">
        <v>3.035896399836809</v>
      </c>
      <c r="AF4" s="10" t="n">
        <v>3.083862781036688</v>
      </c>
      <c r="AG4" s="10" t="n">
        <v>3.50700963327954</v>
      </c>
      <c r="AH4" s="10" t="n">
        <v>3.526107827605087</v>
      </c>
      <c r="AI4" s="10" t="n">
        <v>3.543579947577023</v>
      </c>
      <c r="AJ4" s="10" t="n">
        <v>3.559494843562646</v>
      </c>
      <c r="AK4" s="10" t="n">
        <v>3.57392225392234</v>
      </c>
    </row>
    <row r="5">
      <c r="A5" s="9" t="n">
        <v>-120</v>
      </c>
      <c r="B5" s="7" t="n">
        <v>41017</v>
      </c>
      <c r="C5" s="10" t="n">
        <v>0.4329891073675258</v>
      </c>
      <c r="D5" s="10" t="n">
        <v>0.4989876406111017</v>
      </c>
      <c r="E5" s="10" t="n">
        <v>0.5922285913045654</v>
      </c>
      <c r="F5" s="10" t="n">
        <v>0.7024926881960141</v>
      </c>
      <c r="G5" s="10" t="n">
        <v>0.8231455339678148</v>
      </c>
      <c r="H5" s="10" t="n">
        <v>0.9496870027909624</v>
      </c>
      <c r="I5" s="10" t="n">
        <v>1.079021703784398</v>
      </c>
      <c r="J5" s="10" t="n">
        <v>1.208978064322077</v>
      </c>
      <c r="K5" s="10" t="n">
        <v>1.337990646002816</v>
      </c>
      <c r="L5" s="10" t="n">
        <v>1.464872593698828</v>
      </c>
      <c r="M5" s="10" t="n">
        <v>1.588716995824596</v>
      </c>
      <c r="N5" s="10" t="n">
        <v>1.708804319981935</v>
      </c>
      <c r="O5" s="10" t="n">
        <v>1.824565821718477</v>
      </c>
      <c r="P5" s="10" t="n">
        <v>1.935576943112639</v>
      </c>
      <c r="Q5" s="10" t="n">
        <v>2.041551757380137</v>
      </c>
      <c r="R5" s="10" t="n">
        <v>2.142342236364508</v>
      </c>
      <c r="S5" s="10" t="n">
        <v>2.237923604195879</v>
      </c>
      <c r="T5" s="10" t="n">
        <v>2.328392705518075</v>
      </c>
      <c r="U5" s="10" t="n">
        <v>2.413919398674337</v>
      </c>
      <c r="V5" s="10" t="n">
        <v>2.494705934469159</v>
      </c>
      <c r="W5" s="10" t="n">
        <v>2.570979108111729</v>
      </c>
      <c r="X5" s="10" t="n">
        <v>2.642985350334998</v>
      </c>
      <c r="Y5" s="10" t="n">
        <v>2.710986946921027</v>
      </c>
      <c r="Z5" s="10" t="n">
        <v>2.77525505599889</v>
      </c>
      <c r="AA5" s="10" t="n">
        <v>2.836044636037724</v>
      </c>
      <c r="AB5" s="10" t="n">
        <v>2.893583184659817</v>
      </c>
      <c r="AC5" s="10" t="n">
        <v>2.948074699499995</v>
      </c>
      <c r="AD5" s="10" t="n">
        <v>2.999703468526177</v>
      </c>
      <c r="AE5" s="10" t="n">
        <v>3.048636945876383</v>
      </c>
      <c r="AF5" s="10" t="n">
        <v>3.095022691773567</v>
      </c>
      <c r="AG5" s="10" t="n">
        <v>3.503565660460739</v>
      </c>
      <c r="AH5" s="10" t="n">
        <v>3.522106998565883</v>
      </c>
      <c r="AI5" s="10" t="n">
        <v>3.539098025933491</v>
      </c>
      <c r="AJ5" s="10" t="n">
        <v>3.554603935278205</v>
      </c>
      <c r="AK5" s="10" t="n">
        <v>3.568690583220768</v>
      </c>
    </row>
    <row r="6">
      <c r="A6" s="9" t="n">
        <v>-119</v>
      </c>
      <c r="B6" s="7" t="n">
        <v>41018</v>
      </c>
      <c r="C6" s="10" t="n">
        <v>0.4404057302489606</v>
      </c>
      <c r="D6" s="10" t="n">
        <v>0.5127728156574801</v>
      </c>
      <c r="E6" s="10" t="n">
        <v>0.6114274061786256</v>
      </c>
      <c r="F6" s="10" t="n">
        <v>0.7257166570612102</v>
      </c>
      <c r="G6" s="10" t="n">
        <v>0.8490148922706725</v>
      </c>
      <c r="H6" s="10" t="n">
        <v>0.9770113754736687</v>
      </c>
      <c r="I6" s="10" t="n">
        <v>1.106854720833355</v>
      </c>
      <c r="J6" s="10" t="n">
        <v>1.236617436596179</v>
      </c>
      <c r="K6" s="10" t="n">
        <v>1.364946956688162</v>
      </c>
      <c r="L6" s="10" t="n">
        <v>1.490831338981498</v>
      </c>
      <c r="M6" s="10" t="n">
        <v>1.613502127120368</v>
      </c>
      <c r="N6" s="10" t="n">
        <v>1.732347551051646</v>
      </c>
      <c r="O6" s="10" t="n">
        <v>1.846879357530074</v>
      </c>
      <c r="P6" s="10" t="n">
        <v>1.956731415897091</v>
      </c>
      <c r="Q6" s="10" t="n">
        <v>2.06165789847741</v>
      </c>
      <c r="R6" s="10" t="n">
        <v>2.161536535718498</v>
      </c>
      <c r="S6" s="10" t="n">
        <v>2.256357367549743</v>
      </c>
      <c r="T6" s="10" t="n">
        <v>2.346223765536316</v>
      </c>
      <c r="U6" s="10" t="n">
        <v>2.431305460275715</v>
      </c>
      <c r="V6" s="10" t="n">
        <v>2.511799205017444</v>
      </c>
      <c r="W6" s="10" t="n">
        <v>2.587922060093904</v>
      </c>
      <c r="X6" s="10" t="n">
        <v>2.659907331503813</v>
      </c>
      <c r="Y6" s="10" t="n">
        <v>2.72800144211461</v>
      </c>
      <c r="Z6" s="10" t="n">
        <v>2.792457587065399</v>
      </c>
      <c r="AA6" s="10" t="n">
        <v>2.853512119102623</v>
      </c>
      <c r="AB6" s="10" t="n">
        <v>2.91137420584012</v>
      </c>
      <c r="AC6" s="10" t="n">
        <v>2.966229791215509</v>
      </c>
      <c r="AD6" s="10" t="n">
        <v>3.018245341244407</v>
      </c>
      <c r="AE6" s="10" t="n">
        <v>3.067570709762542</v>
      </c>
      <c r="AF6" s="10" t="n">
        <v>3.114336865629049</v>
      </c>
      <c r="AG6" s="10" t="n">
        <v>3.523436804585446</v>
      </c>
      <c r="AH6" s="10" t="n">
        <v>3.541679085950779</v>
      </c>
      <c r="AI6" s="10" t="n">
        <v>3.558344189626674</v>
      </c>
      <c r="AJ6" s="10" t="n">
        <v>3.573503564171954</v>
      </c>
      <c r="AK6" s="10" t="n">
        <v>3.587229080181693</v>
      </c>
    </row>
    <row r="7">
      <c r="A7" s="9" t="n">
        <v>-118</v>
      </c>
      <c r="B7" s="7" t="n">
        <v>41019</v>
      </c>
      <c r="C7" s="10" t="n">
        <v>0.471455746324823</v>
      </c>
      <c r="D7" s="10" t="n">
        <v>0.5519181362901195</v>
      </c>
      <c r="E7" s="10" t="n">
        <v>0.656454521815818</v>
      </c>
      <c r="F7" s="10" t="n">
        <v>0.7745350443233955</v>
      </c>
      <c r="G7" s="10" t="n">
        <v>0.8998190616636755</v>
      </c>
      <c r="H7" s="10" t="n">
        <v>1.028329422167922</v>
      </c>
      <c r="I7" s="10" t="n">
        <v>1.157535093009588</v>
      </c>
      <c r="J7" s="10" t="n">
        <v>1.285796520691692</v>
      </c>
      <c r="K7" s="10" t="n">
        <v>1.412006924171915</v>
      </c>
      <c r="L7" s="10" t="n">
        <v>1.535367043929612</v>
      </c>
      <c r="M7" s="10" t="n">
        <v>1.655279213688074</v>
      </c>
      <c r="N7" s="10" t="n">
        <v>1.7712721403059</v>
      </c>
      <c r="O7" s="10" t="n">
        <v>1.882971145477972</v>
      </c>
      <c r="P7" s="10" t="n">
        <v>1.990097902919927</v>
      </c>
      <c r="Q7" s="10" t="n">
        <v>2.09246880729427</v>
      </c>
      <c r="R7" s="10" t="n">
        <v>2.190001973549822</v>
      </c>
      <c r="S7" s="10" t="n">
        <v>2.282709239701569</v>
      </c>
      <c r="T7" s="10" t="n">
        <v>2.370697839025798</v>
      </c>
      <c r="U7" s="10" t="n">
        <v>2.454129892428377</v>
      </c>
      <c r="V7" s="10" t="n">
        <v>2.5331889188979</v>
      </c>
      <c r="W7" s="10" t="n">
        <v>2.608074491685151</v>
      </c>
      <c r="X7" s="10" t="n">
        <v>2.678999027450662</v>
      </c>
      <c r="Y7" s="10" t="n">
        <v>2.74618531103524</v>
      </c>
      <c r="Z7" s="10" t="n">
        <v>2.809860988249718</v>
      </c>
      <c r="AA7" s="10" t="n">
        <v>2.870238026610582</v>
      </c>
      <c r="AB7" s="10" t="n">
        <v>2.927504200179182</v>
      </c>
      <c r="AC7" s="10" t="n">
        <v>2.981826667208883</v>
      </c>
      <c r="AD7" s="10" t="n">
        <v>3.03335529527539</v>
      </c>
      <c r="AE7" s="10" t="n">
        <v>3.082225196107626</v>
      </c>
      <c r="AF7" s="10" t="n">
        <v>3.128554735162572</v>
      </c>
      <c r="AG7" s="10" t="n">
        <v>3.53180085599798</v>
      </c>
      <c r="AH7" s="10" t="n">
        <v>3.549581973624894</v>
      </c>
      <c r="AI7" s="10" t="n">
        <v>3.565793821377194</v>
      </c>
      <c r="AJ7" s="10" t="n">
        <v>3.58050988598373</v>
      </c>
      <c r="AK7" s="10" t="n">
        <v>3.593803730404299</v>
      </c>
    </row>
    <row r="8">
      <c r="A8" s="9" t="n">
        <v>-117</v>
      </c>
      <c r="B8" s="7" t="n">
        <v>41022</v>
      </c>
      <c r="C8" s="10" t="n">
        <v>0.448947726966292</v>
      </c>
      <c r="D8" s="10" t="n">
        <v>0.5226964276086805</v>
      </c>
      <c r="E8" s="10" t="n">
        <v>0.6218661271259578</v>
      </c>
      <c r="F8" s="10" t="n">
        <v>0.7357108534245023</v>
      </c>
      <c r="G8" s="10" t="n">
        <v>0.8576577096350078</v>
      </c>
      <c r="H8" s="10" t="n">
        <v>0.9835277703409325</v>
      </c>
      <c r="I8" s="10" t="n">
        <v>1.11063104838913</v>
      </c>
      <c r="J8" s="10" t="n">
        <v>1.237206864057492</v>
      </c>
      <c r="K8" s="10" t="n">
        <v>1.362058539548429</v>
      </c>
      <c r="L8" s="10" t="n">
        <v>1.484324584234944</v>
      </c>
      <c r="M8" s="10" t="n">
        <v>1.603366249213632</v>
      </c>
      <c r="N8" s="10" t="n">
        <v>1.718690044273669</v>
      </c>
      <c r="O8" s="10" t="n">
        <v>1.82991377231614</v>
      </c>
      <c r="P8" s="10" t="n">
        <v>1.936760228453994</v>
      </c>
      <c r="Q8" s="10" t="n">
        <v>2.039052182752533</v>
      </c>
      <c r="R8" s="10" t="n">
        <v>2.136716349066932</v>
      </c>
      <c r="S8" s="10" t="n">
        <v>2.229772611687542</v>
      </c>
      <c r="T8" s="10" t="n">
        <v>2.31833692254842</v>
      </c>
      <c r="U8" s="10" t="n">
        <v>2.402576524382561</v>
      </c>
      <c r="V8" s="10" t="n">
        <v>2.482673990605027</v>
      </c>
      <c r="W8" s="10" t="n">
        <v>2.558823033736368</v>
      </c>
      <c r="X8" s="10" t="n">
        <v>2.631226277581528</v>
      </c>
      <c r="Y8" s="10" t="n">
        <v>2.7000935373882</v>
      </c>
      <c r="Z8" s="10" t="n">
        <v>2.765636659599066</v>
      </c>
      <c r="AA8" s="10" t="n">
        <v>2.828048458697383</v>
      </c>
      <c r="AB8" s="10" t="n">
        <v>2.887494334474079</v>
      </c>
      <c r="AC8" s="10" t="n">
        <v>2.944116377810206</v>
      </c>
      <c r="AD8" s="10" t="n">
        <v>2.998037130178532</v>
      </c>
      <c r="AE8" s="10" t="n">
        <v>3.049362495654396</v>
      </c>
      <c r="AF8" s="10" t="n">
        <v>3.098180722983735</v>
      </c>
      <c r="AG8" s="10" t="n">
        <v>3.527042843613768</v>
      </c>
      <c r="AH8" s="10" t="n">
        <v>3.545954444377105</v>
      </c>
      <c r="AI8" s="10" t="n">
        <v>3.563182648863131</v>
      </c>
      <c r="AJ8" s="10" t="n">
        <v>3.5788081346034</v>
      </c>
      <c r="AK8" s="10" t="n">
        <v>3.592911998940298</v>
      </c>
    </row>
    <row r="9">
      <c r="A9" s="9" t="n">
        <v>-116</v>
      </c>
      <c r="B9" s="7" t="n">
        <v>41023</v>
      </c>
      <c r="C9" s="10" t="n">
        <v>0.4221208919714871</v>
      </c>
      <c r="D9" s="10" t="n">
        <v>0.4922663378807888</v>
      </c>
      <c r="E9" s="10" t="n">
        <v>0.5892133566844467</v>
      </c>
      <c r="F9" s="10" t="n">
        <v>0.7017365320466901</v>
      </c>
      <c r="G9" s="10" t="n">
        <v>0.8229805662741162</v>
      </c>
      <c r="H9" s="10" t="n">
        <v>0.948595691154284</v>
      </c>
      <c r="I9" s="10" t="n">
        <v>1.075782925532981</v>
      </c>
      <c r="J9" s="10" t="n">
        <v>1.202704338199217</v>
      </c>
      <c r="K9" s="10" t="n">
        <v>1.328099156416616</v>
      </c>
      <c r="L9" s="10" t="n">
        <v>1.451049230114603</v>
      </c>
      <c r="M9" s="10" t="n">
        <v>1.570864065498186</v>
      </c>
      <c r="N9" s="10" t="n">
        <v>1.687006318464843</v>
      </c>
      <c r="O9" s="10" t="n">
        <v>1.799058696832954</v>
      </c>
      <c r="P9" s="10" t="n">
        <v>1.906716717039389</v>
      </c>
      <c r="Q9" s="10" t="n">
        <v>2.009784076596622</v>
      </c>
      <c r="R9" s="10" t="n">
        <v>2.108175184351367</v>
      </c>
      <c r="S9" s="10" t="n">
        <v>2.201903545664382</v>
      </c>
      <c r="T9" s="10" t="n">
        <v>2.291084091257489</v>
      </c>
      <c r="U9" s="10" t="n">
        <v>2.375886106768772</v>
      </c>
      <c r="V9" s="10" t="n">
        <v>2.456496725773138</v>
      </c>
      <c r="W9" s="10" t="n">
        <v>2.533116241070961</v>
      </c>
      <c r="X9" s="10" t="n">
        <v>2.60595547284297</v>
      </c>
      <c r="Y9" s="10" t="n">
        <v>2.675233736905291</v>
      </c>
      <c r="Z9" s="10" t="n">
        <v>2.741173056368428</v>
      </c>
      <c r="AA9" s="10" t="n">
        <v>2.803975206043532</v>
      </c>
      <c r="AB9" s="10" t="n">
        <v>2.863812692603167</v>
      </c>
      <c r="AC9" s="10" t="n">
        <v>2.920833145508095</v>
      </c>
      <c r="AD9" s="10" t="n">
        <v>2.975163329460799</v>
      </c>
      <c r="AE9" s="10" t="n">
        <v>3.026912218504357</v>
      </c>
      <c r="AF9" s="10" t="n">
        <v>3.076169167526671</v>
      </c>
      <c r="AG9" s="10" t="n">
        <v>3.509931897260604</v>
      </c>
      <c r="AH9" s="10" t="n">
        <v>3.529001846766455</v>
      </c>
      <c r="AI9" s="10" t="n">
        <v>3.546348692167394</v>
      </c>
      <c r="AJ9" s="10" t="n">
        <v>3.562054338108763</v>
      </c>
      <c r="AK9" s="10" t="n">
        <v>3.576201517516355</v>
      </c>
    </row>
    <row r="10">
      <c r="A10" s="9" t="n">
        <v>-115</v>
      </c>
      <c r="B10" s="7" t="n">
        <v>41024</v>
      </c>
      <c r="C10" s="10" t="n">
        <v>0.4159052246858019</v>
      </c>
      <c r="D10" s="10" t="n">
        <v>0.4865010195074768</v>
      </c>
      <c r="E10" s="10" t="n">
        <v>0.5851336237641583</v>
      </c>
      <c r="F10" s="10" t="n">
        <v>0.7005527804538056</v>
      </c>
      <c r="G10" s="10" t="n">
        <v>0.8256602673124623</v>
      </c>
      <c r="H10" s="10" t="n">
        <v>0.9558040897540045</v>
      </c>
      <c r="I10" s="10" t="n">
        <v>1.087905225272559</v>
      </c>
      <c r="J10" s="10" t="n">
        <v>1.219885769764102</v>
      </c>
      <c r="K10" s="10" t="n">
        <v>1.350282962069536</v>
      </c>
      <c r="L10" s="10" t="n">
        <v>1.478011646645066</v>
      </c>
      <c r="M10" s="10" t="n">
        <v>1.602246587602243</v>
      </c>
      <c r="N10" s="10" t="n">
        <v>1.722345824352737</v>
      </c>
      <c r="O10" s="10" t="n">
        <v>1.837815805235526</v>
      </c>
      <c r="P10" s="10" t="n">
        <v>1.948300947559015</v>
      </c>
      <c r="Q10" s="10" t="n">
        <v>2.053576683782937</v>
      </c>
      <c r="R10" s="10" t="n">
        <v>2.153548422380504</v>
      </c>
      <c r="S10" s="10" t="n">
        <v>2.248237476767114</v>
      </c>
      <c r="T10" s="10" t="n">
        <v>2.337780241607706</v>
      </c>
      <c r="U10" s="10" t="n">
        <v>2.422377872109325</v>
      </c>
      <c r="V10" s="10" t="n">
        <v>2.502258644711302</v>
      </c>
      <c r="W10" s="10" t="n">
        <v>2.577671402502374</v>
      </c>
      <c r="X10" s="10" t="n">
        <v>2.648881441890812</v>
      </c>
      <c r="Y10" s="10" t="n">
        <v>2.716167339403694</v>
      </c>
      <c r="Z10" s="10" t="n">
        <v>2.779813553934711</v>
      </c>
      <c r="AA10" s="10" t="n">
        <v>2.840083414456584</v>
      </c>
      <c r="AB10" s="10" t="n">
        <v>2.897208482367722</v>
      </c>
      <c r="AC10" s="10" t="n">
        <v>2.951393301211656</v>
      </c>
      <c r="AD10" s="10" t="n">
        <v>3.002819754395568</v>
      </c>
      <c r="AE10" s="10" t="n">
        <v>3.051650317360485</v>
      </c>
      <c r="AF10" s="10" t="n">
        <v>3.098024122252911</v>
      </c>
      <c r="AG10" s="10" t="n">
        <v>3.508571943569867</v>
      </c>
      <c r="AH10" s="10" t="n">
        <v>3.527097817724281</v>
      </c>
      <c r="AI10" s="10" t="n">
        <v>3.54403164333473</v>
      </c>
      <c r="AJ10" s="10" t="n">
        <v>3.55943995868459</v>
      </c>
      <c r="AK10" s="10" t="n">
        <v>3.57339049600133</v>
      </c>
    </row>
    <row r="11">
      <c r="A11" s="9" t="n">
        <v>-114</v>
      </c>
      <c r="B11" s="7" t="n">
        <v>41025</v>
      </c>
      <c r="C11" s="10" t="n">
        <v>0.3934726168077299</v>
      </c>
      <c r="D11" s="10" t="n">
        <v>0.4595108620106623</v>
      </c>
      <c r="E11" s="10" t="n">
        <v>0.5550043804078899</v>
      </c>
      <c r="F11" s="10" t="n">
        <v>0.668191647368411</v>
      </c>
      <c r="G11" s="10" t="n">
        <v>0.7916805070320008</v>
      </c>
      <c r="H11" s="10" t="n">
        <v>0.9206322148122315</v>
      </c>
      <c r="I11" s="10" t="n">
        <v>1.051837487361362</v>
      </c>
      <c r="J11" s="10" t="n">
        <v>1.183123638590284</v>
      </c>
      <c r="K11" s="10" t="n">
        <v>1.312957562412303</v>
      </c>
      <c r="L11" s="10" t="n">
        <v>1.440204458839477</v>
      </c>
      <c r="M11" s="10" t="n">
        <v>1.564005731932683</v>
      </c>
      <c r="N11" s="10" t="n">
        <v>1.683702878523203</v>
      </c>
      <c r="O11" s="10" t="n">
        <v>1.79880143319568</v>
      </c>
      <c r="P11" s="10" t="n">
        <v>1.908955829175097</v>
      </c>
      <c r="Q11" s="10" t="n">
        <v>2.013958728668421</v>
      </c>
      <c r="R11" s="10" t="n">
        <v>2.113734835373967</v>
      </c>
      <c r="S11" s="10" t="n">
        <v>2.208325038919511</v>
      </c>
      <c r="T11" s="10" t="n">
        <v>2.297885997746429</v>
      </c>
      <c r="U11" s="10" t="n">
        <v>2.38263447755195</v>
      </c>
      <c r="V11" s="10" t="n">
        <v>2.462808131076734</v>
      </c>
      <c r="W11" s="10" t="n">
        <v>2.538660167162342</v>
      </c>
      <c r="X11" s="10" t="n">
        <v>2.610456239531061</v>
      </c>
      <c r="Y11" s="10" t="n">
        <v>2.67847204321955</v>
      </c>
      <c r="Z11" s="10" t="n">
        <v>2.74298622018481</v>
      </c>
      <c r="AA11" s="10" t="n">
        <v>2.804252695496501</v>
      </c>
      <c r="AB11" s="10" t="n">
        <v>2.862490190196712</v>
      </c>
      <c r="AC11" s="10" t="n">
        <v>2.917887537248445</v>
      </c>
      <c r="AD11" s="10" t="n">
        <v>2.970608502193532</v>
      </c>
      <c r="AE11" s="10" t="n">
        <v>3.020795425027628</v>
      </c>
      <c r="AF11" s="10" t="n">
        <v>3.068566043677753</v>
      </c>
      <c r="AG11" s="10" t="n">
        <v>3.493557136271038</v>
      </c>
      <c r="AH11" s="10" t="n">
        <v>3.512645475536782</v>
      </c>
      <c r="AI11" s="10" t="n">
        <v>3.530065241145509</v>
      </c>
      <c r="AJ11" s="10" t="n">
        <v>3.545888041327554</v>
      </c>
      <c r="AK11" s="10" t="n">
        <v>3.560186930048411</v>
      </c>
    </row>
    <row r="12">
      <c r="A12" s="9" t="n">
        <v>-113</v>
      </c>
      <c r="B12" s="7" t="n">
        <v>41026</v>
      </c>
      <c r="C12" s="10" t="n">
        <v>0.4126131951254884</v>
      </c>
      <c r="D12" s="10" t="n">
        <v>0.483175305170531</v>
      </c>
      <c r="E12" s="10" t="n">
        <v>0.5815179949531487</v>
      </c>
      <c r="F12" s="10" t="n">
        <v>0.6964138971408493</v>
      </c>
      <c r="G12" s="10" t="n">
        <v>0.8208112357319741</v>
      </c>
      <c r="H12" s="10" t="n">
        <v>0.9500982109955554</v>
      </c>
      <c r="I12" s="10" t="n">
        <v>1.081229663405082</v>
      </c>
      <c r="J12" s="10" t="n">
        <v>1.21216104892283</v>
      </c>
      <c r="K12" s="10" t="n">
        <v>1.341462705677546</v>
      </c>
      <c r="L12" s="10" t="n">
        <v>1.468091648913331</v>
      </c>
      <c r="M12" s="10" t="n">
        <v>1.591259741299612</v>
      </c>
      <c r="N12" s="10" t="n">
        <v>1.710367008559611</v>
      </c>
      <c r="O12" s="10" t="n">
        <v>1.824963629360236</v>
      </c>
      <c r="P12" s="10" t="n">
        <v>1.934730074100412</v>
      </c>
      <c r="Q12" s="10" t="n">
        <v>2.039471880402223</v>
      </c>
      <c r="R12" s="10" t="n">
        <v>2.139113039960159</v>
      </c>
      <c r="S12" s="10" t="n">
        <v>2.23368586462158</v>
      </c>
      <c r="T12" s="10" t="n">
        <v>2.323331783403309</v>
      </c>
      <c r="U12" s="10" t="n">
        <v>2.408248005618148</v>
      </c>
      <c r="V12" s="10" t="n">
        <v>2.488653690600999</v>
      </c>
      <c r="W12" s="10" t="n">
        <v>2.564784618704741</v>
      </c>
      <c r="X12" s="10" t="n">
        <v>2.63688986709663</v>
      </c>
      <c r="Y12" s="10" t="n">
        <v>2.705229240502194</v>
      </c>
      <c r="Z12" s="10" t="n">
        <v>2.770066191009298</v>
      </c>
      <c r="AA12" s="10" t="n">
        <v>2.831641842141825</v>
      </c>
      <c r="AB12" s="10" t="n">
        <v>2.890165564480264</v>
      </c>
      <c r="AC12" s="10" t="n">
        <v>2.945819801380936</v>
      </c>
      <c r="AD12" s="10" t="n">
        <v>2.998764412076677</v>
      </c>
      <c r="AE12" s="10" t="n">
        <v>3.049139913536032</v>
      </c>
      <c r="AF12" s="10" t="n">
        <v>3.097064093108621</v>
      </c>
      <c r="AG12" s="10" t="n">
        <v>3.522617514145707</v>
      </c>
      <c r="AH12" s="10" t="n">
        <v>3.541757145452276</v>
      </c>
      <c r="AI12" s="10" t="n">
        <v>3.559237178213958</v>
      </c>
      <c r="AJ12" s="10" t="n">
        <v>3.57512924931821</v>
      </c>
      <c r="AK12" s="10" t="n">
        <v>3.58950621925382</v>
      </c>
    </row>
    <row r="13">
      <c r="A13" s="9" t="n">
        <v>-112</v>
      </c>
      <c r="B13" s="7" t="n">
        <v>41029</v>
      </c>
      <c r="C13" s="10" t="n">
        <v>0.4385766211609398</v>
      </c>
      <c r="D13" s="10" t="n">
        <v>0.5130998795285198</v>
      </c>
      <c r="E13" s="10" t="n">
        <v>0.6132256521978012</v>
      </c>
      <c r="F13" s="10" t="n">
        <v>0.7282133576351851</v>
      </c>
      <c r="G13" s="10" t="n">
        <v>0.8513851524221727</v>
      </c>
      <c r="H13" s="10" t="n">
        <v>0.9784108027299357</v>
      </c>
      <c r="I13" s="10" t="n">
        <v>1.106472957316475</v>
      </c>
      <c r="J13" s="10" t="n">
        <v>1.23373030742715</v>
      </c>
      <c r="K13" s="10" t="n">
        <v>1.358947787342081</v>
      </c>
      <c r="L13" s="10" t="n">
        <v>1.48127411900249</v>
      </c>
      <c r="M13" s="10" t="n">
        <v>1.600097093548581</v>
      </c>
      <c r="N13" s="10" t="n">
        <v>1.714974641640807</v>
      </c>
      <c r="O13" s="10" t="n">
        <v>1.825589753829705</v>
      </c>
      <c r="P13" s="10" t="n">
        <v>1.931726572061519</v>
      </c>
      <c r="Q13" s="10" t="n">
        <v>2.033265800068888</v>
      </c>
      <c r="R13" s="10" t="n">
        <v>2.130178107922348</v>
      </c>
      <c r="S13" s="10" t="n">
        <v>2.222516091740151</v>
      </c>
      <c r="T13" s="10" t="n">
        <v>2.310417396922193</v>
      </c>
      <c r="U13" s="10" t="n">
        <v>2.394059965473149</v>
      </c>
      <c r="V13" s="10" t="n">
        <v>2.473634159783237</v>
      </c>
      <c r="W13" s="10" t="n">
        <v>2.54933952279344</v>
      </c>
      <c r="X13" s="10" t="n">
        <v>2.621382941885352</v>
      </c>
      <c r="Y13" s="10" t="n">
        <v>2.689977225777459</v>
      </c>
      <c r="Z13" s="10" t="n">
        <v>2.755335793666313</v>
      </c>
      <c r="AA13" s="10" t="n">
        <v>2.817651901650301</v>
      </c>
      <c r="AB13" s="10" t="n">
        <v>2.877091417666866</v>
      </c>
      <c r="AC13" s="10" t="n">
        <v>2.933797017953086</v>
      </c>
      <c r="AD13" s="10" t="n">
        <v>2.987891927642504</v>
      </c>
      <c r="AE13" s="10" t="n">
        <v>3.039482748608549</v>
      </c>
      <c r="AF13" s="10" t="n">
        <v>3.088657412847383</v>
      </c>
      <c r="AG13" s="10" t="n">
        <v>3.528053507812697</v>
      </c>
      <c r="AH13" s="10" t="n">
        <v>3.547973748319506</v>
      </c>
      <c r="AI13" s="10" t="n">
        <v>3.566202678870027</v>
      </c>
      <c r="AJ13" s="10" t="n">
        <v>3.582815168735694</v>
      </c>
      <c r="AK13" s="10" t="n">
        <v>3.59788713294135</v>
      </c>
    </row>
    <row r="14">
      <c r="A14" s="9" t="n">
        <v>-111</v>
      </c>
      <c r="B14" s="7" t="n">
        <v>41030</v>
      </c>
      <c r="C14" s="10" t="n">
        <v>0.4313359175608354</v>
      </c>
      <c r="D14" s="10" t="n">
        <v>0.5055430823286896</v>
      </c>
      <c r="E14" s="10" t="n">
        <v>0.6049735363880848</v>
      </c>
      <c r="F14" s="10" t="n">
        <v>0.719034336572464</v>
      </c>
      <c r="G14" s="10" t="n">
        <v>0.8411771623464059</v>
      </c>
      <c r="H14" s="10" t="n">
        <v>0.9671695903363219</v>
      </c>
      <c r="I14" s="10" t="n">
        <v>1.094266384226768</v>
      </c>
      <c r="J14" s="10" t="n">
        <v>1.220676711546069</v>
      </c>
      <c r="K14" s="10" t="n">
        <v>1.345196326625305</v>
      </c>
      <c r="L14" s="10" t="n">
        <v>1.466988268104147</v>
      </c>
      <c r="M14" s="10" t="n">
        <v>1.585437021578929</v>
      </c>
      <c r="N14" s="10" t="n">
        <v>1.700084200222357</v>
      </c>
      <c r="O14" s="10" t="n">
        <v>1.8105858547824</v>
      </c>
      <c r="P14" s="10" t="n">
        <v>1.916692378512182</v>
      </c>
      <c r="Q14" s="10" t="n">
        <v>2.018250177778376</v>
      </c>
      <c r="R14" s="10" t="n">
        <v>2.115199570172376</v>
      </c>
      <c r="S14" s="10" t="n">
        <v>2.20756834879018</v>
      </c>
      <c r="T14" s="10" t="n">
        <v>2.295475143259193</v>
      </c>
      <c r="U14" s="10" t="n">
        <v>2.379084354110474</v>
      </c>
      <c r="V14" s="10" t="n">
        <v>2.458577853340803</v>
      </c>
      <c r="W14" s="10" t="n">
        <v>2.534150731769938</v>
      </c>
      <c r="X14" s="10" t="n">
        <v>2.60600865527602</v>
      </c>
      <c r="Y14" s="10" t="n">
        <v>2.674365819638247</v>
      </c>
      <c r="Z14" s="10" t="n">
        <v>2.73943911230817</v>
      </c>
      <c r="AA14" s="10" t="n">
        <v>2.801427036584541</v>
      </c>
      <c r="AB14" s="10" t="n">
        <v>2.860502343933724</v>
      </c>
      <c r="AC14" s="10" t="n">
        <v>2.916815970957896</v>
      </c>
      <c r="AD14" s="10" t="n">
        <v>2.970500557921522</v>
      </c>
      <c r="AE14" s="10" t="n">
        <v>3.021673077650221</v>
      </c>
      <c r="AF14" s="10" t="n">
        <v>3.070432339373205</v>
      </c>
      <c r="AG14" s="10" t="n">
        <v>3.508174730134844</v>
      </c>
      <c r="AH14" s="10" t="n">
        <v>3.528339680699809</v>
      </c>
      <c r="AI14" s="10" t="n">
        <v>3.546854435277297</v>
      </c>
      <c r="AJ14" s="10" t="n">
        <v>3.563788340546175</v>
      </c>
      <c r="AK14" s="10" t="n">
        <v>3.579211733351171</v>
      </c>
    </row>
    <row r="15">
      <c r="A15" s="9" t="n">
        <v>-110</v>
      </c>
      <c r="B15" s="7" t="n">
        <v>41031</v>
      </c>
      <c r="C15" s="10" t="n">
        <v>0.4125259816487042</v>
      </c>
      <c r="D15" s="10" t="n">
        <v>0.4833782496306779</v>
      </c>
      <c r="E15" s="10" t="n">
        <v>0.5798569183958805</v>
      </c>
      <c r="F15" s="10" t="n">
        <v>0.6911252807077072</v>
      </c>
      <c r="G15" s="10" t="n">
        <v>0.8105581145577753</v>
      </c>
      <c r="H15" s="10" t="n">
        <v>0.9339144871540745</v>
      </c>
      <c r="I15" s="10" t="n">
        <v>1.058467753317035</v>
      </c>
      <c r="J15" s="10" t="n">
        <v>1.182456329892584</v>
      </c>
      <c r="K15" s="10" t="n">
        <v>1.304705972698482</v>
      </c>
      <c r="L15" s="10" t="n">
        <v>1.42440524919903</v>
      </c>
      <c r="M15" s="10" t="n">
        <v>1.54095532321017</v>
      </c>
      <c r="N15" s="10" t="n">
        <v>1.653907585354969</v>
      </c>
      <c r="O15" s="10" t="n">
        <v>1.7629218745069</v>
      </c>
      <c r="P15" s="10" t="n">
        <v>1.867747175730277</v>
      </c>
      <c r="Q15" s="10" t="n">
        <v>1.968223824871035</v>
      </c>
      <c r="R15" s="10" t="n">
        <v>2.064281761210575</v>
      </c>
      <c r="S15" s="10" t="n">
        <v>2.155933774233596</v>
      </c>
      <c r="T15" s="10" t="n">
        <v>2.243278085421698</v>
      </c>
      <c r="U15" s="10" t="n">
        <v>2.326458132000135</v>
      </c>
      <c r="V15" s="10" t="n">
        <v>2.405636881125648</v>
      </c>
      <c r="W15" s="10" t="n">
        <v>2.480992242292522</v>
      </c>
      <c r="X15" s="10" t="n">
        <v>2.552714078865079</v>
      </c>
      <c r="Y15" s="10" t="n">
        <v>2.621001897889738</v>
      </c>
      <c r="Z15" s="10" t="n">
        <v>2.686059091820055</v>
      </c>
      <c r="AA15" s="10" t="n">
        <v>2.748073296696591</v>
      </c>
      <c r="AB15" s="10" t="n">
        <v>2.807209530751842</v>
      </c>
      <c r="AC15" s="10" t="n">
        <v>2.863613648161512</v>
      </c>
      <c r="AD15" s="10" t="n">
        <v>2.917415430021409</v>
      </c>
      <c r="AE15" s="10" t="n">
        <v>2.968730854407994</v>
      </c>
      <c r="AF15" s="10" t="n">
        <v>3.017659172380511</v>
      </c>
      <c r="AG15" s="10" t="n">
        <v>3.460750054913574</v>
      </c>
      <c r="AH15" s="10" t="n">
        <v>3.481579473400998</v>
      </c>
      <c r="AI15" s="10" t="n">
        <v>3.500784568721908</v>
      </c>
      <c r="AJ15" s="10" t="n">
        <v>3.518430289558669</v>
      </c>
      <c r="AK15" s="10" t="n">
        <v>3.534582342031032</v>
      </c>
    </row>
    <row r="16">
      <c r="A16" s="9" t="n">
        <v>-109</v>
      </c>
      <c r="B16" s="7" t="n">
        <v>41032</v>
      </c>
      <c r="C16" s="10" t="n">
        <v>0.4089774319116854</v>
      </c>
      <c r="D16" s="10" t="n">
        <v>0.4800798442181876</v>
      </c>
      <c r="E16" s="10" t="n">
        <v>0.5767555262557759</v>
      </c>
      <c r="F16" s="10" t="n">
        <v>0.6881467005593458</v>
      </c>
      <c r="G16" s="10" t="n">
        <v>0.8076286472539493</v>
      </c>
      <c r="H16" s="10" t="n">
        <v>0.930966149448011</v>
      </c>
      <c r="I16" s="10" t="n">
        <v>1.055439183197647</v>
      </c>
      <c r="J16" s="10" t="n">
        <v>1.179288830196882</v>
      </c>
      <c r="K16" s="10" t="n">
        <v>1.301341473609579</v>
      </c>
      <c r="L16" s="10" t="n">
        <v>1.420787078913762</v>
      </c>
      <c r="M16" s="10" t="n">
        <v>1.53703070404658</v>
      </c>
      <c r="N16" s="10" t="n">
        <v>1.649632050127186</v>
      </c>
      <c r="O16" s="10" t="n">
        <v>1.758264556942795</v>
      </c>
      <c r="P16" s="10" t="n">
        <v>1.862696131484271</v>
      </c>
      <c r="Q16" s="10" t="n">
        <v>1.962789594751377</v>
      </c>
      <c r="R16" s="10" t="n">
        <v>2.05849794539627</v>
      </c>
      <c r="S16" s="10" t="n">
        <v>2.14985428662964</v>
      </c>
      <c r="T16" s="10" t="n">
        <v>2.236973605001745</v>
      </c>
      <c r="U16" s="10" t="n">
        <v>2.320011573442412</v>
      </c>
      <c r="V16" s="10" t="n">
        <v>2.399138645908741</v>
      </c>
      <c r="W16" s="10" t="n">
        <v>2.474536430852724</v>
      </c>
      <c r="X16" s="10" t="n">
        <v>2.54639546032227</v>
      </c>
      <c r="Y16" s="10" t="n">
        <v>2.614913461713142</v>
      </c>
      <c r="Z16" s="10" t="n">
        <v>2.680290008481756</v>
      </c>
      <c r="AA16" s="10" t="n">
        <v>2.74270729234624</v>
      </c>
      <c r="AB16" s="10" t="n">
        <v>2.80232368228212</v>
      </c>
      <c r="AC16" s="10" t="n">
        <v>2.859277390329373</v>
      </c>
      <c r="AD16" s="10" t="n">
        <v>2.913689722711052</v>
      </c>
      <c r="AE16" s="10" t="n">
        <v>2.965667498420371</v>
      </c>
      <c r="AF16" s="10" t="n">
        <v>3.015300699069892</v>
      </c>
      <c r="AG16" s="10" t="n">
        <v>3.468555830504589</v>
      </c>
      <c r="AH16" s="10" t="n">
        <v>3.490117951093157</v>
      </c>
      <c r="AI16" s="10" t="n">
        <v>3.510041035476075</v>
      </c>
      <c r="AJ16" s="10" t="n">
        <v>3.528389717320626</v>
      </c>
      <c r="AK16" s="10" t="n">
        <v>3.545229440258661</v>
      </c>
    </row>
    <row r="17">
      <c r="A17" s="9" t="n">
        <v>-108</v>
      </c>
      <c r="B17" s="7" t="n">
        <v>41033</v>
      </c>
      <c r="C17" s="10" t="n">
        <v>0.3984273839979572</v>
      </c>
      <c r="D17" s="10" t="n">
        <v>0.4647920210329433</v>
      </c>
      <c r="E17" s="10" t="n">
        <v>0.5572219440161775</v>
      </c>
      <c r="F17" s="10" t="n">
        <v>0.6648979934930361</v>
      </c>
      <c r="G17" s="10" t="n">
        <v>0.7811536629473858</v>
      </c>
      <c r="H17" s="10" t="n">
        <v>0.9017032664268744</v>
      </c>
      <c r="I17" s="10" t="n">
        <v>1.023776821804692</v>
      </c>
      <c r="J17" s="10" t="n">
        <v>1.145569220100035</v>
      </c>
      <c r="K17" s="10" t="n">
        <v>1.26587013477433</v>
      </c>
      <c r="L17" s="10" t="n">
        <v>1.383825019515061</v>
      </c>
      <c r="M17" s="10" t="n">
        <v>1.498815638116996</v>
      </c>
      <c r="N17" s="10" t="n">
        <v>1.610377440699473</v>
      </c>
      <c r="O17" s="10" t="n">
        <v>1.718163248549127</v>
      </c>
      <c r="P17" s="10" t="n">
        <v>1.82192859943234</v>
      </c>
      <c r="Q17" s="10" t="n">
        <v>1.921525473489882</v>
      </c>
      <c r="R17" s="10" t="n">
        <v>2.016897548952501</v>
      </c>
      <c r="S17" s="10" t="n">
        <v>2.108068225505175</v>
      </c>
      <c r="T17" s="10" t="n">
        <v>2.195141698233554</v>
      </c>
      <c r="U17" s="10" t="n">
        <v>2.278262459752798</v>
      </c>
      <c r="V17" s="10" t="n">
        <v>2.357589653028846</v>
      </c>
      <c r="W17" s="10" t="n">
        <v>2.433293521667566</v>
      </c>
      <c r="X17" s="10" t="n">
        <v>2.50555318978677</v>
      </c>
      <c r="Y17" s="10" t="n">
        <v>2.57455493860833</v>
      </c>
      <c r="Z17" s="10" t="n">
        <v>2.640486734718672</v>
      </c>
      <c r="AA17" s="10" t="n">
        <v>2.703519459263644</v>
      </c>
      <c r="AB17" s="10" t="n">
        <v>2.763801066692123</v>
      </c>
      <c r="AC17" s="10" t="n">
        <v>2.821460146027958</v>
      </c>
      <c r="AD17" s="10" t="n">
        <v>2.876609044325615</v>
      </c>
      <c r="AE17" s="10" t="n">
        <v>2.929346163032489</v>
      </c>
      <c r="AF17" s="10" t="n">
        <v>2.97975350514305</v>
      </c>
      <c r="AG17" s="10" t="n">
        <v>3.442159630213788</v>
      </c>
      <c r="AH17" s="10" t="n">
        <v>3.464272152417419</v>
      </c>
      <c r="AI17" s="10" t="n">
        <v>3.484720270627772</v>
      </c>
      <c r="AJ17" s="10" t="n">
        <v>3.503568653377238</v>
      </c>
      <c r="AK17" s="10" t="n">
        <v>3.520882818702892</v>
      </c>
    </row>
    <row r="18">
      <c r="A18" s="9" t="n">
        <v>-107</v>
      </c>
      <c r="B18" s="7" t="n">
        <v>41037</v>
      </c>
      <c r="C18" s="10" t="n">
        <v>0.4014717710634358</v>
      </c>
      <c r="D18" s="10" t="n">
        <v>0.4617759021869176</v>
      </c>
      <c r="E18" s="10" t="n">
        <v>0.5470276124173127</v>
      </c>
      <c r="F18" s="10" t="n">
        <v>0.6472872602442579</v>
      </c>
      <c r="G18" s="10" t="n">
        <v>0.7563708445616486</v>
      </c>
      <c r="H18" s="10" t="n">
        <v>0.8702586708590482</v>
      </c>
      <c r="I18" s="10" t="n">
        <v>0.9863188807893255</v>
      </c>
      <c r="J18" s="10" t="n">
        <v>1.102806456173428</v>
      </c>
      <c r="K18" s="10" t="n">
        <v>1.218518660131668</v>
      </c>
      <c r="L18" s="10" t="n">
        <v>1.332573364115043</v>
      </c>
      <c r="M18" s="10" t="n">
        <v>1.444309705926653</v>
      </c>
      <c r="N18" s="10" t="n">
        <v>1.553211413998515</v>
      </c>
      <c r="O18" s="10" t="n">
        <v>1.658878119308093</v>
      </c>
      <c r="P18" s="10" t="n">
        <v>1.761014523643885</v>
      </c>
      <c r="Q18" s="10" t="n">
        <v>1.859423444368218</v>
      </c>
      <c r="R18" s="10" t="n">
        <v>1.954001448356679</v>
      </c>
      <c r="S18" s="10" t="n">
        <v>2.0447265036497</v>
      </c>
      <c r="T18" s="10" t="n">
        <v>2.131658189968604</v>
      </c>
      <c r="U18" s="10" t="n">
        <v>2.214899800475823</v>
      </c>
      <c r="V18" s="10" t="n">
        <v>2.294573676791055</v>
      </c>
      <c r="W18" s="10" t="n">
        <v>2.37081680315126</v>
      </c>
      <c r="X18" s="10" t="n">
        <v>2.443777877887205</v>
      </c>
      <c r="Y18" s="10" t="n">
        <v>2.513615045147186</v>
      </c>
      <c r="Z18" s="10" t="n">
        <v>2.580490220925774</v>
      </c>
      <c r="AA18" s="10" t="n">
        <v>2.644551172642028</v>
      </c>
      <c r="AB18" s="10" t="n">
        <v>2.705925852513846</v>
      </c>
      <c r="AC18" s="10" t="n">
        <v>2.764725465686683</v>
      </c>
      <c r="AD18" s="10" t="n">
        <v>2.821047171374259</v>
      </c>
      <c r="AE18" s="10" t="n">
        <v>2.874976027598289</v>
      </c>
      <c r="AF18" s="10" t="n">
        <v>2.926582185003475</v>
      </c>
      <c r="AG18" s="10" t="n">
        <v>3.402031752851924</v>
      </c>
      <c r="AH18" s="10" t="n">
        <v>3.424844721887938</v>
      </c>
      <c r="AI18" s="10" t="n">
        <v>3.445947811460195</v>
      </c>
      <c r="AJ18" s="10" t="n">
        <v>3.465406708837812</v>
      </c>
      <c r="AK18" s="10" t="n">
        <v>3.483288101618268</v>
      </c>
    </row>
    <row r="19">
      <c r="A19" s="9" t="n">
        <v>-106</v>
      </c>
      <c r="B19" s="7" t="n">
        <v>41038</v>
      </c>
      <c r="C19" s="10" t="n">
        <v>0.4002621473507059</v>
      </c>
      <c r="D19" s="10" t="n">
        <v>0.4589322023126157</v>
      </c>
      <c r="E19" s="10" t="n">
        <v>0.5422867826645259</v>
      </c>
      <c r="F19" s="10" t="n">
        <v>0.6405066982505676</v>
      </c>
      <c r="G19" s="10" t="n">
        <v>0.7475012165366729</v>
      </c>
      <c r="H19" s="10" t="n">
        <v>0.8593174437338302</v>
      </c>
      <c r="I19" s="10" t="n">
        <v>0.9733678528143206</v>
      </c>
      <c r="J19" s="10" t="n">
        <v>1.087931612763995</v>
      </c>
      <c r="K19" s="10" t="n">
        <v>1.201812452819714</v>
      </c>
      <c r="L19" s="10" t="n">
        <v>1.314125341057713</v>
      </c>
      <c r="M19" s="10" t="n">
        <v>1.424205464039222</v>
      </c>
      <c r="N19" s="10" t="n">
        <v>1.531536652021485</v>
      </c>
      <c r="O19" s="10" t="n">
        <v>1.635725814927659</v>
      </c>
      <c r="P19" s="10" t="n">
        <v>1.736493323111807</v>
      </c>
      <c r="Q19" s="10" t="n">
        <v>1.833661886900734</v>
      </c>
      <c r="R19" s="10" t="n">
        <v>1.927147534232472</v>
      </c>
      <c r="S19" s="10" t="n">
        <v>2.016943683227964</v>
      </c>
      <c r="T19" s="10" t="n">
        <v>2.103118759675886</v>
      </c>
      <c r="U19" s="10" t="n">
        <v>2.185778718667176</v>
      </c>
      <c r="V19" s="10" t="n">
        <v>2.265043641710386</v>
      </c>
      <c r="W19" s="10" t="n">
        <v>2.341044364193296</v>
      </c>
      <c r="X19" s="10" t="n">
        <v>2.41392032460706</v>
      </c>
      <c r="Y19" s="10" t="n">
        <v>2.483817894228165</v>
      </c>
      <c r="Z19" s="10" t="n">
        <v>2.550885288180512</v>
      </c>
      <c r="AA19" s="10" t="n">
        <v>2.615255740135621</v>
      </c>
      <c r="AB19" s="10" t="n">
        <v>2.677042425962454</v>
      </c>
      <c r="AC19" s="10" t="n">
        <v>2.736341590146547</v>
      </c>
      <c r="AD19" s="10" t="n">
        <v>2.793235276658307</v>
      </c>
      <c r="AE19" s="10" t="n">
        <v>2.84779331692704</v>
      </c>
      <c r="AF19" s="10" t="n">
        <v>2.900070972886428</v>
      </c>
      <c r="AG19" s="10" t="n">
        <v>3.383833323687011</v>
      </c>
      <c r="AH19" s="10" t="n">
        <v>3.407125163319752</v>
      </c>
      <c r="AI19" s="10" t="n">
        <v>3.428686486168862</v>
      </c>
      <c r="AJ19" s="10" t="n">
        <v>3.448585289698163</v>
      </c>
      <c r="AK19" s="10" t="n">
        <v>3.46689049163375</v>
      </c>
    </row>
    <row r="20">
      <c r="A20" s="9" t="n">
        <v>-105</v>
      </c>
      <c r="B20" s="7" t="n">
        <v>41039</v>
      </c>
      <c r="C20" s="10" t="n">
        <v>0.4189176063186723</v>
      </c>
      <c r="D20" s="10" t="n">
        <v>0.4862700734545179</v>
      </c>
      <c r="E20" s="10" t="n">
        <v>0.5782654240302395</v>
      </c>
      <c r="F20" s="10" t="n">
        <v>0.6848602040184877</v>
      </c>
      <c r="G20" s="10" t="n">
        <v>0.7997551700592879</v>
      </c>
      <c r="H20" s="10" t="n">
        <v>0.9188152145154362</v>
      </c>
      <c r="I20" s="10" t="n">
        <v>1.039321487651067</v>
      </c>
      <c r="J20" s="10" t="n">
        <v>1.15947978842424</v>
      </c>
      <c r="K20" s="10" t="n">
        <v>1.278074321921025</v>
      </c>
      <c r="L20" s="10" t="n">
        <v>1.394243303300216</v>
      </c>
      <c r="M20" s="10" t="n">
        <v>1.507372088451319</v>
      </c>
      <c r="N20" s="10" t="n">
        <v>1.617009596862947</v>
      </c>
      <c r="O20" s="10" t="n">
        <v>1.722834848453528</v>
      </c>
      <c r="P20" s="10" t="n">
        <v>1.824643207683522</v>
      </c>
      <c r="Q20" s="10" t="n">
        <v>1.922330675537684</v>
      </c>
      <c r="R20" s="10" t="n">
        <v>2.015882348082938</v>
      </c>
      <c r="S20" s="10" t="n">
        <v>2.105354761176231</v>
      </c>
      <c r="T20" s="10" t="n">
        <v>2.190872824594042</v>
      </c>
      <c r="U20" s="10" t="n">
        <v>2.27259186648876</v>
      </c>
      <c r="V20" s="10" t="n">
        <v>2.350674932098129</v>
      </c>
      <c r="W20" s="10" t="n">
        <v>2.425290733282504</v>
      </c>
      <c r="X20" s="10" t="n">
        <v>2.496612515200327</v>
      </c>
      <c r="Y20" s="10" t="n">
        <v>2.564817166757217</v>
      </c>
      <c r="Z20" s="10" t="n">
        <v>2.630080494509357</v>
      </c>
      <c r="AA20" s="10" t="n">
        <v>2.692560088170654</v>
      </c>
      <c r="AB20" s="10" t="n">
        <v>2.752390513316256</v>
      </c>
      <c r="AC20" s="10" t="n">
        <v>2.809686929081853</v>
      </c>
      <c r="AD20" s="10" t="n">
        <v>2.864548218234555</v>
      </c>
      <c r="AE20" s="10" t="n">
        <v>2.917059294486106</v>
      </c>
      <c r="AF20" s="10" t="n">
        <v>2.96728899826783</v>
      </c>
      <c r="AG20" s="10" t="n">
        <v>3.428219769134216</v>
      </c>
      <c r="AH20" s="10" t="n">
        <v>3.450197763421541</v>
      </c>
      <c r="AI20" s="10" t="n">
        <v>3.47051768802684</v>
      </c>
      <c r="AJ20" s="10" t="n">
        <v>3.489248408629174</v>
      </c>
      <c r="AK20" s="10" t="n">
        <v>3.506459426290095</v>
      </c>
    </row>
    <row r="21">
      <c r="A21" s="9" t="n">
        <v>-104</v>
      </c>
      <c r="B21" s="7" t="n">
        <v>41040</v>
      </c>
      <c r="C21" s="10" t="n">
        <v>0.4022937304650751</v>
      </c>
      <c r="D21" s="10" t="n">
        <v>0.4636493741906953</v>
      </c>
      <c r="E21" s="10" t="n">
        <v>0.5514855640045777</v>
      </c>
      <c r="F21" s="10" t="n">
        <v>0.6554377008090866</v>
      </c>
      <c r="G21" s="10" t="n">
        <v>0.7688903199096683</v>
      </c>
      <c r="H21" s="10" t="n">
        <v>0.887437992143675</v>
      </c>
      <c r="I21" s="10" t="n">
        <v>1.008132183921611</v>
      </c>
      <c r="J21" s="10" t="n">
        <v>1.128981903737055</v>
      </c>
      <c r="K21" s="10" t="n">
        <v>1.248604031127182</v>
      </c>
      <c r="L21" s="10" t="n">
        <v>1.366001056000005</v>
      </c>
      <c r="M21" s="10" t="n">
        <v>1.480449654039986</v>
      </c>
      <c r="N21" s="10" t="n">
        <v>1.591418423798293</v>
      </c>
      <c r="O21" s="10" t="n">
        <v>1.698531894701858</v>
      </c>
      <c r="P21" s="10" t="n">
        <v>1.801552660361113</v>
      </c>
      <c r="Q21" s="10" t="n">
        <v>1.900359397612694</v>
      </c>
      <c r="R21" s="10" t="n">
        <v>1.994931985877156</v>
      </c>
      <c r="S21" s="10" t="n">
        <v>2.085329130684596</v>
      </c>
      <c r="T21" s="10" t="n">
        <v>2.171682629293501</v>
      </c>
      <c r="U21" s="10" t="n">
        <v>2.254156107522829</v>
      </c>
      <c r="V21" s="10" t="n">
        <v>2.332921254126284</v>
      </c>
      <c r="W21" s="10" t="n">
        <v>2.408155709191733</v>
      </c>
      <c r="X21" s="10" t="n">
        <v>2.480041873874385</v>
      </c>
      <c r="Y21" s="10" t="n">
        <v>2.548765972582594</v>
      </c>
      <c r="Z21" s="10" t="n">
        <v>2.614512953291726</v>
      </c>
      <c r="AA21" s="10" t="n">
        <v>2.677448674896598</v>
      </c>
      <c r="AB21" s="10" t="n">
        <v>2.737715220869219</v>
      </c>
      <c r="AC21" s="10" t="n">
        <v>2.795434656155696</v>
      </c>
      <c r="AD21" s="10" t="n">
        <v>2.850712255970731</v>
      </c>
      <c r="AE21" s="10" t="n">
        <v>2.903638886713951</v>
      </c>
      <c r="AF21" s="10" t="n">
        <v>2.954289079368338</v>
      </c>
      <c r="AG21" s="10" t="n">
        <v>3.423069149766996</v>
      </c>
      <c r="AH21" s="10" t="n">
        <v>3.445877945006262</v>
      </c>
      <c r="AI21" s="10" t="n">
        <v>3.467051514720113</v>
      </c>
      <c r="AJ21" s="10" t="n">
        <v>3.48665446198362</v>
      </c>
      <c r="AK21" s="10" t="n">
        <v>3.504752050412657</v>
      </c>
    </row>
    <row r="22">
      <c r="A22" s="9" t="n">
        <v>-103</v>
      </c>
      <c r="B22" s="7" t="n">
        <v>41043</v>
      </c>
      <c r="C22" s="10" t="n">
        <v>0.3813081185822635</v>
      </c>
      <c r="D22" s="10" t="n">
        <v>0.4338238672945205</v>
      </c>
      <c r="E22" s="10" t="n">
        <v>0.5132598556818904</v>
      </c>
      <c r="F22" s="10" t="n">
        <v>0.6094516804860076</v>
      </c>
      <c r="G22" s="10" t="n">
        <v>0.715863766234207</v>
      </c>
      <c r="H22" s="10" t="n">
        <v>0.8281189531591335</v>
      </c>
      <c r="I22" s="10" t="n">
        <v>0.943272091790096</v>
      </c>
      <c r="J22" s="10" t="n">
        <v>1.059319123673852</v>
      </c>
      <c r="K22" s="10" t="n">
        <v>1.174848032511749</v>
      </c>
      <c r="L22" s="10" t="n">
        <v>1.288818943656388</v>
      </c>
      <c r="M22" s="10" t="n">
        <v>1.400454000675216</v>
      </c>
      <c r="N22" s="10" t="n">
        <v>1.509161348928186</v>
      </c>
      <c r="O22" s="10" t="n">
        <v>1.61450187497408</v>
      </c>
      <c r="P22" s="10" t="n">
        <v>1.716173777211719</v>
      </c>
      <c r="Q22" s="10" t="n">
        <v>1.813994440381218</v>
      </c>
      <c r="R22" s="10" t="n">
        <v>1.907887309634833</v>
      </c>
      <c r="S22" s="10" t="n">
        <v>1.997859704825331</v>
      </c>
      <c r="T22" s="10" t="n">
        <v>2.083995921107939</v>
      </c>
      <c r="U22" s="10" t="n">
        <v>2.166418486471504</v>
      </c>
      <c r="V22" s="10" t="n">
        <v>2.245265193228545</v>
      </c>
      <c r="W22" s="10" t="n">
        <v>2.320685550933347</v>
      </c>
      <c r="X22" s="10" t="n">
        <v>2.392838442933619</v>
      </c>
      <c r="Y22" s="10" t="n">
        <v>2.461890301366748</v>
      </c>
      <c r="Z22" s="10" t="n">
        <v>2.528009491321852</v>
      </c>
      <c r="AA22" s="10" t="n">
        <v>2.591348869298773</v>
      </c>
      <c r="AB22" s="10" t="n">
        <v>2.652040988976048</v>
      </c>
      <c r="AC22" s="10" t="n">
        <v>2.710201296961565</v>
      </c>
      <c r="AD22" s="10" t="n">
        <v>2.765930891997505</v>
      </c>
      <c r="AE22" s="10" t="n">
        <v>2.819318485046212</v>
      </c>
      <c r="AF22" s="10" t="n">
        <v>2.870437585282279</v>
      </c>
      <c r="AG22" s="10" t="n">
        <v>3.345988541117838</v>
      </c>
      <c r="AH22" s="10" t="n">
        <v>3.369374437594534</v>
      </c>
      <c r="AI22" s="10" t="n">
        <v>3.391130910123229</v>
      </c>
      <c r="AJ22" s="10" t="n">
        <v>3.411321201589343</v>
      </c>
      <c r="AK22" s="10" t="n">
        <v>3.430009176880702</v>
      </c>
    </row>
    <row r="23">
      <c r="A23" s="9" t="n">
        <v>-102</v>
      </c>
      <c r="B23" s="7" t="n">
        <v>41044</v>
      </c>
      <c r="C23" s="10" t="n">
        <v>0.3795941711911739</v>
      </c>
      <c r="D23" s="10" t="n">
        <v>0.4342131651208284</v>
      </c>
      <c r="E23" s="10" t="n">
        <v>0.5153401144479312</v>
      </c>
      <c r="F23" s="10" t="n">
        <v>0.6129709811740605</v>
      </c>
      <c r="G23" s="10" t="n">
        <v>0.720694744589826</v>
      </c>
      <c r="H23" s="10" t="n">
        <v>0.8342149090651126</v>
      </c>
      <c r="I23" s="10" t="n">
        <v>0.9506263490672651</v>
      </c>
      <c r="J23" s="10" t="n">
        <v>1.067932298285033</v>
      </c>
      <c r="K23" s="10" t="n">
        <v>1.184705821535339</v>
      </c>
      <c r="L23" s="10" t="n">
        <v>1.29987967505914</v>
      </c>
      <c r="M23" s="10" t="n">
        <v>1.412643270563942</v>
      </c>
      <c r="N23" s="10" t="n">
        <v>1.522373208232376</v>
      </c>
      <c r="O23" s="10" t="n">
        <v>1.628604840130764</v>
      </c>
      <c r="P23" s="10" t="n">
        <v>1.731019776754738</v>
      </c>
      <c r="Q23" s="10" t="n">
        <v>1.829430508708862</v>
      </c>
      <c r="R23" s="10" t="n">
        <v>1.923766705510603</v>
      </c>
      <c r="S23" s="10" t="n">
        <v>2.014050899670717</v>
      </c>
      <c r="T23" s="10" t="n">
        <v>2.100391887330698</v>
      </c>
      <c r="U23" s="10" t="n">
        <v>2.18293818287426</v>
      </c>
      <c r="V23" s="10" t="n">
        <v>2.261851611052168</v>
      </c>
      <c r="W23" s="10" t="n">
        <v>2.337304100339143</v>
      </c>
      <c r="X23" s="10" t="n">
        <v>2.409475662189077</v>
      </c>
      <c r="Y23" s="10" t="n">
        <v>2.47855280943027</v>
      </c>
      <c r="Z23" s="10" t="n">
        <v>2.544722448974031</v>
      </c>
      <c r="AA23" s="10" t="n">
        <v>2.608152200556328</v>
      </c>
      <c r="AB23" s="10" t="n">
        <v>2.668985259836039</v>
      </c>
      <c r="AC23" s="10" t="n">
        <v>2.727344260998904</v>
      </c>
      <c r="AD23" s="10" t="n">
        <v>2.783334593124172</v>
      </c>
      <c r="AE23" s="10" t="n">
        <v>2.837046820345011</v>
      </c>
      <c r="AF23" s="10" t="n">
        <v>2.888554440588721</v>
      </c>
      <c r="AG23" s="10" t="n">
        <v>3.373388330497967</v>
      </c>
      <c r="AH23" s="10" t="n">
        <v>3.397632183898978</v>
      </c>
      <c r="AI23" s="10" t="n">
        <v>3.420238321462642</v>
      </c>
      <c r="AJ23" s="10" t="n">
        <v>3.44126426323161</v>
      </c>
      <c r="AK23" s="10" t="n">
        <v>3.460768555400144</v>
      </c>
    </row>
    <row r="24">
      <c r="A24" s="9" t="n">
        <v>-101</v>
      </c>
      <c r="B24" s="7" t="n">
        <v>41045</v>
      </c>
      <c r="C24" s="10" t="n">
        <v>0.3574353156875605</v>
      </c>
      <c r="D24" s="10" t="n">
        <v>0.4073368301352137</v>
      </c>
      <c r="E24" s="10" t="n">
        <v>0.485179461604844</v>
      </c>
      <c r="F24" s="10" t="n">
        <v>0.5807249452222232</v>
      </c>
      <c r="G24" s="10" t="n">
        <v>0.687360459329397</v>
      </c>
      <c r="H24" s="10" t="n">
        <v>0.8006235949551296</v>
      </c>
      <c r="I24" s="10" t="n">
        <v>0.917461489911411</v>
      </c>
      <c r="J24" s="10" t="n">
        <v>1.035737277710566</v>
      </c>
      <c r="K24" s="10" t="n">
        <v>1.153891210678291</v>
      </c>
      <c r="L24" s="10" t="n">
        <v>1.27073087654647</v>
      </c>
      <c r="M24" s="10" t="n">
        <v>1.385326362745645</v>
      </c>
      <c r="N24" s="10" t="n">
        <v>1.49694217652231</v>
      </c>
      <c r="O24" s="10" t="n">
        <v>1.605010073711304</v>
      </c>
      <c r="P24" s="10" t="n">
        <v>1.709119678911958</v>
      </c>
      <c r="Q24" s="10" t="n">
        <v>1.80900838592154</v>
      </c>
      <c r="R24" s="10" t="n">
        <v>1.904549609942357</v>
      </c>
      <c r="S24" s="10" t="n">
        <v>1.995729198629325</v>
      </c>
      <c r="T24" s="10" t="n">
        <v>2.082637070912887</v>
      </c>
      <c r="U24" s="10" t="n">
        <v>2.165416819081733</v>
      </c>
      <c r="V24" s="10" t="n">
        <v>2.244236882556468</v>
      </c>
      <c r="W24" s="10" t="n">
        <v>2.319284963602612</v>
      </c>
      <c r="X24" s="10" t="n">
        <v>2.390764174761607</v>
      </c>
      <c r="Y24" s="10" t="n">
        <v>2.458890043831135</v>
      </c>
      <c r="Z24" s="10" t="n">
        <v>2.523882779345728</v>
      </c>
      <c r="AA24" s="10" t="n">
        <v>2.585944983598688</v>
      </c>
      <c r="AB24" s="10" t="n">
        <v>2.645255544615106</v>
      </c>
      <c r="AC24" s="10" t="n">
        <v>2.701973369037669</v>
      </c>
      <c r="AD24" s="10" t="n">
        <v>2.756240604930291</v>
      </c>
      <c r="AE24" s="10" t="n">
        <v>2.808184902276503</v>
      </c>
      <c r="AF24" s="10" t="n">
        <v>2.857915857056215</v>
      </c>
      <c r="AG24" s="10" t="n">
        <v>3.328727190257347</v>
      </c>
      <c r="AH24" s="10" t="n">
        <v>3.352819719163909</v>
      </c>
      <c r="AI24" s="10" t="n">
        <v>3.375384241291853</v>
      </c>
      <c r="AJ24" s="10" t="n">
        <v>3.396468041144445</v>
      </c>
      <c r="AK24" s="10" t="n">
        <v>3.416119371761416</v>
      </c>
    </row>
    <row r="25">
      <c r="A25" s="9" t="n">
        <v>-100</v>
      </c>
      <c r="B25" s="7" t="n">
        <v>41046</v>
      </c>
      <c r="C25" s="10" t="n">
        <v>0.3266715264863987</v>
      </c>
      <c r="D25" s="10" t="n">
        <v>0.3706726134471769</v>
      </c>
      <c r="E25" s="10" t="n">
        <v>0.4445648001341674</v>
      </c>
      <c r="F25" s="10" t="n">
        <v>0.5374936340565922</v>
      </c>
      <c r="G25" s="10" t="n">
        <v>0.6424811233691388</v>
      </c>
      <c r="H25" s="10" t="n">
        <v>0.754833985974568</v>
      </c>
      <c r="I25" s="10" t="n">
        <v>0.8713335683800891</v>
      </c>
      <c r="J25" s="10" t="n">
        <v>0.9897085134596828</v>
      </c>
      <c r="K25" s="10" t="n">
        <v>1.108282300596885</v>
      </c>
      <c r="L25" s="10" t="n">
        <v>1.225761821276249</v>
      </c>
      <c r="M25" s="10" t="n">
        <v>1.341132914400122</v>
      </c>
      <c r="N25" s="10" t="n">
        <v>1.453592368914676</v>
      </c>
      <c r="O25" s="10" t="n">
        <v>1.562520277962725</v>
      </c>
      <c r="P25" s="10" t="n">
        <v>1.667467494530261</v>
      </c>
      <c r="Q25" s="10" t="n">
        <v>1.768143875316572</v>
      </c>
      <c r="R25" s="10" t="n">
        <v>1.864403267673836</v>
      </c>
      <c r="S25" s="10" t="n">
        <v>1.956219680869437</v>
      </c>
      <c r="T25" s="10" t="n">
        <v>2.043678100884384</v>
      </c>
      <c r="U25" s="10" t="n">
        <v>2.126920761173175</v>
      </c>
      <c r="V25" s="10" t="n">
        <v>2.206117273526453</v>
      </c>
      <c r="W25" s="10" t="n">
        <v>2.281458521114864</v>
      </c>
      <c r="X25" s="10" t="n">
        <v>2.353152404213048</v>
      </c>
      <c r="Y25" s="10" t="n">
        <v>2.421420533056381</v>
      </c>
      <c r="Z25" s="10" t="n">
        <v>2.486489970842896</v>
      </c>
      <c r="AA25" s="10" t="n">
        <v>2.548569991115762</v>
      </c>
      <c r="AB25" s="10" t="n">
        <v>2.607845768573414</v>
      </c>
      <c r="AC25" s="10" t="n">
        <v>2.6644821758552</v>
      </c>
      <c r="AD25" s="10" t="n">
        <v>2.718627058067047</v>
      </c>
      <c r="AE25" s="10" t="n">
        <v>2.770413519832756</v>
      </c>
      <c r="AF25" s="10" t="n">
        <v>2.819956262319725</v>
      </c>
      <c r="AG25" s="10" t="n">
        <v>3.287116240529094</v>
      </c>
      <c r="AH25" s="10" t="n">
        <v>3.31090571594593</v>
      </c>
      <c r="AI25" s="10" t="n">
        <v>3.333168925171712</v>
      </c>
      <c r="AJ25" s="10" t="n">
        <v>3.353953257938739</v>
      </c>
      <c r="AK25" s="10" t="n">
        <v>3.373306885009362</v>
      </c>
    </row>
    <row r="26">
      <c r="A26" s="9" t="n">
        <v>-99</v>
      </c>
      <c r="B26" s="7" t="n">
        <v>41047</v>
      </c>
      <c r="C26" s="10" t="n">
        <v>0.303356017618617</v>
      </c>
      <c r="D26" s="10" t="n">
        <v>0.3447961826409749</v>
      </c>
      <c r="E26" s="10" t="n">
        <v>0.4181624092667787</v>
      </c>
      <c r="F26" s="10" t="n">
        <v>0.5118393602247685</v>
      </c>
      <c r="G26" s="10" t="n">
        <v>0.6183376434685949</v>
      </c>
      <c r="H26" s="10" t="n">
        <v>0.7326300908683941</v>
      </c>
      <c r="I26" s="10" t="n">
        <v>0.8512724254576541</v>
      </c>
      <c r="J26" s="10" t="n">
        <v>0.9718277274353139</v>
      </c>
      <c r="K26" s="10" t="n">
        <v>1.092491766145112</v>
      </c>
      <c r="L26" s="10" t="n">
        <v>1.211875399430226</v>
      </c>
      <c r="M26" s="10" t="n">
        <v>1.328890906849053</v>
      </c>
      <c r="N26" s="10" t="n">
        <v>1.442684550179499</v>
      </c>
      <c r="O26" s="10" t="n">
        <v>1.552604808367827</v>
      </c>
      <c r="P26" s="10" t="n">
        <v>1.658182530401665</v>
      </c>
      <c r="Q26" s="10" t="n">
        <v>1.759121330659319</v>
      </c>
      <c r="R26" s="10" t="n">
        <v>1.855278289459096</v>
      </c>
      <c r="S26" s="10" t="n">
        <v>1.946643206950353</v>
      </c>
      <c r="T26" s="10" t="n">
        <v>2.033326868664429</v>
      </c>
      <c r="U26" s="10" t="n">
        <v>2.115499584996273</v>
      </c>
      <c r="V26" s="10" t="n">
        <v>2.19336052660845</v>
      </c>
      <c r="W26" s="10" t="n">
        <v>2.267131334274431</v>
      </c>
      <c r="X26" s="10" t="n">
        <v>2.337051624856417</v>
      </c>
      <c r="Y26" s="10" t="n">
        <v>2.403375489002401</v>
      </c>
      <c r="Z26" s="10" t="n">
        <v>2.466362210074442</v>
      </c>
      <c r="AA26" s="10" t="n">
        <v>2.526250631264868</v>
      </c>
      <c r="AB26" s="10" t="n">
        <v>2.58325265429227</v>
      </c>
      <c r="AC26" s="10" t="n">
        <v>2.63755751153942</v>
      </c>
      <c r="AD26" s="10" t="n">
        <v>2.689335422397763</v>
      </c>
      <c r="AE26" s="10" t="n">
        <v>2.738740130845436</v>
      </c>
      <c r="AF26" s="10" t="n">
        <v>2.785904911500459</v>
      </c>
      <c r="AG26" s="10" t="n">
        <v>3.227148235917924</v>
      </c>
      <c r="AH26" s="10" t="n">
        <v>3.249455192899035</v>
      </c>
      <c r="AI26" s="10" t="n">
        <v>3.270307216468738</v>
      </c>
      <c r="AJ26" s="10" t="n">
        <v>3.289749809447468</v>
      </c>
      <c r="AK26" s="10" t="n">
        <v>3.307829152271676</v>
      </c>
    </row>
    <row r="27">
      <c r="A27" s="9" t="n">
        <v>-98</v>
      </c>
      <c r="B27" s="7" t="n">
        <v>41050</v>
      </c>
      <c r="C27" s="10" t="n">
        <v>0.2946157520223666</v>
      </c>
      <c r="D27" s="10" t="n">
        <v>0.3404244993420524</v>
      </c>
      <c r="E27" s="10" t="n">
        <v>0.418381923138438</v>
      </c>
      <c r="F27" s="10" t="n">
        <v>0.516449511174484</v>
      </c>
      <c r="G27" s="10" t="n">
        <v>0.626940322190486</v>
      </c>
      <c r="H27" s="10" t="n">
        <v>0.7447232380590697</v>
      </c>
      <c r="I27" s="10" t="n">
        <v>0.8663078575755765</v>
      </c>
      <c r="J27" s="10" t="n">
        <v>0.9892560866862193</v>
      </c>
      <c r="K27" s="10" t="n">
        <v>1.111799330043609</v>
      </c>
      <c r="L27" s="10" t="n">
        <v>1.232606548752027</v>
      </c>
      <c r="M27" s="10" t="n">
        <v>1.350650907226995</v>
      </c>
      <c r="N27" s="10" t="n">
        <v>1.46513876903887</v>
      </c>
      <c r="O27" s="10" t="n">
        <v>1.575473889854896</v>
      </c>
      <c r="P27" s="10" t="n">
        <v>1.681236545103183</v>
      </c>
      <c r="Q27" s="10" t="n">
        <v>1.782177202317408</v>
      </c>
      <c r="R27" s="10" t="n">
        <v>1.878198602871183</v>
      </c>
      <c r="S27" s="10" t="n">
        <v>1.969337406001463</v>
      </c>
      <c r="T27" s="10" t="n">
        <v>2.055754609774737</v>
      </c>
      <c r="U27" s="10" t="n">
        <v>2.137665228477885</v>
      </c>
      <c r="V27" s="10" t="n">
        <v>2.215305243825933</v>
      </c>
      <c r="W27" s="10" t="n">
        <v>2.288926794651305</v>
      </c>
      <c r="X27" s="10" t="n">
        <v>2.358794945480337</v>
      </c>
      <c r="Y27" s="10" t="n">
        <v>2.425185146439843</v>
      </c>
      <c r="Z27" s="10" t="n">
        <v>2.488373713236901</v>
      </c>
      <c r="AA27" s="10" t="n">
        <v>2.548609611170022</v>
      </c>
      <c r="AB27" s="10" t="n">
        <v>2.606107923032312</v>
      </c>
      <c r="AC27" s="10" t="n">
        <v>2.66105525758999</v>
      </c>
      <c r="AD27" s="10" t="n">
        <v>2.713614342167366</v>
      </c>
      <c r="AE27" s="10" t="n">
        <v>2.763927316423081</v>
      </c>
      <c r="AF27" s="10" t="n">
        <v>2.81211240638385</v>
      </c>
      <c r="AG27" s="10" t="n">
        <v>3.26908500089744</v>
      </c>
      <c r="AH27" s="10" t="n">
        <v>3.292375110963401</v>
      </c>
      <c r="AI27" s="10" t="n">
        <v>3.314152915108643</v>
      </c>
      <c r="AJ27" s="10" t="n">
        <v>3.334464647142939</v>
      </c>
      <c r="AK27" s="10" t="n">
        <v>3.353357916306722</v>
      </c>
    </row>
    <row r="28">
      <c r="A28" s="9" t="n">
        <v>-97</v>
      </c>
      <c r="B28" s="7" t="n">
        <v>41051</v>
      </c>
      <c r="C28" s="10" t="n">
        <v>0.2895947695944903</v>
      </c>
      <c r="D28" s="10" t="n">
        <v>0.3400139563775558</v>
      </c>
      <c r="E28" s="10" t="n">
        <v>0.4223564480877927</v>
      </c>
      <c r="F28" s="10" t="n">
        <v>0.5244145697481287</v>
      </c>
      <c r="G28" s="10" t="n">
        <v>0.6384585530251722</v>
      </c>
      <c r="H28" s="10" t="n">
        <v>0.7593498212495516</v>
      </c>
      <c r="I28" s="10" t="n">
        <v>0.8836107244853357</v>
      </c>
      <c r="J28" s="10" t="n">
        <v>1.008826934796098</v>
      </c>
      <c r="K28" s="10" t="n">
        <v>1.133261210729927</v>
      </c>
      <c r="L28" s="10" t="n">
        <v>1.25561922336989</v>
      </c>
      <c r="M28" s="10" t="n">
        <v>1.37491195056878</v>
      </c>
      <c r="N28" s="10" t="n">
        <v>1.490385450489236</v>
      </c>
      <c r="O28" s="10" t="n">
        <v>1.601483316963828</v>
      </c>
      <c r="P28" s="10" t="n">
        <v>1.707823185758414</v>
      </c>
      <c r="Q28" s="10" t="n">
        <v>1.809189936237571</v>
      </c>
      <c r="R28" s="10" t="n">
        <v>1.905516809543532</v>
      </c>
      <c r="S28" s="10" t="n">
        <v>1.996866344712175</v>
      </c>
      <c r="T28" s="10" t="n">
        <v>2.083421439493038</v>
      </c>
      <c r="U28" s="10" t="n">
        <v>2.165415250934353</v>
      </c>
      <c r="V28" s="10" t="n">
        <v>2.243098798730959</v>
      </c>
      <c r="W28" s="10" t="n">
        <v>2.316736809524394</v>
      </c>
      <c r="X28" s="10" t="n">
        <v>2.386604975513555</v>
      </c>
      <c r="Y28" s="10" t="n">
        <v>2.452987787379528</v>
      </c>
      <c r="Z28" s="10" t="n">
        <v>2.516169079720028</v>
      </c>
      <c r="AA28" s="10" t="n">
        <v>2.576403620395858</v>
      </c>
      <c r="AB28" s="10" t="n">
        <v>2.633910827735992</v>
      </c>
      <c r="AC28" s="10" t="n">
        <v>2.688880428555719</v>
      </c>
      <c r="AD28" s="10" t="n">
        <v>2.741477247110459</v>
      </c>
      <c r="AE28" s="10" t="n">
        <v>2.791844633852296</v>
      </c>
      <c r="AF28" s="10" t="n">
        <v>2.840101027944427</v>
      </c>
      <c r="AG28" s="10" t="n">
        <v>3.298907481553986</v>
      </c>
      <c r="AH28" s="10" t="n">
        <v>3.322371111881545</v>
      </c>
      <c r="AI28" s="10" t="n">
        <v>3.344326235890196</v>
      </c>
      <c r="AJ28" s="10" t="n">
        <v>3.364819671432421</v>
      </c>
      <c r="AK28" s="10" t="n">
        <v>3.383899606745689</v>
      </c>
    </row>
    <row r="29">
      <c r="A29" s="9" t="n">
        <v>-96</v>
      </c>
      <c r="B29" s="7" t="n">
        <v>41052</v>
      </c>
      <c r="C29" s="10" t="n">
        <v>0.2521151458536979</v>
      </c>
      <c r="D29" s="10" t="n">
        <v>0.2937482267070157</v>
      </c>
      <c r="E29" s="10" t="n">
        <v>0.3678816008354535</v>
      </c>
      <c r="F29" s="10" t="n">
        <v>0.4624127811807209</v>
      </c>
      <c r="G29" s="10" t="n">
        <v>0.5696271126134935</v>
      </c>
      <c r="H29" s="10" t="n">
        <v>0.6843742289294312</v>
      </c>
      <c r="I29" s="10" t="n">
        <v>0.8031556619512044</v>
      </c>
      <c r="J29" s="10" t="n">
        <v>0.923532388714627</v>
      </c>
      <c r="K29" s="10" t="n">
        <v>1.043744425947894</v>
      </c>
      <c r="L29" s="10" t="n">
        <v>1.1624750552116</v>
      </c>
      <c r="M29" s="10" t="n">
        <v>1.278714731604805</v>
      </c>
      <c r="N29" s="10" t="n">
        <v>1.391687544344929</v>
      </c>
      <c r="O29" s="10" t="n">
        <v>1.500814444172212</v>
      </c>
      <c r="P29" s="10" t="n">
        <v>1.605689753414255</v>
      </c>
      <c r="Q29" s="10" t="n">
        <v>1.706073885953772</v>
      </c>
      <c r="R29" s="10" t="n">
        <v>1.801874293778119</v>
      </c>
      <c r="S29" s="10" t="n">
        <v>1.89312501652298</v>
      </c>
      <c r="T29" s="10" t="n">
        <v>1.979978450485596</v>
      </c>
      <c r="U29" s="10" t="n">
        <v>2.062636403454173</v>
      </c>
      <c r="V29" s="10" t="n">
        <v>2.141318099325618</v>
      </c>
      <c r="W29" s="10" t="n">
        <v>2.216256130437938</v>
      </c>
      <c r="X29" s="10" t="n">
        <v>2.287693783882026</v>
      </c>
      <c r="Y29" s="10" t="n">
        <v>2.355882923559268</v>
      </c>
      <c r="Z29" s="10" t="n">
        <v>2.421074500034186</v>
      </c>
      <c r="AA29" s="10" t="n">
        <v>2.483490281846349</v>
      </c>
      <c r="AB29" s="10" t="n">
        <v>2.543316768925258</v>
      </c>
      <c r="AC29" s="10" t="n">
        <v>2.600710846607521</v>
      </c>
      <c r="AD29" s="10" t="n">
        <v>2.6558045621841</v>
      </c>
      <c r="AE29" s="10" t="n">
        <v>2.708708516370504</v>
      </c>
      <c r="AF29" s="10" t="n">
        <v>2.759508148091013</v>
      </c>
      <c r="AG29" s="10" t="n">
        <v>3.24117970529555</v>
      </c>
      <c r="AH29" s="10" t="n">
        <v>3.265316750253967</v>
      </c>
      <c r="AI29" s="10" t="n">
        <v>3.287813689145098</v>
      </c>
      <c r="AJ29" s="10" t="n">
        <v>3.308730155156054</v>
      </c>
      <c r="AK29" s="10" t="n">
        <v>3.328127423643471</v>
      </c>
    </row>
    <row r="30">
      <c r="A30" s="9" t="n">
        <v>-95</v>
      </c>
      <c r="B30" s="7" t="n">
        <v>41053</v>
      </c>
      <c r="C30" s="10" t="n">
        <v>0.2342044318798033</v>
      </c>
      <c r="D30" s="10" t="n">
        <v>0.2772984427722808</v>
      </c>
      <c r="E30" s="10" t="n">
        <v>0.353206991808504</v>
      </c>
      <c r="F30" s="10" t="n">
        <v>0.4497182585919955</v>
      </c>
      <c r="G30" s="10" t="n">
        <v>0.5590412494259336</v>
      </c>
      <c r="H30" s="10" t="n">
        <v>0.6759533860752873</v>
      </c>
      <c r="I30" s="10" t="n">
        <v>0.7968871154962884</v>
      </c>
      <c r="J30" s="10" t="n">
        <v>0.9193424610363511</v>
      </c>
      <c r="K30" s="10" t="n">
        <v>1.041508825177745</v>
      </c>
      <c r="L30" s="10" t="n">
        <v>1.162028096635932</v>
      </c>
      <c r="M30" s="10" t="n">
        <v>1.279862271420446</v>
      </c>
      <c r="N30" s="10" t="n">
        <v>1.394212971281388</v>
      </c>
      <c r="O30" s="10" t="n">
        <v>1.504484886467716</v>
      </c>
      <c r="P30" s="10" t="n">
        <v>1.610262254987768</v>
      </c>
      <c r="Q30" s="10" t="n">
        <v>1.711300984367957</v>
      </c>
      <c r="R30" s="10" t="n">
        <v>1.807508963602939</v>
      </c>
      <c r="S30" s="10" t="n">
        <v>1.89892414726134</v>
      </c>
      <c r="T30" s="10" t="n">
        <v>1.985705490333267</v>
      </c>
      <c r="U30" s="10" t="n">
        <v>2.068064337562476</v>
      </c>
      <c r="V30" s="10" t="n">
        <v>2.146232359316091</v>
      </c>
      <c r="W30" s="10" t="n">
        <v>2.220456919668894</v>
      </c>
      <c r="X30" s="10" t="n">
        <v>2.290997937661801</v>
      </c>
      <c r="Y30" s="10" t="n">
        <v>2.358125407311782</v>
      </c>
      <c r="Z30" s="10" t="n">
        <v>2.422109396254009</v>
      </c>
      <c r="AA30" s="10" t="n">
        <v>2.483191140320957</v>
      </c>
      <c r="AB30" s="10" t="n">
        <v>2.541576855516217</v>
      </c>
      <c r="AC30" s="10" t="n">
        <v>2.597443355511136</v>
      </c>
      <c r="AD30" s="10" t="n">
        <v>2.650942793956478</v>
      </c>
      <c r="AE30" s="10" t="n">
        <v>2.702205973582863</v>
      </c>
      <c r="AF30" s="10" t="n">
        <v>2.751337970975327</v>
      </c>
      <c r="AG30" s="10" t="n">
        <v>3.214537128672199</v>
      </c>
      <c r="AH30" s="10" t="n">
        <v>3.237679927830541</v>
      </c>
      <c r="AI30" s="10" t="n">
        <v>3.259246750102637</v>
      </c>
      <c r="AJ30" s="10" t="n">
        <v>3.279296306056246</v>
      </c>
      <c r="AK30" s="10" t="n">
        <v>3.297888839203337</v>
      </c>
    </row>
    <row r="31">
      <c r="A31" s="9" t="n">
        <v>-94</v>
      </c>
      <c r="B31" s="7" t="n">
        <v>41054</v>
      </c>
      <c r="C31" s="10" t="n">
        <v>0.2193986512524374</v>
      </c>
      <c r="D31" s="10" t="n">
        <v>0.2606122733144128</v>
      </c>
      <c r="E31" s="10" t="n">
        <v>0.3353867920630099</v>
      </c>
      <c r="F31" s="10" t="n">
        <v>0.4312124425402664</v>
      </c>
      <c r="G31" s="10" t="n">
        <v>0.5400901280337262</v>
      </c>
      <c r="H31" s="10" t="n">
        <v>0.6566606038374825</v>
      </c>
      <c r="I31" s="10" t="n">
        <v>0.7772752110599968</v>
      </c>
      <c r="J31" s="10" t="n">
        <v>0.899401735998985</v>
      </c>
      <c r="K31" s="10" t="n">
        <v>1.021227079132835</v>
      </c>
      <c r="L31" s="10" t="n">
        <v>1.141405036922028</v>
      </c>
      <c r="M31" s="10" t="n">
        <v>1.258923801734243</v>
      </c>
      <c r="N31" s="10" t="n">
        <v>1.373004716245454</v>
      </c>
      <c r="O31" s="10" t="n">
        <v>1.483066630957276</v>
      </c>
      <c r="P31" s="10" t="n">
        <v>1.588706494305578</v>
      </c>
      <c r="Q31" s="10" t="n">
        <v>1.689687120049918</v>
      </c>
      <c r="R31" s="10" t="n">
        <v>1.785920208354816</v>
      </c>
      <c r="S31" s="10" t="n">
        <v>1.877443953570657</v>
      </c>
      <c r="T31" s="10" t="n">
        <v>1.964414971718907</v>
      </c>
      <c r="U31" s="10" t="n">
        <v>2.047040276156067</v>
      </c>
      <c r="V31" s="10" t="n">
        <v>2.125545889341895</v>
      </c>
      <c r="W31" s="10" t="n">
        <v>2.200172519885939</v>
      </c>
      <c r="X31" s="10" t="n">
        <v>2.271172625317569</v>
      </c>
      <c r="Y31" s="10" t="n">
        <v>2.338808077548413</v>
      </c>
      <c r="Z31" s="10" t="n">
        <v>2.403340095584253</v>
      </c>
      <c r="AA31" s="10" t="n">
        <v>2.465000934775556</v>
      </c>
      <c r="AB31" s="10" t="n">
        <v>2.523988302495679</v>
      </c>
      <c r="AC31" s="10" t="n">
        <v>2.580470924306399</v>
      </c>
      <c r="AD31" s="10" t="n">
        <v>2.634593218443655</v>
      </c>
      <c r="AE31" s="10" t="n">
        <v>2.686478530079658</v>
      </c>
      <c r="AF31" s="10" t="n">
        <v>2.736224827409826</v>
      </c>
      <c r="AG31" s="10" t="n">
        <v>3.204749586052196</v>
      </c>
      <c r="AH31" s="10" t="n">
        <v>3.228035622935612</v>
      </c>
      <c r="AI31" s="10" t="n">
        <v>3.249710381060085</v>
      </c>
      <c r="AJ31" s="10" t="n">
        <v>3.269834904513076</v>
      </c>
      <c r="AK31" s="10" t="n">
        <v>3.288471846704015</v>
      </c>
    </row>
    <row r="32">
      <c r="A32" s="9" t="n">
        <v>-93</v>
      </c>
      <c r="B32" s="7" t="n">
        <v>41057</v>
      </c>
      <c r="C32" s="10" t="n">
        <v>0.2316113573872299</v>
      </c>
      <c r="D32" s="10" t="n">
        <v>0.2734814104331219</v>
      </c>
      <c r="E32" s="10" t="n">
        <v>0.3482379628924369</v>
      </c>
      <c r="F32" s="10" t="n">
        <v>0.4437398668272653</v>
      </c>
      <c r="G32" s="10" t="n">
        <v>0.5521738842143245</v>
      </c>
      <c r="H32" s="10" t="n">
        <v>0.6682836521346852</v>
      </c>
      <c r="I32" s="10" t="n">
        <v>0.7884744270567321</v>
      </c>
      <c r="J32" s="10" t="n">
        <v>0.9102377978169115</v>
      </c>
      <c r="K32" s="10" t="n">
        <v>1.031762901202484</v>
      </c>
      <c r="L32" s="10" t="n">
        <v>1.151693288295732</v>
      </c>
      <c r="M32" s="10" t="n">
        <v>1.269003674133421</v>
      </c>
      <c r="N32" s="10" t="n">
        <v>1.382900456350271</v>
      </c>
      <c r="O32" s="10" t="n">
        <v>1.492790596935718</v>
      </c>
      <c r="P32" s="10" t="n">
        <v>1.598265621338828</v>
      </c>
      <c r="Q32" s="10" t="n">
        <v>1.699088553795065</v>
      </c>
      <c r="R32" s="10" t="n">
        <v>1.795177911727161</v>
      </c>
      <c r="S32" s="10" t="n">
        <v>1.886584254651224</v>
      </c>
      <c r="T32" s="10" t="n">
        <v>1.973482439603935</v>
      </c>
      <c r="U32" s="10" t="n">
        <v>2.056096765125879</v>
      </c>
      <c r="V32" s="10" t="n">
        <v>2.134667353540795</v>
      </c>
      <c r="W32" s="10" t="n">
        <v>2.209446459345766</v>
      </c>
      <c r="X32" s="10" t="n">
        <v>2.280696042776547</v>
      </c>
      <c r="Y32" s="10" t="n">
        <v>2.348685817930935</v>
      </c>
      <c r="Z32" s="10" t="n">
        <v>2.41368269639644</v>
      </c>
      <c r="AA32" s="10" t="n">
        <v>2.475920541540673</v>
      </c>
      <c r="AB32" s="10" t="n">
        <v>2.535594567131914</v>
      </c>
      <c r="AC32" s="10" t="n">
        <v>2.592867579510776</v>
      </c>
      <c r="AD32" s="10" t="n">
        <v>2.64787520459467</v>
      </c>
      <c r="AE32" s="10" t="n">
        <v>2.700729562683869</v>
      </c>
      <c r="AF32" s="10" t="n">
        <v>2.751515347968548</v>
      </c>
      <c r="AG32" s="10" t="n">
        <v>3.233808150399535</v>
      </c>
      <c r="AH32" s="10" t="n">
        <v>3.257847723508067</v>
      </c>
      <c r="AI32" s="10" t="n">
        <v>3.280212226376835</v>
      </c>
      <c r="AJ32" s="10" t="n">
        <v>3.300963083673047</v>
      </c>
      <c r="AK32" s="10" t="n">
        <v>3.320163994607881</v>
      </c>
    </row>
    <row r="33">
      <c r="A33" s="9" t="n">
        <v>-92</v>
      </c>
      <c r="B33" s="7" t="n">
        <v>41058</v>
      </c>
      <c r="C33" s="10" t="n">
        <v>0.2715260721049074</v>
      </c>
      <c r="D33" s="10" t="n">
        <v>0.3165996879562963</v>
      </c>
      <c r="E33" s="10" t="n">
        <v>0.3917475924851682</v>
      </c>
      <c r="F33" s="10" t="n">
        <v>0.4859180601622059</v>
      </c>
      <c r="G33" s="10" t="n">
        <v>0.5920095213356188</v>
      </c>
      <c r="H33" s="10" t="n">
        <v>0.7052362128707348</v>
      </c>
      <c r="I33" s="10" t="n">
        <v>0.822319086130923</v>
      </c>
      <c r="J33" s="10" t="n">
        <v>0.9409619482026191</v>
      </c>
      <c r="K33" s="10" t="n">
        <v>1.059496381778437</v>
      </c>
      <c r="L33" s="10" t="n">
        <v>1.176662625526267</v>
      </c>
      <c r="M33" s="10" t="n">
        <v>1.291496661039142</v>
      </c>
      <c r="N33" s="10" t="n">
        <v>1.403241375186673</v>
      </c>
      <c r="O33" s="10" t="n">
        <v>1.511318768907096</v>
      </c>
      <c r="P33" s="10" t="n">
        <v>1.615319884614319</v>
      </c>
      <c r="Q33" s="10" t="n">
        <v>1.714994034858213</v>
      </c>
      <c r="R33" s="10" t="n">
        <v>1.810236585013673</v>
      </c>
      <c r="S33" s="10" t="n">
        <v>1.901067789026436</v>
      </c>
      <c r="T33" s="10" t="n">
        <v>1.98762640698898</v>
      </c>
      <c r="U33" s="10" t="n">
        <v>2.070100279272975</v>
      </c>
      <c r="V33" s="10" t="n">
        <v>2.148694768379362</v>
      </c>
      <c r="W33" s="10" t="n">
        <v>2.223628757458065</v>
      </c>
      <c r="X33" s="10" t="n">
        <v>2.295131946178205</v>
      </c>
      <c r="Y33" s="10" t="n">
        <v>2.363442690323281</v>
      </c>
      <c r="Z33" s="10" t="n">
        <v>2.428798125131542</v>
      </c>
      <c r="AA33" s="10" t="n">
        <v>2.491406850670522</v>
      </c>
      <c r="AB33" s="10" t="n">
        <v>2.551443858728149</v>
      </c>
      <c r="AC33" s="10" t="n">
        <v>2.609055962592151</v>
      </c>
      <c r="AD33" s="10" t="n">
        <v>2.664366341969456</v>
      </c>
      <c r="AE33" s="10" t="n">
        <v>2.717477745104737</v>
      </c>
      <c r="AF33" s="10" t="n">
        <v>2.768469274417295</v>
      </c>
      <c r="AG33" s="10" t="n">
        <v>3.250047862851758</v>
      </c>
      <c r="AH33" s="10" t="n">
        <v>3.273897855232998</v>
      </c>
      <c r="AI33" s="10" t="n">
        <v>3.296064420769621</v>
      </c>
      <c r="AJ33" s="10" t="n">
        <v>3.31660994126716</v>
      </c>
      <c r="AK33" s="10" t="n">
        <v>3.335598910573393</v>
      </c>
    </row>
    <row r="34">
      <c r="A34" s="9" t="n">
        <v>-91</v>
      </c>
      <c r="B34" s="7" t="n">
        <v>41059</v>
      </c>
      <c r="C34" s="10" t="n">
        <v>0.2428260305889566</v>
      </c>
      <c r="D34" s="10" t="n">
        <v>0.2749039761126826</v>
      </c>
      <c r="E34" s="10" t="n">
        <v>0.3380146283855987</v>
      </c>
      <c r="F34" s="10" t="n">
        <v>0.4210424338050722</v>
      </c>
      <c r="G34" s="10" t="n">
        <v>0.5168274503478926</v>
      </c>
      <c r="H34" s="10" t="n">
        <v>0.6205634001359411</v>
      </c>
      <c r="I34" s="10" t="n">
        <v>0.7289645526373842</v>
      </c>
      <c r="J34" s="10" t="n">
        <v>0.8397289887426104</v>
      </c>
      <c r="K34" s="10" t="n">
        <v>0.9511833972863478</v>
      </c>
      <c r="L34" s="10" t="n">
        <v>1.062066903930597</v>
      </c>
      <c r="M34" s="10" t="n">
        <v>1.171411784744677</v>
      </c>
      <c r="N34" s="10" t="n">
        <v>1.278454189415537</v>
      </c>
      <c r="O34" s="10" t="n">
        <v>1.38260260513395</v>
      </c>
      <c r="P34" s="10" t="n">
        <v>1.483429481029473</v>
      </c>
      <c r="Q34" s="10" t="n">
        <v>1.580659900383653</v>
      </c>
      <c r="R34" s="10" t="n">
        <v>1.674159898255314</v>
      </c>
      <c r="S34" s="10" t="n">
        <v>1.763915502484372</v>
      </c>
      <c r="T34" s="10" t="n">
        <v>1.850027318670413</v>
      </c>
      <c r="U34" s="10" t="n">
        <v>1.932642686560247</v>
      </c>
      <c r="V34" s="10" t="n">
        <v>2.011925064450069</v>
      </c>
      <c r="W34" s="10" t="n">
        <v>2.088050336827148</v>
      </c>
      <c r="X34" s="10" t="n">
        <v>2.161204329131603</v>
      </c>
      <c r="Y34" s="10" t="n">
        <v>2.231580814041585</v>
      </c>
      <c r="Z34" s="10" t="n">
        <v>2.299371887138553</v>
      </c>
      <c r="AA34" s="10" t="n">
        <v>2.364741485060415</v>
      </c>
      <c r="AB34" s="10" t="n">
        <v>2.427820640819051</v>
      </c>
      <c r="AC34" s="10" t="n">
        <v>2.488712807399276</v>
      </c>
      <c r="AD34" s="10" t="n">
        <v>2.547498306150308</v>
      </c>
      <c r="AE34" s="10" t="n">
        <v>2.604237457442117</v>
      </c>
      <c r="AF34" s="10" t="n">
        <v>2.658967493054225</v>
      </c>
      <c r="AG34" s="10" t="n">
        <v>3.18488371902354</v>
      </c>
      <c r="AH34" s="10" t="n">
        <v>3.211197225311393</v>
      </c>
      <c r="AI34" s="10" t="n">
        <v>3.235663864731746</v>
      </c>
      <c r="AJ34" s="10" t="n">
        <v>3.258348739221637</v>
      </c>
      <c r="AK34" s="10" t="n">
        <v>3.279320080271351</v>
      </c>
    </row>
    <row r="35">
      <c r="A35" s="9" t="n">
        <v>-90</v>
      </c>
      <c r="B35" s="7" t="n">
        <v>41060</v>
      </c>
      <c r="C35" s="10" t="n">
        <v>0.2248486790231611</v>
      </c>
      <c r="D35" s="10" t="n">
        <v>0.2563460542346417</v>
      </c>
      <c r="E35" s="10" t="n">
        <v>0.3166139971925499</v>
      </c>
      <c r="F35" s="10" t="n">
        <v>0.3950699726035889</v>
      </c>
      <c r="G35" s="10" t="n">
        <v>0.4851324883137259</v>
      </c>
      <c r="H35" s="10" t="n">
        <v>0.582485042651827</v>
      </c>
      <c r="I35" s="10" t="n">
        <v>0.6842353736844113</v>
      </c>
      <c r="J35" s="10" t="n">
        <v>0.7883911862092052</v>
      </c>
      <c r="K35" s="10" t="n">
        <v>0.8935205467644738</v>
      </c>
      <c r="L35" s="10" t="n">
        <v>0.9985484704355135</v>
      </c>
      <c r="M35" s="10" t="n">
        <v>1.102636895264565</v>
      </c>
      <c r="N35" s="10" t="n">
        <v>1.205105729916301</v>
      </c>
      <c r="O35" s="10" t="n">
        <v>1.305401354479095</v>
      </c>
      <c r="P35" s="10" t="n">
        <v>1.403095082314559</v>
      </c>
      <c r="Q35" s="10" t="n">
        <v>1.497879686118184</v>
      </c>
      <c r="R35" s="10" t="n">
        <v>1.589565692113591</v>
      </c>
      <c r="S35" s="10" t="n">
        <v>1.678066924289221</v>
      </c>
      <c r="T35" s="10" t="n">
        <v>1.763398018933688</v>
      </c>
      <c r="U35" s="10" t="n">
        <v>1.845622731717139</v>
      </c>
      <c r="V35" s="10" t="n">
        <v>1.924828620458669</v>
      </c>
      <c r="W35" s="10" t="n">
        <v>2.001121853453838</v>
      </c>
      <c r="X35" s="10" t="n">
        <v>2.074623487379384</v>
      </c>
      <c r="Y35" s="10" t="n">
        <v>2.145466538509682</v>
      </c>
      <c r="Z35" s="10" t="n">
        <v>2.213787466707777</v>
      </c>
      <c r="AA35" s="10" t="n">
        <v>2.279705126177643</v>
      </c>
      <c r="AB35" s="10" t="n">
        <v>2.343316567346633</v>
      </c>
      <c r="AC35" s="10" t="n">
        <v>2.404700553350312</v>
      </c>
      <c r="AD35" s="10" t="n">
        <v>2.463920509595654</v>
      </c>
      <c r="AE35" s="10" t="n">
        <v>2.521026488685754</v>
      </c>
      <c r="AF35" s="10" t="n">
        <v>2.57605182664319</v>
      </c>
      <c r="AG35" s="10" t="n">
        <v>3.102668163673461</v>
      </c>
      <c r="AH35" s="10" t="n">
        <v>3.129053521769964</v>
      </c>
      <c r="AI35" s="10" t="n">
        <v>3.153611605109813</v>
      </c>
      <c r="AJ35" s="10" t="n">
        <v>3.176406955709353</v>
      </c>
      <c r="AK35" s="10" t="n">
        <v>3.19750680188218</v>
      </c>
    </row>
    <row r="36">
      <c r="A36" s="9" t="n">
        <v>-89</v>
      </c>
      <c r="B36" s="7" t="n">
        <v>41061</v>
      </c>
      <c r="C36" s="10" t="n">
        <v>0.2443776661004726</v>
      </c>
      <c r="D36" s="10" t="n">
        <v>0.2773151474656941</v>
      </c>
      <c r="E36" s="10" t="n">
        <v>0.3361611393411701</v>
      </c>
      <c r="F36" s="10" t="n">
        <v>0.4112744727739497</v>
      </c>
      <c r="G36" s="10" t="n">
        <v>0.4967658457364892</v>
      </c>
      <c r="H36" s="10" t="n">
        <v>0.5888323859338354</v>
      </c>
      <c r="I36" s="10" t="n">
        <v>0.6849634594871364</v>
      </c>
      <c r="J36" s="10" t="n">
        <v>0.7834495371799206</v>
      </c>
      <c r="K36" s="10" t="n">
        <v>0.8830675465810366</v>
      </c>
      <c r="L36" s="10" t="n">
        <v>0.9828908193784984</v>
      </c>
      <c r="M36" s="10" t="n">
        <v>1.082172415888955</v>
      </c>
      <c r="N36" s="10" t="n">
        <v>1.180282447667953</v>
      </c>
      <c r="O36" s="10" t="n">
        <v>1.276679354394588</v>
      </c>
      <c r="P36" s="10" t="n">
        <v>1.370913949465206</v>
      </c>
      <c r="Q36" s="10" t="n">
        <v>1.462634681114086</v>
      </c>
      <c r="R36" s="10" t="n">
        <v>1.551592187407269</v>
      </c>
      <c r="S36" s="10" t="n">
        <v>1.637629509545767</v>
      </c>
      <c r="T36" s="10" t="n">
        <v>1.720680443716867</v>
      </c>
      <c r="U36" s="10" t="n">
        <v>1.800734611921418</v>
      </c>
      <c r="V36" s="10" t="n">
        <v>1.877817525212631</v>
      </c>
      <c r="W36" s="10" t="n">
        <v>1.951982999424398</v>
      </c>
      <c r="X36" s="10" t="n">
        <v>2.023307494215157</v>
      </c>
      <c r="Y36" s="10" t="n">
        <v>2.091885702196057</v>
      </c>
      <c r="Z36" s="10" t="n">
        <v>2.157822604205833</v>
      </c>
      <c r="AA36" s="10" t="n">
        <v>2.221217737946584</v>
      </c>
      <c r="AB36" s="10" t="n">
        <v>2.282161517557644</v>
      </c>
      <c r="AC36" s="10" t="n">
        <v>2.340736689333782</v>
      </c>
      <c r="AD36" s="10" t="n">
        <v>2.397019568474327</v>
      </c>
      <c r="AE36" s="10" t="n">
        <v>2.451080583437141</v>
      </c>
      <c r="AF36" s="10" t="n">
        <v>2.50297988765769</v>
      </c>
      <c r="AG36" s="10" t="n">
        <v>2.994927641579906</v>
      </c>
      <c r="AH36" s="10" t="n">
        <v>3.019714147093068</v>
      </c>
      <c r="AI36" s="10" t="n">
        <v>3.042844252029281</v>
      </c>
      <c r="AJ36" s="10" t="n">
        <v>3.064376489690582</v>
      </c>
      <c r="AK36" s="10" t="n">
        <v>3.08437105528958</v>
      </c>
    </row>
    <row r="37">
      <c r="A37" s="9" t="n">
        <v>-88</v>
      </c>
      <c r="B37" s="7" t="n">
        <v>41066</v>
      </c>
      <c r="C37" s="10" t="n">
        <v>0.2624235257426906</v>
      </c>
      <c r="D37" s="10" t="n">
        <v>0.3108558021548221</v>
      </c>
      <c r="E37" s="10" t="n">
        <v>0.3838005746477021</v>
      </c>
      <c r="F37" s="10" t="n">
        <v>0.4719005911650776</v>
      </c>
      <c r="G37" s="10" t="n">
        <v>0.5693955844874978</v>
      </c>
      <c r="H37" s="10" t="n">
        <v>0.6724989706577748</v>
      </c>
      <c r="I37" s="10" t="n">
        <v>0.7786691251439501</v>
      </c>
      <c r="J37" s="10" t="n">
        <v>0.8861539606502258</v>
      </c>
      <c r="K37" s="10" t="n">
        <v>0.9936971838240803</v>
      </c>
      <c r="L37" s="10" t="n">
        <v>1.100356139015446</v>
      </c>
      <c r="M37" s="10" t="n">
        <v>1.205390323210313</v>
      </c>
      <c r="N37" s="10" t="n">
        <v>1.30819883695792</v>
      </c>
      <c r="O37" s="10" t="n">
        <v>1.408291100636548</v>
      </c>
      <c r="P37" s="10" t="n">
        <v>1.505283770283018</v>
      </c>
      <c r="Q37" s="10" t="n">
        <v>1.59890064549804</v>
      </c>
      <c r="R37" s="10" t="n">
        <v>1.688972561799834</v>
      </c>
      <c r="S37" s="10" t="n">
        <v>1.775425914418636</v>
      </c>
      <c r="T37" s="10" t="n">
        <v>1.858279468611864</v>
      </c>
      <c r="U37" s="10" t="n">
        <v>1.937602865197971</v>
      </c>
      <c r="V37" s="10" t="n">
        <v>2.01349571703439</v>
      </c>
      <c r="W37" s="10" t="n">
        <v>2.086081233869974</v>
      </c>
      <c r="X37" s="10" t="n">
        <v>2.155501502966718</v>
      </c>
      <c r="Y37" s="10" t="n">
        <v>2.221913787038903</v>
      </c>
      <c r="Z37" s="10" t="n">
        <v>2.285482074448085</v>
      </c>
      <c r="AA37" s="10" t="n">
        <v>2.346358943090707</v>
      </c>
      <c r="AB37" s="10" t="n">
        <v>2.404681968565905</v>
      </c>
      <c r="AC37" s="10" t="n">
        <v>2.460576148791305</v>
      </c>
      <c r="AD37" s="10" t="n">
        <v>2.514155932661325</v>
      </c>
      <c r="AE37" s="10" t="n">
        <v>2.565526368546468</v>
      </c>
      <c r="AF37" s="10" t="n">
        <v>2.614778889854043</v>
      </c>
      <c r="AG37" s="10" t="n">
        <v>3.083896553646966</v>
      </c>
      <c r="AH37" s="10" t="n">
        <v>3.107934943030606</v>
      </c>
      <c r="AI37" s="10" t="n">
        <v>3.130432414565337</v>
      </c>
      <c r="AJ37" s="10" t="n">
        <v>3.151437677489048</v>
      </c>
      <c r="AK37" s="10" t="n">
        <v>3.171001277656718</v>
      </c>
    </row>
    <row r="38">
      <c r="A38" s="9" t="n">
        <v>-87</v>
      </c>
      <c r="B38" s="7" t="n">
        <v>41067</v>
      </c>
      <c r="C38" s="10" t="n">
        <v>0.2642621362813068</v>
      </c>
      <c r="D38" s="10" t="n">
        <v>0.3220748122495984</v>
      </c>
      <c r="E38" s="10" t="n">
        <v>0.404213085096114</v>
      </c>
      <c r="F38" s="10" t="n">
        <v>0.5006027818127228</v>
      </c>
      <c r="G38" s="10" t="n">
        <v>0.6052529922582792</v>
      </c>
      <c r="H38" s="10" t="n">
        <v>0.7143438612856535</v>
      </c>
      <c r="I38" s="10" t="n">
        <v>0.8253734784336992</v>
      </c>
      <c r="J38" s="10" t="n">
        <v>0.9366614628600367</v>
      </c>
      <c r="K38" s="10" t="n">
        <v>1.04704641624326</v>
      </c>
      <c r="L38" s="10" t="n">
        <v>1.155695017582928</v>
      </c>
      <c r="M38" s="10" t="n">
        <v>1.261979888692131</v>
      </c>
      <c r="N38" s="10" t="n">
        <v>1.365414637240446</v>
      </c>
      <c r="O38" s="10" t="n">
        <v>1.46561938241671</v>
      </c>
      <c r="P38" s="10" t="n">
        <v>1.562314248484735</v>
      </c>
      <c r="Q38" s="10" t="n">
        <v>1.655318981262782</v>
      </c>
      <c r="R38" s="10" t="n">
        <v>1.744550269060714</v>
      </c>
      <c r="S38" s="10" t="n">
        <v>1.830011440773955</v>
      </c>
      <c r="T38" s="10" t="n">
        <v>1.911789937088386</v>
      </c>
      <c r="U38" s="10" t="n">
        <v>1.990013750302369</v>
      </c>
      <c r="V38" s="10" t="n">
        <v>2.064831693329989</v>
      </c>
      <c r="W38" s="10" t="n">
        <v>2.136408921551285</v>
      </c>
      <c r="X38" s="10" t="n">
        <v>2.204923664319055</v>
      </c>
      <c r="Y38" s="10" t="n">
        <v>2.270564625118227</v>
      </c>
      <c r="Z38" s="10" t="n">
        <v>2.333522525366272</v>
      </c>
      <c r="AA38" s="10" t="n">
        <v>2.393970422886185</v>
      </c>
      <c r="AB38" s="10" t="n">
        <v>2.452060494669965</v>
      </c>
      <c r="AC38" s="10" t="n">
        <v>2.507927434223025</v>
      </c>
      <c r="AD38" s="10" t="n">
        <v>2.561691271481384</v>
      </c>
      <c r="AE38" s="10" t="n">
        <v>2.613459082249863</v>
      </c>
      <c r="AF38" s="10" t="n">
        <v>2.663320492332419</v>
      </c>
      <c r="AG38" s="10" t="n">
        <v>3.154445278829432</v>
      </c>
      <c r="AH38" s="10" t="n">
        <v>3.180733240443842</v>
      </c>
      <c r="AI38" s="10" t="n">
        <v>3.205482345097797</v>
      </c>
      <c r="AJ38" s="10" t="n">
        <v>3.228727597289077</v>
      </c>
      <c r="AK38" s="10" t="n">
        <v>3.250506905020445</v>
      </c>
    </row>
    <row r="39">
      <c r="A39" s="9" t="n">
        <v>-86</v>
      </c>
      <c r="B39" s="7" t="n">
        <v>41068</v>
      </c>
      <c r="C39" s="10" t="n">
        <v>0.2337772236247516</v>
      </c>
      <c r="D39" s="10" t="n">
        <v>0.2837641231185714</v>
      </c>
      <c r="E39" s="10" t="n">
        <v>0.3599730301832563</v>
      </c>
      <c r="F39" s="10" t="n">
        <v>0.4514057445843013</v>
      </c>
      <c r="G39" s="10" t="n">
        <v>0.5515456823247027</v>
      </c>
      <c r="H39" s="10" t="n">
        <v>0.6563032099111827</v>
      </c>
      <c r="I39" s="10" t="n">
        <v>0.7630632363501427</v>
      </c>
      <c r="J39" s="10" t="n">
        <v>0.8701250956438493</v>
      </c>
      <c r="K39" s="10" t="n">
        <v>0.9763668646341658</v>
      </c>
      <c r="L39" s="10" t="n">
        <v>1.081022936925809</v>
      </c>
      <c r="M39" s="10" t="n">
        <v>1.183532189200848</v>
      </c>
      <c r="N39" s="10" t="n">
        <v>1.283466662352835</v>
      </c>
      <c r="O39" s="10" t="n">
        <v>1.380486773348568</v>
      </c>
      <c r="P39" s="10" t="n">
        <v>1.474333174166739</v>
      </c>
      <c r="Q39" s="10" t="n">
        <v>1.564832235448081</v>
      </c>
      <c r="R39" s="10" t="n">
        <v>1.651893422776657</v>
      </c>
      <c r="S39" s="10" t="n">
        <v>1.735505940505686</v>
      </c>
      <c r="T39" s="10" t="n">
        <v>1.815735554563102</v>
      </c>
      <c r="U39" s="10" t="n">
        <v>1.892688021674076</v>
      </c>
      <c r="V39" s="10" t="n">
        <v>1.966492698567645</v>
      </c>
      <c r="W39" s="10" t="n">
        <v>2.037297535551696</v>
      </c>
      <c r="X39" s="10" t="n">
        <v>2.1052653577972</v>
      </c>
      <c r="Y39" s="10" t="n">
        <v>2.170570913390451</v>
      </c>
      <c r="Z39" s="10" t="n">
        <v>2.233392327518792</v>
      </c>
      <c r="AA39" s="10" t="n">
        <v>2.293892409611587</v>
      </c>
      <c r="AB39" s="10" t="n">
        <v>2.352215649552304</v>
      </c>
      <c r="AC39" s="10" t="n">
        <v>2.40849120299309</v>
      </c>
      <c r="AD39" s="10" t="n">
        <v>2.462835364617892</v>
      </c>
      <c r="AE39" s="10" t="n">
        <v>2.515352852691362</v>
      </c>
      <c r="AF39" s="10" t="n">
        <v>2.566130891309134</v>
      </c>
      <c r="AG39" s="10" t="n">
        <v>3.080899856492836</v>
      </c>
      <c r="AH39" s="10" t="n">
        <v>3.109449511376359</v>
      </c>
      <c r="AI39" s="10" t="n">
        <v>3.136439559798096</v>
      </c>
      <c r="AJ39" s="10" t="n">
        <v>3.161888196230315</v>
      </c>
      <c r="AK39" s="10" t="n">
        <v>3.185818209471143</v>
      </c>
    </row>
    <row r="40">
      <c r="A40" s="9" t="n">
        <v>-85</v>
      </c>
      <c r="B40" s="7" t="n">
        <v>41071</v>
      </c>
      <c r="C40" s="10" t="n">
        <v>0.2538171650632231</v>
      </c>
      <c r="D40" s="10" t="n">
        <v>0.3063365305555967</v>
      </c>
      <c r="E40" s="10" t="n">
        <v>0.385215102904951</v>
      </c>
      <c r="F40" s="10" t="n">
        <v>0.4792080368441166</v>
      </c>
      <c r="G40" s="10" t="n">
        <v>0.5815864640153862</v>
      </c>
      <c r="H40" s="10" t="n">
        <v>0.6881198327877471</v>
      </c>
      <c r="I40" s="10" t="n">
        <v>0.7961328632149567</v>
      </c>
      <c r="J40" s="10" t="n">
        <v>0.9039229877938223</v>
      </c>
      <c r="K40" s="10" t="n">
        <v>1.01040707060921</v>
      </c>
      <c r="L40" s="10" t="n">
        <v>1.114879455180643</v>
      </c>
      <c r="M40" s="10" t="n">
        <v>1.216849448157394</v>
      </c>
      <c r="N40" s="10" t="n">
        <v>1.315966753016922</v>
      </c>
      <c r="O40" s="10" t="n">
        <v>1.411972036207915</v>
      </c>
      <c r="P40" s="10" t="n">
        <v>1.504683796366768</v>
      </c>
      <c r="Q40" s="10" t="n">
        <v>1.594000049380227</v>
      </c>
      <c r="R40" s="10" t="n">
        <v>1.679890969185563</v>
      </c>
      <c r="S40" s="10" t="n">
        <v>1.762394950827297</v>
      </c>
      <c r="T40" s="10" t="n">
        <v>1.841615122970129</v>
      </c>
      <c r="U40" s="10" t="n">
        <v>1.917685430173199</v>
      </c>
      <c r="V40" s="10" t="n">
        <v>1.990756590362052</v>
      </c>
      <c r="W40" s="10" t="n">
        <v>2.060992517583049</v>
      </c>
      <c r="X40" s="10" t="n">
        <v>2.128567682779211</v>
      </c>
      <c r="Y40" s="10" t="n">
        <v>2.193664983555502</v>
      </c>
      <c r="Z40" s="10" t="n">
        <v>2.256467451916537</v>
      </c>
      <c r="AA40" s="10" t="n">
        <v>2.317139257498265</v>
      </c>
      <c r="AB40" s="10" t="n">
        <v>2.375823114706408</v>
      </c>
      <c r="AC40" s="10" t="n">
        <v>2.432643790450981</v>
      </c>
      <c r="AD40" s="10" t="n">
        <v>2.487710998903661</v>
      </c>
      <c r="AE40" s="10" t="n">
        <v>2.541120916977621</v>
      </c>
      <c r="AF40" s="10" t="n">
        <v>2.592949522965144</v>
      </c>
      <c r="AG40" s="10" t="n">
        <v>3.128657391651579</v>
      </c>
      <c r="AH40" s="10" t="n">
        <v>3.158900962201884</v>
      </c>
      <c r="AI40" s="10" t="n">
        <v>3.187550385780773</v>
      </c>
      <c r="AJ40" s="10" t="n">
        <v>3.214618881605613</v>
      </c>
      <c r="AK40" s="10" t="n">
        <v>3.240125033553215</v>
      </c>
    </row>
    <row r="41">
      <c r="A41" s="9" t="n">
        <v>-84</v>
      </c>
      <c r="B41" s="7" t="n">
        <v>41072</v>
      </c>
      <c r="C41" s="10" t="n">
        <v>0.2729247654043885</v>
      </c>
      <c r="D41" s="10" t="n">
        <v>0.3318453722581318</v>
      </c>
      <c r="E41" s="10" t="n">
        <v>0.4166818745367243</v>
      </c>
      <c r="F41" s="10" t="n">
        <v>0.5160751227394644</v>
      </c>
      <c r="G41" s="10" t="n">
        <v>0.6232452696374395</v>
      </c>
      <c r="H41" s="10" t="n">
        <v>0.7339291997293791</v>
      </c>
      <c r="I41" s="10" t="n">
        <v>0.8454229520574984</v>
      </c>
      <c r="J41" s="10" t="n">
        <v>0.955997629586221</v>
      </c>
      <c r="K41" s="10" t="n">
        <v>1.064548978968984</v>
      </c>
      <c r="L41" s="10" t="n">
        <v>1.170361833957351</v>
      </c>
      <c r="M41" s="10" t="n">
        <v>1.272961085029144</v>
      </c>
      <c r="N41" s="10" t="n">
        <v>1.372036406027344</v>
      </c>
      <c r="O41" s="10" t="n">
        <v>1.467396054656799</v>
      </c>
      <c r="P41" s="10" t="n">
        <v>1.558944886619479</v>
      </c>
      <c r="Q41" s="10" t="n">
        <v>1.64667697176776</v>
      </c>
      <c r="R41" s="10" t="n">
        <v>1.730658063810107</v>
      </c>
      <c r="S41" s="10" t="n">
        <v>1.811015474248893</v>
      </c>
      <c r="T41" s="10" t="n">
        <v>1.887932432628095</v>
      </c>
      <c r="U41" s="10" t="n">
        <v>1.961612048396585</v>
      </c>
      <c r="V41" s="10" t="n">
        <v>2.032264396860873</v>
      </c>
      <c r="W41" s="10" t="n">
        <v>2.100104974251788</v>
      </c>
      <c r="X41" s="10" t="n">
        <v>2.165353613539625</v>
      </c>
      <c r="Y41" s="10" t="n">
        <v>2.228233533362542</v>
      </c>
      <c r="Z41" s="10" t="n">
        <v>2.288963066322826</v>
      </c>
      <c r="AA41" s="10" t="n">
        <v>2.347735255807419</v>
      </c>
      <c r="AB41" s="10" t="n">
        <v>2.404715744868877</v>
      </c>
      <c r="AC41" s="10" t="n">
        <v>2.460047269920584</v>
      </c>
      <c r="AD41" s="10" t="n">
        <v>2.513853355355938</v>
      </c>
      <c r="AE41" s="10" t="n">
        <v>2.566240372407076</v>
      </c>
      <c r="AF41" s="10" t="n">
        <v>2.617290470678352</v>
      </c>
      <c r="AG41" s="10" t="n">
        <v>3.162180103980748</v>
      </c>
      <c r="AH41" s="10" t="n">
        <v>3.194131038273404</v>
      </c>
      <c r="AI41" s="10" t="n">
        <v>3.22454668037672</v>
      </c>
      <c r="AJ41" s="10" t="n">
        <v>3.253423568531872</v>
      </c>
      <c r="AK41" s="10" t="n">
        <v>3.280764450137395</v>
      </c>
    </row>
    <row r="42">
      <c r="A42" s="9" t="n">
        <v>-83</v>
      </c>
      <c r="B42" s="7" t="n">
        <v>41073</v>
      </c>
      <c r="C42" s="10" t="n">
        <v>0.2767816761256903</v>
      </c>
      <c r="D42" s="10" t="n">
        <v>0.3377336821293498</v>
      </c>
      <c r="E42" s="10" t="n">
        <v>0.4258629094731665</v>
      </c>
      <c r="F42" s="10" t="n">
        <v>0.5294530572611964</v>
      </c>
      <c r="G42" s="10" t="n">
        <v>0.6413970555574081</v>
      </c>
      <c r="H42" s="10" t="n">
        <v>0.7571520816466929</v>
      </c>
      <c r="I42" s="10" t="n">
        <v>0.8737817068305145</v>
      </c>
      <c r="J42" s="10" t="n">
        <v>0.9893733970181497</v>
      </c>
      <c r="K42" s="10" t="n">
        <v>1.10268085322479</v>
      </c>
      <c r="L42" s="10" t="n">
        <v>1.212885528089633</v>
      </c>
      <c r="M42" s="10" t="n">
        <v>1.319449692372247</v>
      </c>
      <c r="N42" s="10" t="n">
        <v>1.422032680275991</v>
      </c>
      <c r="O42" s="10" t="n">
        <v>1.520445154114158</v>
      </c>
      <c r="P42" s="10" t="n">
        <v>1.614618210290595</v>
      </c>
      <c r="Q42" s="10" t="n">
        <v>1.704588519212815</v>
      </c>
      <c r="R42" s="10" t="n">
        <v>1.790474159626974</v>
      </c>
      <c r="S42" s="10" t="n">
        <v>1.872459397170806</v>
      </c>
      <c r="T42" s="10" t="n">
        <v>1.950788434340213</v>
      </c>
      <c r="U42" s="10" t="n">
        <v>2.025717218983896</v>
      </c>
      <c r="V42" s="10" t="n">
        <v>2.097498278651419</v>
      </c>
      <c r="W42" s="10" t="n">
        <v>2.166381300060326</v>
      </c>
      <c r="X42" s="10" t="n">
        <v>2.232613697262543</v>
      </c>
      <c r="Y42" s="10" t="n">
        <v>2.296440913067839</v>
      </c>
      <c r="Z42" s="10" t="n">
        <v>2.358098186431681</v>
      </c>
      <c r="AA42" s="10" t="n">
        <v>2.417788746360565</v>
      </c>
      <c r="AB42" s="10" t="n">
        <v>2.475682235305564</v>
      </c>
      <c r="AC42" s="10" t="n">
        <v>2.53192022944332</v>
      </c>
      <c r="AD42" s="10" t="n">
        <v>2.586620765494413</v>
      </c>
      <c r="AE42" s="10" t="n">
        <v>2.639881254925667</v>
      </c>
      <c r="AF42" s="10" t="n">
        <v>2.691773901133317</v>
      </c>
      <c r="AG42" s="10" t="n">
        <v>3.242628225073552</v>
      </c>
      <c r="AH42" s="10" t="n">
        <v>3.274677654585754</v>
      </c>
      <c r="AI42" s="10" t="n">
        <v>3.305165344760725</v>
      </c>
      <c r="AJ42" s="10" t="n">
        <v>3.334094817473112</v>
      </c>
      <c r="AK42" s="10" t="n">
        <v>3.36147534970737</v>
      </c>
    </row>
    <row r="43">
      <c r="A43" s="9" t="n">
        <v>-82</v>
      </c>
      <c r="B43" s="7" t="n">
        <v>41074</v>
      </c>
      <c r="C43" s="10" t="n">
        <v>0.2831367291632911</v>
      </c>
      <c r="D43" s="10" t="n">
        <v>0.3446350769202533</v>
      </c>
      <c r="E43" s="10" t="n">
        <v>0.4326929455852264</v>
      </c>
      <c r="F43" s="10" t="n">
        <v>0.5357199183889051</v>
      </c>
      <c r="G43" s="10" t="n">
        <v>0.6466769006798258</v>
      </c>
      <c r="H43" s="10" t="n">
        <v>0.7610709855940911</v>
      </c>
      <c r="I43" s="10" t="n">
        <v>0.8760201604289423</v>
      </c>
      <c r="J43" s="10" t="n">
        <v>0.9896814230043577</v>
      </c>
      <c r="K43" s="10" t="n">
        <v>1.100886849710108</v>
      </c>
      <c r="L43" s="10" t="n">
        <v>1.208905561015438</v>
      </c>
      <c r="M43" s="10" t="n">
        <v>1.313296361465836</v>
      </c>
      <c r="N43" s="10" t="n">
        <v>1.413817331095601</v>
      </c>
      <c r="O43" s="10" t="n">
        <v>1.510378523674401</v>
      </c>
      <c r="P43" s="10" t="n">
        <v>1.60300660665564</v>
      </c>
      <c r="Q43" s="10" t="n">
        <v>1.691820394245373</v>
      </c>
      <c r="R43" s="10" t="n">
        <v>1.776999125765925</v>
      </c>
      <c r="S43" s="10" t="n">
        <v>1.858762010621215</v>
      </c>
      <c r="T43" s="10" t="n">
        <v>1.937362265641106</v>
      </c>
      <c r="U43" s="10" t="n">
        <v>2.01304577252861</v>
      </c>
      <c r="V43" s="10" t="n">
        <v>2.086040571620176</v>
      </c>
      <c r="W43" s="10" t="n">
        <v>2.156560455340346</v>
      </c>
      <c r="X43" s="10" t="n">
        <v>2.224807817784138</v>
      </c>
      <c r="Y43" s="10" t="n">
        <v>2.290975725797883</v>
      </c>
      <c r="Z43" s="10" t="n">
        <v>2.35524220243766</v>
      </c>
      <c r="AA43" s="10" t="n">
        <v>2.417752711831621</v>
      </c>
      <c r="AB43" s="10" t="n">
        <v>2.478619783491012</v>
      </c>
      <c r="AC43" s="10" t="n">
        <v>2.537928438160737</v>
      </c>
      <c r="AD43" s="10" t="n">
        <v>2.59574062471695</v>
      </c>
      <c r="AE43" s="10" t="n">
        <v>2.652098240261192</v>
      </c>
      <c r="AF43" s="10" t="n">
        <v>2.707020358404793</v>
      </c>
      <c r="AG43" s="10" t="n">
        <v>3.277499737668155</v>
      </c>
      <c r="AH43" s="10" t="n">
        <v>3.309349793874893</v>
      </c>
      <c r="AI43" s="10" t="n">
        <v>3.339458579503161</v>
      </c>
      <c r="AJ43" s="10" t="n">
        <v>3.367851449375055</v>
      </c>
      <c r="AK43" s="10" t="n">
        <v>3.394558884096563</v>
      </c>
    </row>
    <row r="44">
      <c r="A44" s="9" t="n">
        <v>-81</v>
      </c>
      <c r="B44" s="7" t="n">
        <v>41075</v>
      </c>
      <c r="C44" s="10" t="n">
        <v>0.2164680970148307</v>
      </c>
      <c r="D44" s="10" t="n">
        <v>0.2670314346518177</v>
      </c>
      <c r="E44" s="10" t="n">
        <v>0.3483089734761051</v>
      </c>
      <c r="F44" s="10" t="n">
        <v>0.447909756561475</v>
      </c>
      <c r="G44" s="10" t="n">
        <v>0.5580038286053723</v>
      </c>
      <c r="H44" s="10" t="n">
        <v>0.6734278284930718</v>
      </c>
      <c r="I44" s="10" t="n">
        <v>0.7907380346819424</v>
      </c>
      <c r="J44" s="10" t="n">
        <v>0.9076247448855685</v>
      </c>
      <c r="K44" s="10" t="n">
        <v>1.022517253614616</v>
      </c>
      <c r="L44" s="10" t="n">
        <v>1.13435144742303</v>
      </c>
      <c r="M44" s="10" t="n">
        <v>1.242429094787512</v>
      </c>
      <c r="N44" s="10" t="n">
        <v>1.34630952493751</v>
      </c>
      <c r="O44" s="10" t="n">
        <v>1.445766126534848</v>
      </c>
      <c r="P44" s="10" t="n">
        <v>1.540743749492789</v>
      </c>
      <c r="Q44" s="10" t="n">
        <v>1.63132115215014</v>
      </c>
      <c r="R44" s="10" t="n">
        <v>1.717670747080778</v>
      </c>
      <c r="S44" s="10" t="n">
        <v>1.800029332456096</v>
      </c>
      <c r="T44" s="10" t="n">
        <v>1.878686369214386</v>
      </c>
      <c r="U44" s="10" t="n">
        <v>1.95393422280001</v>
      </c>
      <c r="V44" s="10" t="n">
        <v>2.026054423027267</v>
      </c>
      <c r="W44" s="10" t="n">
        <v>2.095319801033238</v>
      </c>
      <c r="X44" s="10" t="n">
        <v>2.161996229013234</v>
      </c>
      <c r="Y44" s="10" t="n">
        <v>2.226343791400968</v>
      </c>
      <c r="Z44" s="10" t="n">
        <v>2.288608413994505</v>
      </c>
      <c r="AA44" s="10" t="n">
        <v>2.348999711923539</v>
      </c>
      <c r="AB44" s="10" t="n">
        <v>2.40769020990617</v>
      </c>
      <c r="AC44" s="10" t="n">
        <v>2.464821456905145</v>
      </c>
      <c r="AD44" s="10" t="n">
        <v>2.520509022215113</v>
      </c>
      <c r="AE44" s="10" t="n">
        <v>2.574845633577739</v>
      </c>
      <c r="AF44" s="10" t="n">
        <v>2.627895907078195</v>
      </c>
      <c r="AG44" s="10" t="n">
        <v>3.195838663706787</v>
      </c>
      <c r="AH44" s="10" t="n">
        <v>3.229009385502807</v>
      </c>
      <c r="AI44" s="10" t="n">
        <v>3.260559612006397</v>
      </c>
      <c r="AJ44" s="10" t="n">
        <v>3.290490122070817</v>
      </c>
      <c r="AK44" s="10" t="n">
        <v>3.318808185687183</v>
      </c>
    </row>
    <row r="45">
      <c r="A45" s="9" t="n">
        <v>-80</v>
      </c>
      <c r="B45" s="7" t="n">
        <v>41078</v>
      </c>
      <c r="C45" s="10" t="n">
        <v>0.2267589744719896</v>
      </c>
      <c r="D45" s="10" t="n">
        <v>0.2708515940789883</v>
      </c>
      <c r="E45" s="10" t="n">
        <v>0.3455724203203864</v>
      </c>
      <c r="F45" s="10" t="n">
        <v>0.439525677426554</v>
      </c>
      <c r="G45" s="10" t="n">
        <v>0.5452137113723554</v>
      </c>
      <c r="H45" s="10" t="n">
        <v>0.6575181540472256</v>
      </c>
      <c r="I45" s="10" t="n">
        <v>0.7729065803583494</v>
      </c>
      <c r="J45" s="10" t="n">
        <v>0.888915833112484</v>
      </c>
      <c r="K45" s="10" t="n">
        <v>1.003794352774765</v>
      </c>
      <c r="L45" s="10" t="n">
        <v>1.116289359254329</v>
      </c>
      <c r="M45" s="10" t="n">
        <v>1.225518780462942</v>
      </c>
      <c r="N45" s="10" t="n">
        <v>1.330868069121207</v>
      </c>
      <c r="O45" s="10" t="n">
        <v>1.431952346868363</v>
      </c>
      <c r="P45" s="10" t="n">
        <v>1.528578788225341</v>
      </c>
      <c r="Q45" s="10" t="n">
        <v>1.620710960953989</v>
      </c>
      <c r="R45" s="10" t="n">
        <v>1.708431276031464</v>
      </c>
      <c r="S45" s="10" t="n">
        <v>1.791910916784495</v>
      </c>
      <c r="T45" s="10" t="n">
        <v>1.871396019375878</v>
      </c>
      <c r="U45" s="10" t="n">
        <v>1.947153596661019</v>
      </c>
      <c r="V45" s="10" t="n">
        <v>2.019454142119656</v>
      </c>
      <c r="W45" s="10" t="n">
        <v>2.088570790711963</v>
      </c>
      <c r="X45" s="10" t="n">
        <v>2.154778790582462</v>
      </c>
      <c r="Y45" s="10" t="n">
        <v>2.218354917054778</v>
      </c>
      <c r="Z45" s="10" t="n">
        <v>2.279567317257591</v>
      </c>
      <c r="AA45" s="10" t="n">
        <v>2.338651567392712</v>
      </c>
      <c r="AB45" s="10" t="n">
        <v>2.395809112380102</v>
      </c>
      <c r="AC45" s="10" t="n">
        <v>2.451212888402329</v>
      </c>
      <c r="AD45" s="10" t="n">
        <v>2.505011921083969</v>
      </c>
      <c r="AE45" s="10" t="n">
        <v>2.557334062936615</v>
      </c>
      <c r="AF45" s="10" t="n">
        <v>2.608279883290926</v>
      </c>
      <c r="AG45" s="10" t="n">
        <v>3.15297037559099</v>
      </c>
      <c r="AH45" s="10" t="n">
        <v>3.185125891203385</v>
      </c>
      <c r="AI45" s="10" t="n">
        <v>3.215776650973082</v>
      </c>
      <c r="AJ45" s="10" t="n">
        <v>3.244917365819119</v>
      </c>
      <c r="AK45" s="10" t="n">
        <v>3.272548919934372</v>
      </c>
    </row>
    <row r="46">
      <c r="A46" s="9" t="n">
        <v>-79</v>
      </c>
      <c r="B46" s="7" t="n">
        <v>41079</v>
      </c>
      <c r="C46" s="10" t="n">
        <v>0.2205736463342061</v>
      </c>
      <c r="D46" s="10" t="n">
        <v>0.26370936264834</v>
      </c>
      <c r="E46" s="10" t="n">
        <v>0.3392396194884983</v>
      </c>
      <c r="F46" s="10" t="n">
        <v>0.4355581278732761</v>
      </c>
      <c r="G46" s="10" t="n">
        <v>0.5448715976876959</v>
      </c>
      <c r="H46" s="10" t="n">
        <v>0.6617648802435835</v>
      </c>
      <c r="I46" s="10" t="n">
        <v>0.7824349968604274</v>
      </c>
      <c r="J46" s="10" t="n">
        <v>0.9041725667538287</v>
      </c>
      <c r="K46" s="10" t="n">
        <v>1.024996555517698</v>
      </c>
      <c r="L46" s="10" t="n">
        <v>1.143444122738715</v>
      </c>
      <c r="M46" s="10" t="n">
        <v>1.258452782540024</v>
      </c>
      <c r="N46" s="10" t="n">
        <v>1.369257614805457</v>
      </c>
      <c r="O46" s="10" t="n">
        <v>1.475358718968273</v>
      </c>
      <c r="P46" s="10" t="n">
        <v>1.576483672275755</v>
      </c>
      <c r="Q46" s="10" t="n">
        <v>1.672548090413958</v>
      </c>
      <c r="R46" s="10" t="n">
        <v>1.763617544803914</v>
      </c>
      <c r="S46" s="10" t="n">
        <v>1.849874595813908</v>
      </c>
      <c r="T46" s="10" t="n">
        <v>1.931602480718348</v>
      </c>
      <c r="U46" s="10" t="n">
        <v>2.009114322658866</v>
      </c>
      <c r="V46" s="10" t="n">
        <v>2.082730225176357</v>
      </c>
      <c r="W46" s="10" t="n">
        <v>2.152775677695012</v>
      </c>
      <c r="X46" s="10" t="n">
        <v>2.219580478345661</v>
      </c>
      <c r="Y46" s="10" t="n">
        <v>2.283477671255635</v>
      </c>
      <c r="Z46" s="10" t="n">
        <v>2.344790427979586</v>
      </c>
      <c r="AA46" s="10" t="n">
        <v>2.40380190052496</v>
      </c>
      <c r="AB46" s="10" t="n">
        <v>2.460753251100287</v>
      </c>
      <c r="AC46" s="10" t="n">
        <v>2.515850571699561</v>
      </c>
      <c r="AD46" s="10" t="n">
        <v>2.569270540580959</v>
      </c>
      <c r="AE46" s="10" t="n">
        <v>2.621163806270855</v>
      </c>
      <c r="AF46" s="10" t="n">
        <v>2.671647796975551</v>
      </c>
      <c r="AG46" s="10" t="n">
        <v>3.208995655517917</v>
      </c>
      <c r="AH46" s="10" t="n">
        <v>3.240504729606232</v>
      </c>
      <c r="AI46" s="10" t="n">
        <v>3.270505941073521</v>
      </c>
      <c r="AJ46" s="10" t="n">
        <v>3.298997698781184</v>
      </c>
      <c r="AK46" s="10" t="n">
        <v>3.325984656178416</v>
      </c>
    </row>
    <row r="47">
      <c r="A47" s="9" t="n">
        <v>-78</v>
      </c>
      <c r="B47" s="7" t="n">
        <v>41080</v>
      </c>
      <c r="C47" s="10" t="n">
        <v>0.2791994432242629</v>
      </c>
      <c r="D47" s="10" t="n">
        <v>0.3283283907576614</v>
      </c>
      <c r="E47" s="10" t="n">
        <v>0.4058716805824144</v>
      </c>
      <c r="F47" s="10" t="n">
        <v>0.501994825871075</v>
      </c>
      <c r="G47" s="10" t="n">
        <v>0.6099606765414295</v>
      </c>
      <c r="H47" s="10" t="n">
        <v>0.7249784584002862</v>
      </c>
      <c r="I47" s="10" t="n">
        <v>0.8436169019593571</v>
      </c>
      <c r="J47" s="10" t="n">
        <v>0.9633866151095604</v>
      </c>
      <c r="K47" s="10" t="n">
        <v>1.082433801861761</v>
      </c>
      <c r="L47" s="10" t="n">
        <v>1.199358309136494</v>
      </c>
      <c r="M47" s="10" t="n">
        <v>1.313113124887714</v>
      </c>
      <c r="N47" s="10" t="n">
        <v>1.422917146723985</v>
      </c>
      <c r="O47" s="10" t="n">
        <v>1.528230912071571</v>
      </c>
      <c r="P47" s="10" t="n">
        <v>1.628727878421028</v>
      </c>
      <c r="Q47" s="10" t="n">
        <v>1.72426122551668</v>
      </c>
      <c r="R47" s="10" t="n">
        <v>1.814834239491073</v>
      </c>
      <c r="S47" s="10" t="n">
        <v>1.900571302466218</v>
      </c>
      <c r="T47" s="10" t="n">
        <v>1.981702279346522</v>
      </c>
      <c r="U47" s="10" t="n">
        <v>2.05849752328528</v>
      </c>
      <c r="V47" s="10" t="n">
        <v>2.131245035579129</v>
      </c>
      <c r="W47" s="10" t="n">
        <v>2.200246673303926</v>
      </c>
      <c r="X47" s="10" t="n">
        <v>2.265815378158906</v>
      </c>
      <c r="Y47" s="10" t="n">
        <v>2.328272817595037</v>
      </c>
      <c r="Z47" s="10" t="n">
        <v>2.38793594719694</v>
      </c>
      <c r="AA47" s="10" t="n">
        <v>2.44508808885963</v>
      </c>
      <c r="AB47" s="10" t="n">
        <v>2.499976562835474</v>
      </c>
      <c r="AC47" s="10" t="n">
        <v>2.552818618119512</v>
      </c>
      <c r="AD47" s="10" t="n">
        <v>2.603806282640519</v>
      </c>
      <c r="AE47" s="10" t="n">
        <v>2.65310900695438</v>
      </c>
      <c r="AF47" s="10" t="n">
        <v>2.700865350713986</v>
      </c>
      <c r="AG47" s="10" t="n">
        <v>3.199905116535416</v>
      </c>
      <c r="AH47" s="10" t="n">
        <v>3.22881404058696</v>
      </c>
      <c r="AI47" s="10" t="n">
        <v>3.256314056448634</v>
      </c>
      <c r="AJ47" s="10" t="n">
        <v>3.282408221777399</v>
      </c>
      <c r="AK47" s="10" t="n">
        <v>3.307104812302605</v>
      </c>
    </row>
    <row r="48">
      <c r="A48" s="9" t="n">
        <v>-77</v>
      </c>
      <c r="B48" s="7" t="n">
        <v>41081</v>
      </c>
      <c r="C48" s="10" t="n">
        <v>0.2614016006794277</v>
      </c>
      <c r="D48" s="10" t="n">
        <v>0.3056779207887051</v>
      </c>
      <c r="E48" s="10" t="n">
        <v>0.378519266547006</v>
      </c>
      <c r="F48" s="10" t="n">
        <v>0.4699527553706151</v>
      </c>
      <c r="G48" s="10" t="n">
        <v>0.57320740194015</v>
      </c>
      <c r="H48" s="10" t="n">
        <v>0.6835193012734231</v>
      </c>
      <c r="I48" s="10" t="n">
        <v>0.7975179925945902</v>
      </c>
      <c r="J48" s="10" t="n">
        <v>0.9127932995058919</v>
      </c>
      <c r="K48" s="10" t="n">
        <v>1.027581201097183</v>
      </c>
      <c r="L48" s="10" t="n">
        <v>1.140566986689075</v>
      </c>
      <c r="M48" s="10" t="n">
        <v>1.250768020814896</v>
      </c>
      <c r="N48" s="10" t="n">
        <v>1.357445438660826</v>
      </c>
      <c r="O48" s="10" t="n">
        <v>1.460074868628989</v>
      </c>
      <c r="P48" s="10" t="n">
        <v>1.55832385234056</v>
      </c>
      <c r="Q48" s="10" t="n">
        <v>1.652024020960934</v>
      </c>
      <c r="R48" s="10" t="n">
        <v>1.741147233422815</v>
      </c>
      <c r="S48" s="10" t="n">
        <v>1.825779723972862</v>
      </c>
      <c r="T48" s="10" t="n">
        <v>1.906108621486184</v>
      </c>
      <c r="U48" s="10" t="n">
        <v>1.98236199321302</v>
      </c>
      <c r="V48" s="10" t="n">
        <v>2.054787288428998</v>
      </c>
      <c r="W48" s="10" t="n">
        <v>2.12364720004834</v>
      </c>
      <c r="X48" s="10" t="n">
        <v>2.189216615896134</v>
      </c>
      <c r="Y48" s="10" t="n">
        <v>2.251780058998662</v>
      </c>
      <c r="Z48" s="10" t="n">
        <v>2.311619038287233</v>
      </c>
      <c r="AA48" s="10" t="n">
        <v>2.36898557056696</v>
      </c>
      <c r="AB48" s="10" t="n">
        <v>2.424099947943752</v>
      </c>
      <c r="AC48" s="10" t="n">
        <v>2.477155964921784</v>
      </c>
      <c r="AD48" s="10" t="n">
        <v>2.528325192194791</v>
      </c>
      <c r="AE48" s="10" t="n">
        <v>2.577759238429166</v>
      </c>
      <c r="AF48" s="10" t="n">
        <v>2.625581989909477</v>
      </c>
      <c r="AG48" s="10" t="n">
        <v>3.118100874183252</v>
      </c>
      <c r="AH48" s="10" t="n">
        <v>3.146079379158137</v>
      </c>
      <c r="AI48" s="10" t="n">
        <v>3.172623478325036</v>
      </c>
      <c r="AJ48" s="10" t="n">
        <v>3.197743014953919</v>
      </c>
      <c r="AK48" s="10" t="n">
        <v>3.221452243063418</v>
      </c>
    </row>
    <row r="49">
      <c r="A49" s="9" t="n">
        <v>-76</v>
      </c>
      <c r="B49" s="7" t="n">
        <v>41082</v>
      </c>
      <c r="C49" s="10" t="n">
        <v>0.2884978444789816</v>
      </c>
      <c r="D49" s="10" t="n">
        <v>0.3367825855611233</v>
      </c>
      <c r="E49" s="10" t="n">
        <v>0.411678051595911</v>
      </c>
      <c r="F49" s="10" t="n">
        <v>0.5038835382158287</v>
      </c>
      <c r="G49" s="10" t="n">
        <v>0.6070867364525556</v>
      </c>
      <c r="H49" s="10" t="n">
        <v>0.7168358300596558</v>
      </c>
      <c r="I49" s="10" t="n">
        <v>0.8299759867278995</v>
      </c>
      <c r="J49" s="10" t="n">
        <v>0.9442453792052569</v>
      </c>
      <c r="K49" s="10" t="n">
        <v>1.057987067705281</v>
      </c>
      <c r="L49" s="10" t="n">
        <v>1.16995857485714</v>
      </c>
      <c r="M49" s="10" t="n">
        <v>1.279219341660326</v>
      </c>
      <c r="N49" s="10" t="n">
        <v>1.385052223641459</v>
      </c>
      <c r="O49" s="10" t="n">
        <v>1.486934552222628</v>
      </c>
      <c r="P49" s="10" t="n">
        <v>1.584519990092533</v>
      </c>
      <c r="Q49" s="10" t="n">
        <v>1.677615277198697</v>
      </c>
      <c r="R49" s="10" t="n">
        <v>1.766161144564634</v>
      </c>
      <c r="S49" s="10" t="n">
        <v>1.850207370343221</v>
      </c>
      <c r="T49" s="10" t="n">
        <v>1.929899982349377</v>
      </c>
      <c r="U49" s="10" t="n">
        <v>2.00542861093498</v>
      </c>
      <c r="V49" s="10" t="n">
        <v>2.077006720579398</v>
      </c>
      <c r="W49" s="10" t="n">
        <v>2.144866571711507</v>
      </c>
      <c r="X49" s="10" t="n">
        <v>2.209255461519789</v>
      </c>
      <c r="Y49" s="10" t="n">
        <v>2.270432628658043</v>
      </c>
      <c r="Z49" s="10" t="n">
        <v>2.328657515482646</v>
      </c>
      <c r="AA49" s="10" t="n">
        <v>2.384166909355849</v>
      </c>
      <c r="AB49" s="10" t="n">
        <v>2.437172904472288</v>
      </c>
      <c r="AC49" s="10" t="n">
        <v>2.487866973644451</v>
      </c>
      <c r="AD49" s="10" t="n">
        <v>2.536423294298226</v>
      </c>
      <c r="AE49" s="10" t="n">
        <v>2.583000334304045</v>
      </c>
      <c r="AF49" s="10" t="n">
        <v>2.627733733240242</v>
      </c>
      <c r="AG49" s="10" t="n">
        <v>3.070188180830356</v>
      </c>
      <c r="AH49" s="10" t="n">
        <v>3.094518595932513</v>
      </c>
      <c r="AI49" s="10" t="n">
        <v>3.117557924040433</v>
      </c>
      <c r="AJ49" s="10" t="n">
        <v>3.139329336219771</v>
      </c>
      <c r="AK49" s="10" t="n">
        <v>3.159857536160803</v>
      </c>
    </row>
    <row r="50">
      <c r="A50" s="9" t="n">
        <v>-75</v>
      </c>
      <c r="B50" s="7" t="n">
        <v>41085</v>
      </c>
      <c r="C50" s="10" t="n">
        <v>0.2603724537343079</v>
      </c>
      <c r="D50" s="10" t="n">
        <v>0.304711770463886</v>
      </c>
      <c r="E50" s="10" t="n">
        <v>0.3765232925872498</v>
      </c>
      <c r="F50" s="10" t="n">
        <v>0.4661227698528309</v>
      </c>
      <c r="G50" s="10" t="n">
        <v>0.5670332305636423</v>
      </c>
      <c r="H50" s="10" t="n">
        <v>0.6747361023245981</v>
      </c>
      <c r="I50" s="10" t="n">
        <v>0.7860492210789783</v>
      </c>
      <c r="J50" s="10" t="n">
        <v>0.8986972656498297</v>
      </c>
      <c r="K50" s="10" t="n">
        <v>1.011016074472328</v>
      </c>
      <c r="L50" s="10" t="n">
        <v>1.121758011136751</v>
      </c>
      <c r="M50" s="10" t="n">
        <v>1.22997910282551</v>
      </c>
      <c r="N50" s="10" t="n">
        <v>1.334961378068172</v>
      </c>
      <c r="O50" s="10" t="n">
        <v>1.436182853403447</v>
      </c>
      <c r="P50" s="10" t="n">
        <v>1.533298122359125</v>
      </c>
      <c r="Q50" s="10" t="n">
        <v>1.626115863017118</v>
      </c>
      <c r="R50" s="10" t="n">
        <v>1.714578457889556</v>
      </c>
      <c r="S50" s="10" t="n">
        <v>1.798736661217345</v>
      </c>
      <c r="T50" s="10" t="n">
        <v>1.8787372646871</v>
      </c>
      <c r="U50" s="10" t="n">
        <v>1.954766876165992</v>
      </c>
      <c r="V50" s="10" t="n">
        <v>2.027032018077409</v>
      </c>
      <c r="W50" s="10" t="n">
        <v>2.095754902176226</v>
      </c>
      <c r="X50" s="10" t="n">
        <v>2.16117029168251</v>
      </c>
      <c r="Y50" s="10" t="n">
        <v>2.223522868125119</v>
      </c>
      <c r="Z50" s="10" t="n">
        <v>2.2830553908854</v>
      </c>
      <c r="AA50" s="10" t="n">
        <v>2.339985369208112</v>
      </c>
      <c r="AB50" s="10" t="n">
        <v>2.394503330619578</v>
      </c>
      <c r="AC50" s="10" t="n">
        <v>2.446777274823663</v>
      </c>
      <c r="AD50" s="10" t="n">
        <v>2.496956307179401</v>
      </c>
      <c r="AE50" s="10" t="n">
        <v>2.545172504532052</v>
      </c>
      <c r="AF50" s="10" t="n">
        <v>2.591534392924454</v>
      </c>
      <c r="AG50" s="10" t="n">
        <v>3.046010116444097</v>
      </c>
      <c r="AH50" s="10" t="n">
        <v>3.070413248450163</v>
      </c>
      <c r="AI50" s="10" t="n">
        <v>3.093439521499043</v>
      </c>
      <c r="AJ50" s="10" t="n">
        <v>3.115125103249588</v>
      </c>
      <c r="AK50" s="10" t="n">
        <v>3.135507145116479</v>
      </c>
    </row>
    <row r="51">
      <c r="A51" s="9" t="n">
        <v>-74</v>
      </c>
      <c r="B51" s="7" t="n">
        <v>41086</v>
      </c>
      <c r="C51" s="10" t="n">
        <v>0.265515747589305</v>
      </c>
      <c r="D51" s="10" t="n">
        <v>0.3093391093277141</v>
      </c>
      <c r="E51" s="10" t="n">
        <v>0.3812459967653606</v>
      </c>
      <c r="F51" s="10" t="n">
        <v>0.4713606095952874</v>
      </c>
      <c r="G51" s="10" t="n">
        <v>0.5729985606458082</v>
      </c>
      <c r="H51" s="10" t="n">
        <v>0.6814934042385596</v>
      </c>
      <c r="I51" s="10" t="n">
        <v>0.793579592281427</v>
      </c>
      <c r="J51" s="10" t="n">
        <v>0.9069485306920854</v>
      </c>
      <c r="K51" s="10" t="n">
        <v>1.019936447349299</v>
      </c>
      <c r="L51" s="10" t="n">
        <v>1.131311865819218</v>
      </c>
      <c r="M51" s="10" t="n">
        <v>1.240150464472341</v>
      </c>
      <c r="N51" s="10" t="n">
        <v>1.345754256923256</v>
      </c>
      <c r="O51" s="10" t="n">
        <v>1.447617226603224</v>
      </c>
      <c r="P51" s="10" t="n">
        <v>1.545405072544609</v>
      </c>
      <c r="Q51" s="10" t="n">
        <v>1.638934489073382</v>
      </c>
      <c r="R51" s="10" t="n">
        <v>1.728153387285694</v>
      </c>
      <c r="S51" s="10" t="n">
        <v>1.813116533410857</v>
      </c>
      <c r="T51" s="10" t="n">
        <v>1.893974217540084</v>
      </c>
      <c r="U51" s="10" t="n">
        <v>1.970914522559209</v>
      </c>
      <c r="V51" s="10" t="n">
        <v>2.044143515072243</v>
      </c>
      <c r="W51" s="10" t="n">
        <v>2.113881423219966</v>
      </c>
      <c r="X51" s="10" t="n">
        <v>2.180359804372583</v>
      </c>
      <c r="Y51" s="10" t="n">
        <v>2.243819140557025</v>
      </c>
      <c r="Z51" s="10" t="n">
        <v>2.304497147635867</v>
      </c>
      <c r="AA51" s="10" t="n">
        <v>2.362605808373201</v>
      </c>
      <c r="AB51" s="10" t="n">
        <v>2.418329856870147</v>
      </c>
      <c r="AC51" s="10" t="n">
        <v>2.47183127953589</v>
      </c>
      <c r="AD51" s="10" t="n">
        <v>2.523252984021571</v>
      </c>
      <c r="AE51" s="10" t="n">
        <v>2.572720782691056</v>
      </c>
      <c r="AF51" s="10" t="n">
        <v>2.620337750926768</v>
      </c>
      <c r="AG51" s="10" t="n">
        <v>3.09020535030734</v>
      </c>
      <c r="AH51" s="10" t="n">
        <v>3.11565492805843</v>
      </c>
      <c r="AI51" s="10" t="n">
        <v>3.139701521215077</v>
      </c>
      <c r="AJ51" s="10" t="n">
        <v>3.162381017255889</v>
      </c>
      <c r="AK51" s="10" t="n">
        <v>3.183730490976564</v>
      </c>
    </row>
    <row r="52">
      <c r="A52" s="9" t="n">
        <v>-73</v>
      </c>
      <c r="B52" s="7" t="n">
        <v>41087</v>
      </c>
      <c r="C52" s="10" t="n">
        <v>0.2684207050276071</v>
      </c>
      <c r="D52" s="10" t="n">
        <v>0.3141131167956137</v>
      </c>
      <c r="E52" s="10" t="n">
        <v>0.3870736743443202</v>
      </c>
      <c r="F52" s="10" t="n">
        <v>0.4775594498650669</v>
      </c>
      <c r="G52" s="10" t="n">
        <v>0.5791081168268181</v>
      </c>
      <c r="H52" s="10" t="n">
        <v>0.6872423831495269</v>
      </c>
      <c r="I52" s="10" t="n">
        <v>0.7988352062107145</v>
      </c>
      <c r="J52" s="10" t="n">
        <v>0.911668357316787</v>
      </c>
      <c r="K52" s="10" t="n">
        <v>1.024131126115873</v>
      </c>
      <c r="L52" s="10" t="n">
        <v>1.135020578565844</v>
      </c>
      <c r="M52" s="10" t="n">
        <v>1.243429556250638</v>
      </c>
      <c r="N52" s="10" t="n">
        <v>1.348672522158578</v>
      </c>
      <c r="O52" s="10" t="n">
        <v>1.450253407705346</v>
      </c>
      <c r="P52" s="10" t="n">
        <v>1.547843653403183</v>
      </c>
      <c r="Q52" s="10" t="n">
        <v>1.641262451938042</v>
      </c>
      <c r="R52" s="10" t="n">
        <v>1.730457344171497</v>
      </c>
      <c r="S52" s="10" t="n">
        <v>1.81548173977468</v>
      </c>
      <c r="T52" s="10" t="n">
        <v>1.89648405920889</v>
      </c>
      <c r="U52" s="10" t="n">
        <v>1.973649235051946</v>
      </c>
      <c r="V52" s="10" t="n">
        <v>2.047179151158292</v>
      </c>
      <c r="W52" s="10" t="n">
        <v>2.117289038459266</v>
      </c>
      <c r="X52" s="10" t="n">
        <v>2.184204805547721</v>
      </c>
      <c r="Y52" s="10" t="n">
        <v>2.248160752715434</v>
      </c>
      <c r="Z52" s="10" t="n">
        <v>2.309387941029199</v>
      </c>
      <c r="AA52" s="10" t="n">
        <v>2.368091508027597</v>
      </c>
      <c r="AB52" s="10" t="n">
        <v>2.42444931242704</v>
      </c>
      <c r="AC52" s="10" t="n">
        <v>2.478616442557432</v>
      </c>
      <c r="AD52" s="10" t="n">
        <v>2.53072888894792</v>
      </c>
      <c r="AE52" s="10" t="n">
        <v>2.580905582638178</v>
      </c>
      <c r="AF52" s="10" t="n">
        <v>2.629243293620138</v>
      </c>
      <c r="AG52" s="10" t="n">
        <v>3.107679319567307</v>
      </c>
      <c r="AH52" s="10" t="n">
        <v>3.133614455174651</v>
      </c>
      <c r="AI52" s="10" t="n">
        <v>3.158109950113586</v>
      </c>
      <c r="AJ52" s="10" t="n">
        <v>3.181200749923939</v>
      </c>
      <c r="AK52" s="10" t="n">
        <v>3.202923582202162</v>
      </c>
    </row>
    <row r="53">
      <c r="A53" s="9" t="n">
        <v>-72</v>
      </c>
      <c r="B53" s="7" t="n">
        <v>41088</v>
      </c>
      <c r="C53" s="10" t="n">
        <v>0.2534165416934516</v>
      </c>
      <c r="D53" s="10" t="n">
        <v>0.29420503539257</v>
      </c>
      <c r="E53" s="10" t="n">
        <v>0.3631239327690525</v>
      </c>
      <c r="F53" s="10" t="n">
        <v>0.4501831660316223</v>
      </c>
      <c r="G53" s="10" t="n">
        <v>0.5487474026110726</v>
      </c>
      <c r="H53" s="10" t="n">
        <v>0.6542326728606062</v>
      </c>
      <c r="I53" s="10" t="n">
        <v>0.7634498992940714</v>
      </c>
      <c r="J53" s="10" t="n">
        <v>0.8741449246539499</v>
      </c>
      <c r="K53" s="10" t="n">
        <v>0.9846881014016691</v>
      </c>
      <c r="L53" s="10" t="n">
        <v>1.09386575300482</v>
      </c>
      <c r="M53" s="10" t="n">
        <v>1.200764484113303</v>
      </c>
      <c r="N53" s="10" t="n">
        <v>1.304696588073371</v>
      </c>
      <c r="O53" s="10" t="n">
        <v>1.405166813578</v>
      </c>
      <c r="P53" s="10" t="n">
        <v>1.501848739831159</v>
      </c>
      <c r="Q53" s="10" t="n">
        <v>1.594564249067848</v>
      </c>
      <c r="R53" s="10" t="n">
        <v>1.683260592317628</v>
      </c>
      <c r="S53" s="10" t="n">
        <v>1.767988473834302</v>
      </c>
      <c r="T53" s="10" t="n">
        <v>1.848890198267176</v>
      </c>
      <c r="U53" s="10" t="n">
        <v>1.926141360266045</v>
      </c>
      <c r="V53" s="10" t="n">
        <v>1.999932172549654</v>
      </c>
      <c r="W53" s="10" t="n">
        <v>2.070464351943722</v>
      </c>
      <c r="X53" s="10" t="n">
        <v>2.137948818559551</v>
      </c>
      <c r="Y53" s="10" t="n">
        <v>2.202603685031828</v>
      </c>
      <c r="Z53" s="10" t="n">
        <v>2.264642745159382</v>
      </c>
      <c r="AA53" s="10" t="n">
        <v>2.324253033587456</v>
      </c>
      <c r="AB53" s="10" t="n">
        <v>2.381593703561107</v>
      </c>
      <c r="AC53" s="10" t="n">
        <v>2.436800637881731</v>
      </c>
      <c r="AD53" s="10" t="n">
        <v>2.489990202133924</v>
      </c>
      <c r="AE53" s="10" t="n">
        <v>2.541261342828766</v>
      </c>
      <c r="AF53" s="10" t="n">
        <v>2.590690610193094</v>
      </c>
      <c r="AG53" s="10" t="n">
        <v>3.077002659236248</v>
      </c>
      <c r="AH53" s="10" t="n">
        <v>3.102944290018419</v>
      </c>
      <c r="AI53" s="10" t="n">
        <v>3.127386396395813</v>
      </c>
      <c r="AJ53" s="10" t="n">
        <v>3.150373596158329</v>
      </c>
      <c r="AK53" s="10" t="n">
        <v>3.171951914389674</v>
      </c>
    </row>
    <row r="54">
      <c r="A54" s="9" t="n">
        <v>-71</v>
      </c>
      <c r="B54" s="7" t="n">
        <v>41089</v>
      </c>
      <c r="C54" s="10" t="n">
        <v>0.2703152887756661</v>
      </c>
      <c r="D54" s="10" t="n">
        <v>0.3215970134232918</v>
      </c>
      <c r="E54" s="10" t="n">
        <v>0.4001420435884271</v>
      </c>
      <c r="F54" s="10" t="n">
        <v>0.4958564031993941</v>
      </c>
      <c r="G54" s="10" t="n">
        <v>0.60213461477241</v>
      </c>
      <c r="H54" s="10" t="n">
        <v>0.7144480976235392</v>
      </c>
      <c r="I54" s="10" t="n">
        <v>0.8296878194248509</v>
      </c>
      <c r="J54" s="10" t="n">
        <v>0.945686473556875</v>
      </c>
      <c r="K54" s="10" t="n">
        <v>1.060901262721722</v>
      </c>
      <c r="L54" s="10" t="n">
        <v>1.174192430287947</v>
      </c>
      <c r="M54" s="10" t="n">
        <v>1.284704625137089</v>
      </c>
      <c r="N54" s="10" t="n">
        <v>1.39179601745279</v>
      </c>
      <c r="O54" s="10" t="n">
        <v>1.495004839101415</v>
      </c>
      <c r="P54" s="10" t="n">
        <v>1.594029063959964</v>
      </c>
      <c r="Q54" s="10" t="n">
        <v>1.688714488058964</v>
      </c>
      <c r="R54" s="10" t="n">
        <v>1.779031406737912</v>
      </c>
      <c r="S54" s="10" t="n">
        <v>1.865059251620482</v>
      </c>
      <c r="T54" s="10" t="n">
        <v>1.946971446496601</v>
      </c>
      <c r="U54" s="10" t="n">
        <v>2.024972973110255</v>
      </c>
      <c r="V54" s="10" t="n">
        <v>2.099282105150807</v>
      </c>
      <c r="W54" s="10" t="n">
        <v>2.17012757918013</v>
      </c>
      <c r="X54" s="10" t="n">
        <v>2.237746502058103</v>
      </c>
      <c r="Y54" s="10" t="n">
        <v>2.302382451618814</v>
      </c>
      <c r="Z54" s="10" t="n">
        <v>2.36427290962367</v>
      </c>
      <c r="AA54" s="10" t="n">
        <v>2.423625365592766</v>
      </c>
      <c r="AB54" s="10" t="n">
        <v>2.480616554388295</v>
      </c>
      <c r="AC54" s="10" t="n">
        <v>2.535397549266584</v>
      </c>
      <c r="AD54" s="10" t="n">
        <v>2.588097900714196</v>
      </c>
      <c r="AE54" s="10" t="n">
        <v>2.638827958976955</v>
      </c>
      <c r="AF54" s="10" t="n">
        <v>2.687673822317925</v>
      </c>
      <c r="AG54" s="10" t="n">
        <v>3.165117912709153</v>
      </c>
      <c r="AH54" s="10" t="n">
        <v>3.190415258166431</v>
      </c>
      <c r="AI54" s="10" t="n">
        <v>3.214234624507894</v>
      </c>
      <c r="AJ54" s="10" t="n">
        <v>3.236623348590364</v>
      </c>
      <c r="AK54" s="10" t="n">
        <v>3.257629874898924</v>
      </c>
    </row>
    <row r="55">
      <c r="A55" s="9" t="n">
        <v>-70</v>
      </c>
      <c r="B55" s="7" t="n">
        <v>41092</v>
      </c>
      <c r="C55" s="10" t="n">
        <v>0.2630181655034225</v>
      </c>
      <c r="D55" s="10" t="n">
        <v>0.3123151331095669</v>
      </c>
      <c r="E55" s="10" t="n">
        <v>0.3890600409929776</v>
      </c>
      <c r="F55" s="10" t="n">
        <v>0.4829568344970266</v>
      </c>
      <c r="G55" s="10" t="n">
        <v>0.5873207973608008</v>
      </c>
      <c r="H55" s="10" t="n">
        <v>0.6976134442037424</v>
      </c>
      <c r="I55" s="10" t="n">
        <v>0.81075076652719</v>
      </c>
      <c r="J55" s="10" t="n">
        <v>0.9246130606732653</v>
      </c>
      <c r="K55" s="10" t="n">
        <v>1.037709875928486</v>
      </c>
      <c r="L55" s="10" t="n">
        <v>1.148952899325832</v>
      </c>
      <c r="M55" s="10" t="n">
        <v>1.257529636873999</v>
      </c>
      <c r="N55" s="10" t="n">
        <v>1.362830493874814</v>
      </c>
      <c r="O55" s="10" t="n">
        <v>1.464416374849105</v>
      </c>
      <c r="P55" s="10" t="n">
        <v>1.561998688411488</v>
      </c>
      <c r="Q55" s="10" t="n">
        <v>1.655429461149745</v>
      </c>
      <c r="R55" s="10" t="n">
        <v>1.744678087676299</v>
      </c>
      <c r="S55" s="10" t="n">
        <v>1.829818423322794</v>
      </c>
      <c r="T55" s="10" t="n">
        <v>1.911013233832108</v>
      </c>
      <c r="U55" s="10" t="n">
        <v>1.988455405242141</v>
      </c>
      <c r="V55" s="10" t="n">
        <v>2.062350994442954</v>
      </c>
      <c r="W55" s="10" t="n">
        <v>2.13291643302966</v>
      </c>
      <c r="X55" s="10" t="n">
        <v>2.200376452361423</v>
      </c>
      <c r="Y55" s="10" t="n">
        <v>2.26496219925516</v>
      </c>
      <c r="Z55" s="10" t="n">
        <v>2.326899005967224</v>
      </c>
      <c r="AA55" s="10" t="n">
        <v>2.386383457657697</v>
      </c>
      <c r="AB55" s="10" t="n">
        <v>2.443582731345224</v>
      </c>
      <c r="AC55" s="10" t="n">
        <v>2.498639467617879</v>
      </c>
      <c r="AD55" s="10" t="n">
        <v>2.55167572795883</v>
      </c>
      <c r="AE55" s="10" t="n">
        <v>2.60279512189691</v>
      </c>
      <c r="AF55" s="10" t="n">
        <v>2.652077398952533</v>
      </c>
      <c r="AG55" s="10" t="n">
        <v>3.136962664263523</v>
      </c>
      <c r="AH55" s="10" t="n">
        <v>3.162801530802044</v>
      </c>
      <c r="AI55" s="10" t="n">
        <v>3.187137745923414</v>
      </c>
      <c r="AJ55" s="10" t="n">
        <v>3.210015448648265</v>
      </c>
      <c r="AK55" s="10" t="n">
        <v>3.231480474825053</v>
      </c>
    </row>
    <row r="56">
      <c r="A56" s="9" t="n">
        <v>-69</v>
      </c>
      <c r="B56" s="7" t="n">
        <v>41093</v>
      </c>
      <c r="C56" s="10" t="n">
        <v>0.2997715212655389</v>
      </c>
      <c r="D56" s="10" t="n">
        <v>0.3578318215716412</v>
      </c>
      <c r="E56" s="10" t="n">
        <v>0.4406684223293179</v>
      </c>
      <c r="F56" s="10" t="n">
        <v>0.5388382246496326</v>
      </c>
      <c r="G56" s="10" t="n">
        <v>0.6461801097791904</v>
      </c>
      <c r="H56" s="10" t="n">
        <v>0.7584788082417293</v>
      </c>
      <c r="I56" s="10" t="n">
        <v>0.8728671076417528</v>
      </c>
      <c r="J56" s="10" t="n">
        <v>0.9873915833031219</v>
      </c>
      <c r="K56" s="10" t="n">
        <v>1.10069647809072</v>
      </c>
      <c r="L56" s="10" t="n">
        <v>1.211813825611334</v>
      </c>
      <c r="M56" s="10" t="n">
        <v>1.320037799167803</v>
      </c>
      <c r="N56" s="10" t="n">
        <v>1.424851086658414</v>
      </c>
      <c r="O56" s="10" t="n">
        <v>1.525892167626248</v>
      </c>
      <c r="P56" s="10" t="n">
        <v>1.622934479954734</v>
      </c>
      <c r="Q56" s="10" t="n">
        <v>1.71587675331758</v>
      </c>
      <c r="R56" s="10" t="n">
        <v>1.804719928144879</v>
      </c>
      <c r="S56" s="10" t="n">
        <v>1.889556721851753</v>
      </c>
      <c r="T56" s="10" t="n">
        <v>1.970557312550912</v>
      </c>
      <c r="U56" s="10" t="n">
        <v>2.047915886016386</v>
      </c>
      <c r="V56" s="10" t="n">
        <v>2.12183599331372</v>
      </c>
      <c r="W56" s="10" t="n">
        <v>2.192528554517015</v>
      </c>
      <c r="X56" s="10" t="n">
        <v>2.260210384907224</v>
      </c>
      <c r="Y56" s="10" t="n">
        <v>2.325102787214568</v>
      </c>
      <c r="Z56" s="10" t="n">
        <v>2.387420468217686</v>
      </c>
      <c r="AA56" s="10" t="n">
        <v>2.447350730838823</v>
      </c>
      <c r="AB56" s="10" t="n">
        <v>2.505053114978872</v>
      </c>
      <c r="AC56" s="10" t="n">
        <v>2.560663999033396</v>
      </c>
      <c r="AD56" s="10" t="n">
        <v>2.614300335447693</v>
      </c>
      <c r="AE56" s="10" t="n">
        <v>2.666061705246647</v>
      </c>
      <c r="AF56" s="10" t="n">
        <v>2.716025666663457</v>
      </c>
      <c r="AG56" s="10" t="n">
        <v>3.213064449585744</v>
      </c>
      <c r="AH56" s="10" t="n">
        <v>3.239960266752413</v>
      </c>
      <c r="AI56" s="10" t="n">
        <v>3.265337438992116</v>
      </c>
      <c r="AJ56" s="10" t="n">
        <v>3.289232825916321</v>
      </c>
      <c r="AK56" s="10" t="n">
        <v>3.311685777484868</v>
      </c>
    </row>
    <row r="57">
      <c r="A57" s="9" t="n">
        <v>-68</v>
      </c>
      <c r="B57" s="7" t="n">
        <v>41094</v>
      </c>
      <c r="C57" s="10" t="n">
        <v>0.2737779112657674</v>
      </c>
      <c r="D57" s="10" t="n">
        <v>0.3328989078058492</v>
      </c>
      <c r="E57" s="10" t="n">
        <v>0.4182512474854149</v>
      </c>
      <c r="F57" s="10" t="n">
        <v>0.5191426402804112</v>
      </c>
      <c r="G57" s="10" t="n">
        <v>0.6287810157681654</v>
      </c>
      <c r="H57" s="10" t="n">
        <v>0.7426448905484991</v>
      </c>
      <c r="I57" s="10" t="n">
        <v>0.8577456694780614</v>
      </c>
      <c r="J57" s="10" t="n">
        <v>0.972130883996843</v>
      </c>
      <c r="K57" s="10" t="n">
        <v>1.084523848251897</v>
      </c>
      <c r="L57" s="10" t="n">
        <v>1.194089139115986</v>
      </c>
      <c r="M57" s="10" t="n">
        <v>1.300278040341871</v>
      </c>
      <c r="N57" s="10" t="n">
        <v>1.402737736498295</v>
      </c>
      <c r="O57" s="10" t="n">
        <v>1.501264728508941</v>
      </c>
      <c r="P57" s="10" t="n">
        <v>1.595772435112555</v>
      </c>
      <c r="Q57" s="10" t="n">
        <v>1.686272666609229</v>
      </c>
      <c r="R57" s="10" t="n">
        <v>1.77285042131244</v>
      </c>
      <c r="S57" s="10" t="n">
        <v>1.855652679967158</v>
      </c>
      <c r="T57" s="10" t="n">
        <v>1.934878177820911</v>
      </c>
      <c r="U57" s="10" t="n">
        <v>2.010734057550507</v>
      </c>
      <c r="V57" s="10" t="n">
        <v>2.083425786474936</v>
      </c>
      <c r="W57" s="10" t="n">
        <v>2.153157467799077</v>
      </c>
      <c r="X57" s="10" t="n">
        <v>2.220132113436528</v>
      </c>
      <c r="Y57" s="10" t="n">
        <v>2.284551607249086</v>
      </c>
      <c r="Z57" s="10" t="n">
        <v>2.346607904001977</v>
      </c>
      <c r="AA57" s="10" t="n">
        <v>2.406465716044702</v>
      </c>
      <c r="AB57" s="10" t="n">
        <v>2.464262855384759</v>
      </c>
      <c r="AC57" s="10" t="n">
        <v>2.520114696083274</v>
      </c>
      <c r="AD57" s="10" t="n">
        <v>2.574117793096851</v>
      </c>
      <c r="AE57" s="10" t="n">
        <v>2.626351926341492</v>
      </c>
      <c r="AF57" s="10" t="n">
        <v>2.676876083855891</v>
      </c>
      <c r="AG57" s="10" t="n">
        <v>3.183465993065511</v>
      </c>
      <c r="AH57" s="10" t="n">
        <v>3.211008547108227</v>
      </c>
      <c r="AI57" s="10" t="n">
        <v>3.237000849755178</v>
      </c>
      <c r="AJ57" s="10" t="n">
        <v>3.261478266941672</v>
      </c>
      <c r="AK57" s="10" t="n">
        <v>3.28447900623152</v>
      </c>
    </row>
    <row r="58">
      <c r="A58" s="9" t="n">
        <v>-67</v>
      </c>
      <c r="B58" s="7" t="n">
        <v>41095</v>
      </c>
      <c r="C58" s="10" t="n">
        <v>0.2022802655643484</v>
      </c>
      <c r="D58" s="10" t="n">
        <v>0.247852632328217</v>
      </c>
      <c r="E58" s="10" t="n">
        <v>0.3251951114883388</v>
      </c>
      <c r="F58" s="10" t="n">
        <v>0.4220968792996387</v>
      </c>
      <c r="G58" s="10" t="n">
        <v>0.5306069577354864</v>
      </c>
      <c r="H58" s="10" t="n">
        <v>0.6453602461817961</v>
      </c>
      <c r="I58" s="10" t="n">
        <v>0.762737163148887</v>
      </c>
      <c r="J58" s="10" t="n">
        <v>0.8803071846303351</v>
      </c>
      <c r="K58" s="10" t="n">
        <v>0.9964178316394977</v>
      </c>
      <c r="L58" s="10" t="n">
        <v>1.109948415999167</v>
      </c>
      <c r="M58" s="10" t="n">
        <v>1.220143231475841</v>
      </c>
      <c r="N58" s="10" t="n">
        <v>1.326502452204535</v>
      </c>
      <c r="O58" s="10" t="n">
        <v>1.428731141132246</v>
      </c>
      <c r="P58" s="10" t="n">
        <v>1.526694862923169</v>
      </c>
      <c r="Q58" s="10" t="n">
        <v>1.62038964221635</v>
      </c>
      <c r="R58" s="10" t="n">
        <v>1.709906571916066</v>
      </c>
      <c r="S58" s="10" t="n">
        <v>1.795412726487288</v>
      </c>
      <c r="T58" s="10" t="n">
        <v>1.877136441577666</v>
      </c>
      <c r="U58" s="10" t="n">
        <v>1.955314522059001</v>
      </c>
      <c r="V58" s="10" t="n">
        <v>2.030180373844726</v>
      </c>
      <c r="W58" s="10" t="n">
        <v>2.101964668229293</v>
      </c>
      <c r="X58" s="10" t="n">
        <v>2.170895888811965</v>
      </c>
      <c r="Y58" s="10" t="n">
        <v>2.237200466889493</v>
      </c>
      <c r="Z58" s="10" t="n">
        <v>2.301092979770512</v>
      </c>
      <c r="AA58" s="10" t="n">
        <v>2.362756960952751</v>
      </c>
      <c r="AB58" s="10" t="n">
        <v>2.422345455747639</v>
      </c>
      <c r="AC58" s="10" t="n">
        <v>2.479986080570129</v>
      </c>
      <c r="AD58" s="10" t="n">
        <v>2.535785124177342</v>
      </c>
      <c r="AE58" s="10" t="n">
        <v>2.589830039359752</v>
      </c>
      <c r="AF58" s="10" t="n">
        <v>2.642186236361844</v>
      </c>
      <c r="AG58" s="10" t="n">
        <v>3.175094823042103</v>
      </c>
      <c r="AH58" s="10" t="n">
        <v>3.204720775065527</v>
      </c>
      <c r="AI58" s="10" t="n">
        <v>3.232770928126673</v>
      </c>
      <c r="AJ58" s="10" t="n">
        <v>3.259273556559822</v>
      </c>
      <c r="AK58" s="10" t="n">
        <v>3.284260764823342</v>
      </c>
    </row>
    <row r="59">
      <c r="A59" s="9" t="n">
        <v>-66</v>
      </c>
      <c r="B59" s="7" t="n">
        <v>41096</v>
      </c>
      <c r="C59" s="10" t="n">
        <v>0.1761215885243031</v>
      </c>
      <c r="D59" s="10" t="n">
        <v>0.2136578113586621</v>
      </c>
      <c r="E59" s="10" t="n">
        <v>0.2843166464881409</v>
      </c>
      <c r="F59" s="10" t="n">
        <v>0.3755899585458227</v>
      </c>
      <c r="G59" s="10" t="n">
        <v>0.4793405895343738</v>
      </c>
      <c r="H59" s="10" t="n">
        <v>0.5901249074070678</v>
      </c>
      <c r="I59" s="10" t="n">
        <v>0.7042746496224987</v>
      </c>
      <c r="J59" s="10" t="n">
        <v>0.819308314370237</v>
      </c>
      <c r="K59" s="10" t="n">
        <v>0.9335128394891344</v>
      </c>
      <c r="L59" s="10" t="n">
        <v>1.045700747434644</v>
      </c>
      <c r="M59" s="10" t="n">
        <v>1.155044151965837</v>
      </c>
      <c r="N59" s="10" t="n">
        <v>1.260967084593453</v>
      </c>
      <c r="O59" s="10" t="n">
        <v>1.363097650492907</v>
      </c>
      <c r="P59" s="10" t="n">
        <v>1.461230944992097</v>
      </c>
      <c r="Q59" s="10" t="n">
        <v>1.555299174169121</v>
      </c>
      <c r="R59" s="10" t="n">
        <v>1.645341335526692</v>
      </c>
      <c r="S59" s="10" t="n">
        <v>1.731483924082809</v>
      </c>
      <c r="T59" s="10" t="n">
        <v>1.813925918402763</v>
      </c>
      <c r="U59" s="10" t="n">
        <v>1.892882305899591</v>
      </c>
      <c r="V59" s="10" t="n">
        <v>1.968570551268799</v>
      </c>
      <c r="W59" s="10" t="n">
        <v>2.04121004252803</v>
      </c>
      <c r="X59" s="10" t="n">
        <v>2.111021706352642</v>
      </c>
      <c r="Y59" s="10" t="n">
        <v>2.178227376591204</v>
      </c>
      <c r="Z59" s="10" t="n">
        <v>2.243038450896591</v>
      </c>
      <c r="AA59" s="10" t="n">
        <v>2.305635208843811</v>
      </c>
      <c r="AB59" s="10" t="n">
        <v>2.366167302424456</v>
      </c>
      <c r="AC59" s="10" t="n">
        <v>2.424758841234249</v>
      </c>
      <c r="AD59" s="10" t="n">
        <v>2.481512511857423</v>
      </c>
      <c r="AE59" s="10" t="n">
        <v>2.536511888216009</v>
      </c>
      <c r="AF59" s="10" t="n">
        <v>2.589817176604547</v>
      </c>
      <c r="AG59" s="10" t="n">
        <v>3.131876814826103</v>
      </c>
      <c r="AH59" s="10" t="n">
        <v>3.161856673453135</v>
      </c>
      <c r="AI59" s="10" t="n">
        <v>3.190213751403196</v>
      </c>
      <c r="AJ59" s="10" t="n">
        <v>3.216979725614332</v>
      </c>
      <c r="AK59" s="10" t="n">
        <v>3.242190208466988</v>
      </c>
    </row>
    <row r="60">
      <c r="A60" s="9" t="n">
        <v>-65</v>
      </c>
      <c r="B60" s="7" t="n">
        <v>41099</v>
      </c>
      <c r="C60" s="10" t="n">
        <v>0.181749295893126</v>
      </c>
      <c r="D60" s="10" t="n">
        <v>0.2169471984708982</v>
      </c>
      <c r="E60" s="10" t="n">
        <v>0.2847344393857811</v>
      </c>
      <c r="F60" s="10" t="n">
        <v>0.373153542305472</v>
      </c>
      <c r="G60" s="10" t="n">
        <v>0.4743337945778744</v>
      </c>
      <c r="H60" s="10" t="n">
        <v>0.582960882021532</v>
      </c>
      <c r="I60" s="10" t="n">
        <v>0.6954139822189785</v>
      </c>
      <c r="J60" s="10" t="n">
        <v>0.8092018960745531</v>
      </c>
      <c r="K60" s="10" t="n">
        <v>0.9225647443103088</v>
      </c>
      <c r="L60" s="10" t="n">
        <v>1.034245123946589</v>
      </c>
      <c r="M60" s="10" t="n">
        <v>1.143338251948091</v>
      </c>
      <c r="N60" s="10" t="n">
        <v>1.249192159554693</v>
      </c>
      <c r="O60" s="10" t="n">
        <v>1.35136678541929</v>
      </c>
      <c r="P60" s="10" t="n">
        <v>1.449599663569896</v>
      </c>
      <c r="Q60" s="10" t="n">
        <v>1.543774855928</v>
      </c>
      <c r="R60" s="10" t="n">
        <v>1.633892834912836</v>
      </c>
      <c r="S60" s="10" t="n">
        <v>1.720049676180506</v>
      </c>
      <c r="T60" s="10" t="n">
        <v>1.802420852709379</v>
      </c>
      <c r="U60" s="10" t="n">
        <v>1.881206131058021</v>
      </c>
      <c r="V60" s="10" t="n">
        <v>1.956615052299374</v>
      </c>
      <c r="W60" s="10" t="n">
        <v>2.028864862603544</v>
      </c>
      <c r="X60" s="10" t="n">
        <v>2.098178972218376</v>
      </c>
      <c r="Y60" s="10" t="n">
        <v>2.164785421924765</v>
      </c>
      <c r="Z60" s="10" t="n">
        <v>2.228904691710924</v>
      </c>
      <c r="AA60" s="10" t="n">
        <v>2.290728462481586</v>
      </c>
      <c r="AB60" s="10" t="n">
        <v>2.350419763085448</v>
      </c>
      <c r="AC60" s="10" t="n">
        <v>2.408117727410718</v>
      </c>
      <c r="AD60" s="10" t="n">
        <v>2.463941447927211</v>
      </c>
      <c r="AE60" s="10" t="n">
        <v>2.517991859473096</v>
      </c>
      <c r="AF60" s="10" t="n">
        <v>2.570346012263968</v>
      </c>
      <c r="AG60" s="10" t="n">
        <v>3.104344260883755</v>
      </c>
      <c r="AH60" s="10" t="n">
        <v>3.134136270997307</v>
      </c>
      <c r="AI60" s="10" t="n">
        <v>3.162355794819244</v>
      </c>
      <c r="AJ60" s="10" t="n">
        <v>3.189029565766446</v>
      </c>
      <c r="AK60" s="10" t="n">
        <v>3.214188307726056</v>
      </c>
    </row>
    <row r="61">
      <c r="A61" s="9" t="n">
        <v>-64</v>
      </c>
      <c r="B61" s="7" t="n">
        <v>41100</v>
      </c>
      <c r="C61" s="10" t="n">
        <v>0.1940327501165994</v>
      </c>
      <c r="D61" s="10" t="n">
        <v>0.2318615301326392</v>
      </c>
      <c r="E61" s="10" t="n">
        <v>0.3008632012212064</v>
      </c>
      <c r="F61" s="10" t="n">
        <v>0.3895085900248782</v>
      </c>
      <c r="G61" s="10" t="n">
        <v>0.4902147774432579</v>
      </c>
      <c r="H61" s="10" t="n">
        <v>0.5978717267273296</v>
      </c>
      <c r="I61" s="10" t="n">
        <v>0.7090185416549041</v>
      </c>
      <c r="J61" s="10" t="n">
        <v>0.8212969436822828</v>
      </c>
      <c r="K61" s="10" t="n">
        <v>0.9330629100810683</v>
      </c>
      <c r="L61" s="10" t="n">
        <v>1.04315460039413</v>
      </c>
      <c r="M61" s="10" t="n">
        <v>1.150740858781713</v>
      </c>
      <c r="N61" s="10" t="n">
        <v>1.255223995759426</v>
      </c>
      <c r="O61" s="10" t="n">
        <v>1.356197571304329</v>
      </c>
      <c r="P61" s="10" t="n">
        <v>1.453416363141807</v>
      </c>
      <c r="Q61" s="10" t="n">
        <v>1.5467680153613</v>
      </c>
      <c r="R61" s="10" t="n">
        <v>1.636247474912274</v>
      </c>
      <c r="S61" s="10" t="n">
        <v>1.721938596075845</v>
      </c>
      <c r="T61" s="10" t="n">
        <v>1.804000192316256</v>
      </c>
      <c r="U61" s="10" t="n">
        <v>1.882615087567228</v>
      </c>
      <c r="V61" s="10" t="n">
        <v>1.957976488943307</v>
      </c>
      <c r="W61" s="10" t="n">
        <v>2.030285795017384</v>
      </c>
      <c r="X61" s="10" t="n">
        <v>2.099750957529025</v>
      </c>
      <c r="Y61" s="10" t="n">
        <v>2.166584876934374</v>
      </c>
      <c r="Z61" s="10" t="n">
        <v>2.230993528648365</v>
      </c>
      <c r="AA61" s="10" t="n">
        <v>2.293155625610643</v>
      </c>
      <c r="AB61" s="10" t="n">
        <v>2.353222778762344</v>
      </c>
      <c r="AC61" s="10" t="n">
        <v>2.411323997709957</v>
      </c>
      <c r="AD61" s="10" t="n">
        <v>2.467569335520637</v>
      </c>
      <c r="AE61" s="10" t="n">
        <v>2.522051514163313</v>
      </c>
      <c r="AF61" s="10" t="n">
        <v>2.574839600899615</v>
      </c>
      <c r="AG61" s="10" t="n">
        <v>3.112553991042481</v>
      </c>
      <c r="AH61" s="10" t="n">
        <v>3.142469885921101</v>
      </c>
      <c r="AI61" s="10" t="n">
        <v>3.170803067517027</v>
      </c>
      <c r="AJ61" s="10" t="n">
        <v>3.197583911942657</v>
      </c>
      <c r="AK61" s="10" t="n">
        <v>3.222846415808453</v>
      </c>
    </row>
    <row r="62">
      <c r="A62" s="9" t="n">
        <v>-63</v>
      </c>
      <c r="B62" s="7" t="n">
        <v>41101</v>
      </c>
      <c r="C62" s="10" t="n">
        <v>0.192412879235944</v>
      </c>
      <c r="D62" s="10" t="n">
        <v>0.2287033839456134</v>
      </c>
      <c r="E62" s="10" t="n">
        <v>0.2957660460277403</v>
      </c>
      <c r="F62" s="10" t="n">
        <v>0.3822034852625972</v>
      </c>
      <c r="G62" s="10" t="n">
        <v>0.4805722910595892</v>
      </c>
      <c r="H62" s="10" t="n">
        <v>0.5858913768412953</v>
      </c>
      <c r="I62" s="10" t="n">
        <v>0.6948054647452946</v>
      </c>
      <c r="J62" s="10" t="n">
        <v>0.8050362799424543</v>
      </c>
      <c r="K62" s="10" t="n">
        <v>0.9149996185789727</v>
      </c>
      <c r="L62" s="10" t="n">
        <v>1.02357039341106</v>
      </c>
      <c r="M62" s="10" t="n">
        <v>1.129932317299529</v>
      </c>
      <c r="N62" s="10" t="n">
        <v>1.233485206435097</v>
      </c>
      <c r="O62" s="10" t="n">
        <v>1.33380461691455</v>
      </c>
      <c r="P62" s="10" t="n">
        <v>1.430617837003166</v>
      </c>
      <c r="Q62" s="10" t="n">
        <v>1.52378020982704</v>
      </c>
      <c r="R62" s="10" t="n">
        <v>1.613254695933768</v>
      </c>
      <c r="S62" s="10" t="n">
        <v>1.699095537720346</v>
      </c>
      <c r="T62" s="10" t="n">
        <v>1.781435280031657</v>
      </c>
      <c r="U62" s="10" t="n">
        <v>1.86043411700574</v>
      </c>
      <c r="V62" s="10" t="n">
        <v>1.936265785592649</v>
      </c>
      <c r="W62" s="10" t="n">
        <v>2.00911471806126</v>
      </c>
      <c r="X62" s="10" t="n">
        <v>2.079173902935508</v>
      </c>
      <c r="Y62" s="10" t="n">
        <v>2.146642886697441</v>
      </c>
      <c r="Z62" s="10" t="n">
        <v>2.211715574468144</v>
      </c>
      <c r="AA62" s="10" t="n">
        <v>2.274559870354546</v>
      </c>
      <c r="AB62" s="10" t="n">
        <v>2.335317724724255</v>
      </c>
      <c r="AC62" s="10" t="n">
        <v>2.394109444679378</v>
      </c>
      <c r="AD62" s="10" t="n">
        <v>2.45103718422445</v>
      </c>
      <c r="AE62" s="10" t="n">
        <v>2.506186377953903</v>
      </c>
      <c r="AF62" s="10" t="n">
        <v>2.559619017787238</v>
      </c>
      <c r="AG62" s="10" t="n">
        <v>3.101740726626664</v>
      </c>
      <c r="AH62" s="10" t="n">
        <v>3.131675436437273</v>
      </c>
      <c r="AI62" s="10" t="n">
        <v>3.159995430025795</v>
      </c>
      <c r="AJ62" s="10" t="n">
        <v>3.186735520765578</v>
      </c>
      <c r="AK62" s="10" t="n">
        <v>3.21193397027725</v>
      </c>
    </row>
    <row r="63">
      <c r="A63" s="9" t="n">
        <v>-62</v>
      </c>
      <c r="B63" s="7" t="n">
        <v>41102</v>
      </c>
      <c r="C63" s="10" t="n">
        <v>0.1840699788645375</v>
      </c>
      <c r="D63" s="10" t="n">
        <v>0.2177882349396308</v>
      </c>
      <c r="E63" s="10" t="n">
        <v>0.2825584270649527</v>
      </c>
      <c r="F63" s="10" t="n">
        <v>0.3670049563591009</v>
      </c>
      <c r="G63" s="10" t="n">
        <v>0.4635983717003432</v>
      </c>
      <c r="H63" s="10" t="n">
        <v>0.5672661405784912</v>
      </c>
      <c r="I63" s="10" t="n">
        <v>0.6745868314698928</v>
      </c>
      <c r="J63" s="10" t="n">
        <v>0.7832501126632478</v>
      </c>
      <c r="K63" s="10" t="n">
        <v>0.8916750834291581</v>
      </c>
      <c r="L63" s="10" t="n">
        <v>0.9987597721323236</v>
      </c>
      <c r="M63" s="10" t="n">
        <v>1.10371424801966</v>
      </c>
      <c r="N63" s="10" t="n">
        <v>1.205961113195581</v>
      </c>
      <c r="O63" s="10" t="n">
        <v>1.305088342281704</v>
      </c>
      <c r="P63" s="10" t="n">
        <v>1.400826920128951</v>
      </c>
      <c r="Q63" s="10" t="n">
        <v>1.49302747812498</v>
      </c>
      <c r="R63" s="10" t="n">
        <v>1.581640793092521</v>
      </c>
      <c r="S63" s="10" t="n">
        <v>1.666700636109796</v>
      </c>
      <c r="T63" s="10" t="n">
        <v>1.748311925150676</v>
      </c>
      <c r="U63" s="10" t="n">
        <v>1.826609601485849</v>
      </c>
      <c r="V63" s="10" t="n">
        <v>1.901745937633122</v>
      </c>
      <c r="W63" s="10" t="n">
        <v>1.973886907872398</v>
      </c>
      <c r="X63" s="10" t="n">
        <v>2.043209447893259</v>
      </c>
      <c r="Y63" s="10" t="n">
        <v>2.109899035618292</v>
      </c>
      <c r="Z63" s="10" t="n">
        <v>2.174138632651609</v>
      </c>
      <c r="AA63" s="10" t="n">
        <v>2.236090922750827</v>
      </c>
      <c r="AB63" s="10" t="n">
        <v>2.295898078733766</v>
      </c>
      <c r="AC63" s="10" t="n">
        <v>2.353685168891905</v>
      </c>
      <c r="AD63" s="10" t="n">
        <v>2.409562914992096</v>
      </c>
      <c r="AE63" s="10" t="n">
        <v>2.463628466716816</v>
      </c>
      <c r="AF63" s="10" t="n">
        <v>2.515957916192759</v>
      </c>
      <c r="AG63" s="10" t="n">
        <v>3.047518161118916</v>
      </c>
      <c r="AH63" s="10" t="n">
        <v>3.077109925659337</v>
      </c>
      <c r="AI63" s="10" t="n">
        <v>3.105146383319696</v>
      </c>
      <c r="AJ63" s="10" t="n">
        <v>3.131657252768571</v>
      </c>
      <c r="AK63" s="10" t="n">
        <v>3.156675797389026</v>
      </c>
    </row>
    <row r="64">
      <c r="A64" s="9" t="n">
        <v>-61</v>
      </c>
      <c r="B64" s="7" t="n">
        <v>41103</v>
      </c>
      <c r="C64" s="10" t="n">
        <v>0.1947881678434577</v>
      </c>
      <c r="D64" s="10" t="n">
        <v>0.22734020739202</v>
      </c>
      <c r="E64" s="10" t="n">
        <v>0.2912551107316162</v>
      </c>
      <c r="F64" s="10" t="n">
        <v>0.3753692805536938</v>
      </c>
      <c r="G64" s="10" t="n">
        <v>0.4721307210985423</v>
      </c>
      <c r="H64" s="10" t="n">
        <v>0.5763844556231502</v>
      </c>
      <c r="I64" s="10" t="n">
        <v>0.6846154142957015</v>
      </c>
      <c r="J64" s="10" t="n">
        <v>0.7944185517516344</v>
      </c>
      <c r="K64" s="10" t="n">
        <v>0.904130423592632</v>
      </c>
      <c r="L64" s="10" t="n">
        <v>1.012572928809427</v>
      </c>
      <c r="M64" s="10" t="n">
        <v>1.118888160287677</v>
      </c>
      <c r="N64" s="10" t="n">
        <v>1.222438579064028</v>
      </c>
      <c r="O64" s="10" t="n">
        <v>1.322757754939985</v>
      </c>
      <c r="P64" s="10" t="n">
        <v>1.419529010918658</v>
      </c>
      <c r="Q64" s="10" t="n">
        <v>1.512563998655273</v>
      </c>
      <c r="R64" s="10" t="n">
        <v>1.601785723358669</v>
      </c>
      <c r="S64" s="10" t="n">
        <v>1.687210840305316</v>
      </c>
      <c r="T64" s="10" t="n">
        <v>1.768936384570468</v>
      </c>
      <c r="U64" s="10" t="n">
        <v>1.847096626468177</v>
      </c>
      <c r="V64" s="10" t="n">
        <v>1.921849063084737</v>
      </c>
      <c r="W64" s="10" t="n">
        <v>1.993369564154841</v>
      </c>
      <c r="X64" s="10" t="n">
        <v>2.061848697531889</v>
      </c>
      <c r="Y64" s="10" t="n">
        <v>2.127488560143715</v>
      </c>
      <c r="Z64" s="10" t="n">
        <v>2.190490872259403</v>
      </c>
      <c r="AA64" s="10" t="n">
        <v>2.251038939331821</v>
      </c>
      <c r="AB64" s="10" t="n">
        <v>2.309297268581996</v>
      </c>
      <c r="AC64" s="10" t="n">
        <v>2.365414692282529</v>
      </c>
      <c r="AD64" s="10" t="n">
        <v>2.419526894863247</v>
      </c>
      <c r="AE64" s="10" t="n">
        <v>2.471756940981863</v>
      </c>
      <c r="AF64" s="10" t="n">
        <v>2.522207684181971</v>
      </c>
      <c r="AG64" s="10" t="n">
        <v>3.034694839205716</v>
      </c>
      <c r="AH64" s="10" t="n">
        <v>3.06355566827583</v>
      </c>
      <c r="AI64" s="10" t="n">
        <v>3.090965075730975</v>
      </c>
      <c r="AJ64" s="10" t="n">
        <v>3.116946974361016</v>
      </c>
      <c r="AK64" s="10" t="n">
        <v>3.141528563403039</v>
      </c>
    </row>
    <row r="65">
      <c r="A65" s="9" t="n">
        <v>-60</v>
      </c>
      <c r="B65" s="7" t="n">
        <v>41106</v>
      </c>
      <c r="C65" s="10" t="n">
        <v>0.1743660331072355</v>
      </c>
      <c r="D65" s="10" t="n">
        <v>0.2006815141998962</v>
      </c>
      <c r="E65" s="10" t="n">
        <v>0.2596781653971184</v>
      </c>
      <c r="F65" s="10" t="n">
        <v>0.3398288803883722</v>
      </c>
      <c r="G65" s="10" t="n">
        <v>0.4333141014672403</v>
      </c>
      <c r="H65" s="10" t="n">
        <v>0.5347965356456728</v>
      </c>
      <c r="I65" s="10" t="n">
        <v>0.6406413492238434</v>
      </c>
      <c r="J65" s="10" t="n">
        <v>0.7483690831623074</v>
      </c>
      <c r="K65" s="10" t="n">
        <v>0.8562759519397157</v>
      </c>
      <c r="L65" s="10" t="n">
        <v>0.9631601096659649</v>
      </c>
      <c r="M65" s="10" t="n">
        <v>1.068144716595907</v>
      </c>
      <c r="N65" s="10" t="n">
        <v>1.170573988820471</v>
      </c>
      <c r="O65" s="10" t="n">
        <v>1.269960563254005</v>
      </c>
      <c r="P65" s="10" t="n">
        <v>1.365966195796319</v>
      </c>
      <c r="Q65" s="10" t="n">
        <v>1.458383305783246</v>
      </c>
      <c r="R65" s="10" t="n">
        <v>1.547118282890726</v>
      </c>
      <c r="S65" s="10" t="n">
        <v>1.63217407207495</v>
      </c>
      <c r="T65" s="10" t="n">
        <v>1.713636964304811</v>
      </c>
      <c r="U65" s="10" t="n">
        <v>1.791631801601961</v>
      </c>
      <c r="V65" s="10" t="n">
        <v>1.866307532555124</v>
      </c>
      <c r="W65" s="10" t="n">
        <v>1.937832175419133</v>
      </c>
      <c r="X65" s="10" t="n">
        <v>2.006389004181704</v>
      </c>
      <c r="Y65" s="10" t="n">
        <v>2.072173253876475</v>
      </c>
      <c r="Z65" s="10" t="n">
        <v>2.135379827477334</v>
      </c>
      <c r="AA65" s="10" t="n">
        <v>2.196184904853622</v>
      </c>
      <c r="AB65" s="10" t="n">
        <v>2.254745594303321</v>
      </c>
      <c r="AC65" s="10" t="n">
        <v>2.31120310189521</v>
      </c>
      <c r="AD65" s="10" t="n">
        <v>2.365685295110569</v>
      </c>
      <c r="AE65" s="10" t="n">
        <v>2.418307243713421</v>
      </c>
      <c r="AF65" s="10" t="n">
        <v>2.469163687220274</v>
      </c>
      <c r="AG65" s="10" t="n">
        <v>2.985423125611575</v>
      </c>
      <c r="AH65" s="10" t="n">
        <v>3.014358127663073</v>
      </c>
      <c r="AI65" s="10" t="n">
        <v>3.041812298541698</v>
      </c>
      <c r="AJ65" s="10" t="n">
        <v>3.067812198836157</v>
      </c>
      <c r="AK65" s="10" t="n">
        <v>3.092387794818724</v>
      </c>
    </row>
    <row r="66">
      <c r="A66" s="9" t="n">
        <v>-59</v>
      </c>
      <c r="B66" s="7" t="n">
        <v>41107</v>
      </c>
      <c r="C66" s="10" t="n">
        <v>0.1695016100232477</v>
      </c>
      <c r="D66" s="10" t="n">
        <v>0.1936592794357029</v>
      </c>
      <c r="E66" s="10" t="n">
        <v>0.2515560451008581</v>
      </c>
      <c r="F66" s="10" t="n">
        <v>0.3314389500161667</v>
      </c>
      <c r="G66" s="10" t="n">
        <v>0.4253078303417694</v>
      </c>
      <c r="H66" s="10" t="n">
        <v>0.5276798234622516</v>
      </c>
      <c r="I66" s="10" t="n">
        <v>0.6348022352473008</v>
      </c>
      <c r="J66" s="10" t="n">
        <v>0.7440906115416446</v>
      </c>
      <c r="K66" s="10" t="n">
        <v>0.853744560102189</v>
      </c>
      <c r="L66" s="10" t="n">
        <v>0.9624701466641294</v>
      </c>
      <c r="M66" s="10" t="n">
        <v>1.069308204650129</v>
      </c>
      <c r="N66" s="10" t="n">
        <v>1.173532770869593</v>
      </c>
      <c r="O66" s="10" t="n">
        <v>1.274601826624613</v>
      </c>
      <c r="P66" s="10" t="n">
        <v>1.372137806916531</v>
      </c>
      <c r="Q66" s="10" t="n">
        <v>1.465909797852694</v>
      </c>
      <c r="R66" s="10" t="n">
        <v>1.555815404835794</v>
      </c>
      <c r="S66" s="10" t="n">
        <v>1.641861608396</v>
      </c>
      <c r="T66" s="10" t="n">
        <v>1.724148831001266</v>
      </c>
      <c r="U66" s="10" t="n">
        <v>1.802819834114145</v>
      </c>
      <c r="V66" s="10" t="n">
        <v>1.878043685175627</v>
      </c>
      <c r="W66" s="10" t="n">
        <v>1.950010261616399</v>
      </c>
      <c r="X66" s="10" t="n">
        <v>2.01892608885891</v>
      </c>
      <c r="Y66" s="10" t="n">
        <v>2.085010701538421</v>
      </c>
      <c r="Z66" s="10" t="n">
        <v>2.148482280507001</v>
      </c>
      <c r="AA66" s="10" t="n">
        <v>2.209536273239048</v>
      </c>
      <c r="AB66" s="10" t="n">
        <v>2.268345179551883</v>
      </c>
      <c r="AC66" s="10" t="n">
        <v>2.325062366135791</v>
      </c>
      <c r="AD66" s="10" t="n">
        <v>2.379825150899456</v>
      </c>
      <c r="AE66" s="10" t="n">
        <v>2.43275543333398</v>
      </c>
      <c r="AF66" s="10" t="n">
        <v>2.483950674150136</v>
      </c>
      <c r="AG66" s="10" t="n">
        <v>3.005280733359063</v>
      </c>
      <c r="AH66" s="10" t="n">
        <v>3.034499828371912</v>
      </c>
      <c r="AI66" s="10" t="n">
        <v>3.06221417578212</v>
      </c>
      <c r="AJ66" s="10" t="n">
        <v>3.088451429663881</v>
      </c>
      <c r="AK66" s="10" t="n">
        <v>3.113242896135327</v>
      </c>
    </row>
    <row r="67">
      <c r="A67" s="9" t="n">
        <v>-58</v>
      </c>
      <c r="B67" s="7" t="n">
        <v>41108</v>
      </c>
      <c r="C67" s="10" t="n">
        <v>0.1211194710613743</v>
      </c>
      <c r="D67" s="10" t="n">
        <v>0.1414168212174887</v>
      </c>
      <c r="E67" s="10" t="n">
        <v>0.1970361164365457</v>
      </c>
      <c r="F67" s="10" t="n">
        <v>0.2759823455726558</v>
      </c>
      <c r="G67" s="10" t="n">
        <v>0.3700260961800915</v>
      </c>
      <c r="H67" s="10" t="n">
        <v>0.4734758437059384</v>
      </c>
      <c r="I67" s="10" t="n">
        <v>0.5823856068637819</v>
      </c>
      <c r="J67" s="10" t="n">
        <v>0.6939874981070872</v>
      </c>
      <c r="K67" s="10" t="n">
        <v>0.8063094705246892</v>
      </c>
      <c r="L67" s="10" t="n">
        <v>0.9178985127364576</v>
      </c>
      <c r="M67" s="10" t="n">
        <v>1.027655908210329</v>
      </c>
      <c r="N67" s="10" t="n">
        <v>1.134736398274689</v>
      </c>
      <c r="O67" s="10" t="n">
        <v>1.238501367053617</v>
      </c>
      <c r="P67" s="10" t="n">
        <v>1.338498146217721</v>
      </c>
      <c r="Q67" s="10" t="n">
        <v>1.43444379457891</v>
      </c>
      <c r="R67" s="10" t="n">
        <v>1.526206434520097</v>
      </c>
      <c r="S67" s="10" t="n">
        <v>1.613784613041901</v>
      </c>
      <c r="T67" s="10" t="n">
        <v>1.697288292833266</v>
      </c>
      <c r="U67" s="10" t="n">
        <v>1.776878117955047</v>
      </c>
      <c r="V67" s="10" t="n">
        <v>1.852746453177334</v>
      </c>
      <c r="W67" s="10" t="n">
        <v>1.925110758473174</v>
      </c>
      <c r="X67" s="10" t="n">
        <v>1.994208569977974</v>
      </c>
      <c r="Y67" s="10" t="n">
        <v>2.060293117411442</v>
      </c>
      <c r="Z67" s="10" t="n">
        <v>2.123616450014083</v>
      </c>
      <c r="AA67" s="10" t="n">
        <v>2.184404686769381</v>
      </c>
      <c r="AB67" s="10" t="n">
        <v>2.242857780462862</v>
      </c>
      <c r="AC67" s="10" t="n">
        <v>2.299153867913651</v>
      </c>
      <c r="AD67" s="10" t="n">
        <v>2.353452786662344</v>
      </c>
      <c r="AE67" s="10" t="n">
        <v>2.405896823146023</v>
      </c>
      <c r="AF67" s="10" t="n">
        <v>2.456600782899407</v>
      </c>
      <c r="AG67" s="10" t="n">
        <v>2.974278913110704</v>
      </c>
      <c r="AH67" s="10" t="n">
        <v>3.003436220790628</v>
      </c>
      <c r="AI67" s="10" t="n">
        <v>3.031103946654472</v>
      </c>
      <c r="AJ67" s="10" t="n">
        <v>3.057305829774138</v>
      </c>
      <c r="AK67" s="10" t="n">
        <v>3.082069669884028</v>
      </c>
    </row>
    <row r="68">
      <c r="A68" s="9" t="n">
        <v>-57</v>
      </c>
      <c r="B68" s="7" t="n">
        <v>41109</v>
      </c>
      <c r="C68" s="10" t="n">
        <v>0.1074504895169401</v>
      </c>
      <c r="D68" s="10" t="n">
        <v>0.1371660137228974</v>
      </c>
      <c r="E68" s="10" t="n">
        <v>0.2024382483621529</v>
      </c>
      <c r="F68" s="10" t="n">
        <v>0.2902527006893489</v>
      </c>
      <c r="G68" s="10" t="n">
        <v>0.3920094189106148</v>
      </c>
      <c r="H68" s="10" t="n">
        <v>0.5019414695666201</v>
      </c>
      <c r="I68" s="10" t="n">
        <v>0.6161766421966272</v>
      </c>
      <c r="J68" s="10" t="n">
        <v>0.7320855017391587</v>
      </c>
      <c r="K68" s="10" t="n">
        <v>0.8478568087870416</v>
      </c>
      <c r="L68" s="10" t="n">
        <v>0.9621874561430505</v>
      </c>
      <c r="M68" s="10" t="n">
        <v>1.074107654259712</v>
      </c>
      <c r="N68" s="10" t="n">
        <v>1.182881802674002</v>
      </c>
      <c r="O68" s="10" t="n">
        <v>1.28795962042748</v>
      </c>
      <c r="P68" s="10" t="n">
        <v>1.388958191793334</v>
      </c>
      <c r="Q68" s="10" t="n">
        <v>1.485650619986981</v>
      </c>
      <c r="R68" s="10" t="n">
        <v>1.577950600466692</v>
      </c>
      <c r="S68" s="10" t="n">
        <v>1.665896958652824</v>
      </c>
      <c r="T68" s="10" t="n">
        <v>1.749634697589083</v>
      </c>
      <c r="U68" s="10" t="n">
        <v>1.829354836945132</v>
      </c>
      <c r="V68" s="10" t="n">
        <v>1.905276585943206</v>
      </c>
      <c r="W68" s="10" t="n">
        <v>1.977641454802263</v>
      </c>
      <c r="X68" s="10" t="n">
        <v>2.046708794538647</v>
      </c>
      <c r="Y68" s="10" t="n">
        <v>2.112751806475131</v>
      </c>
      <c r="Z68" s="10" t="n">
        <v>2.176040307593783</v>
      </c>
      <c r="AA68" s="10" t="n">
        <v>2.236815434630758</v>
      </c>
      <c r="AB68" s="10" t="n">
        <v>2.29528977237416</v>
      </c>
      <c r="AC68" s="10" t="n">
        <v>2.351652101933027</v>
      </c>
      <c r="AD68" s="10" t="n">
        <v>2.406071237680819</v>
      </c>
      <c r="AE68" s="10" t="n">
        <v>2.458696877772835</v>
      </c>
      <c r="AF68" s="10" t="n">
        <v>2.50964916047066</v>
      </c>
      <c r="AG68" s="10" t="n">
        <v>3.036113100686809</v>
      </c>
      <c r="AH68" s="10" t="n">
        <v>3.066175501663515</v>
      </c>
      <c r="AI68" s="10" t="n">
        <v>3.094738468417274</v>
      </c>
      <c r="AJ68" s="10" t="n">
        <v>3.121816519158828</v>
      </c>
      <c r="AK68" s="10" t="n">
        <v>3.147429065996941</v>
      </c>
    </row>
    <row r="69">
      <c r="A69" s="9" t="n">
        <v>-56</v>
      </c>
      <c r="B69" s="7" t="n">
        <v>41110</v>
      </c>
      <c r="C69" s="10" t="n">
        <v>0.0865905487473199</v>
      </c>
      <c r="D69" s="10" t="n">
        <v>0.1117840030991391</v>
      </c>
      <c r="E69" s="10" t="n">
        <v>0.1729520883164728</v>
      </c>
      <c r="F69" s="10" t="n">
        <v>0.2572515840727252</v>
      </c>
      <c r="G69" s="10" t="n">
        <v>0.356099514621132</v>
      </c>
      <c r="H69" s="10" t="n">
        <v>0.4636923967996456</v>
      </c>
      <c r="I69" s="10" t="n">
        <v>0.5761001499073686</v>
      </c>
      <c r="J69" s="10" t="n">
        <v>0.6906375005147182</v>
      </c>
      <c r="K69" s="10" t="n">
        <v>0.8054266660066286</v>
      </c>
      <c r="L69" s="10" t="n">
        <v>0.9191020433139958</v>
      </c>
      <c r="M69" s="10" t="n">
        <v>1.030633839320386</v>
      </c>
      <c r="N69" s="10" t="n">
        <v>1.139229815485822</v>
      </c>
      <c r="O69" s="10" t="n">
        <v>1.244291822966402</v>
      </c>
      <c r="P69" s="10" t="n">
        <v>1.345399233970707</v>
      </c>
      <c r="Q69" s="10" t="n">
        <v>1.442301664653368</v>
      </c>
      <c r="R69" s="10" t="n">
        <v>1.534898065497035</v>
      </c>
      <c r="S69" s="10" t="n">
        <v>1.623225462716829</v>
      </c>
      <c r="T69" s="10" t="n">
        <v>1.707433929110673</v>
      </c>
      <c r="U69" s="10" t="n">
        <v>1.78772033152698</v>
      </c>
      <c r="V69" s="10" t="n">
        <v>1.864310056032868</v>
      </c>
      <c r="W69" s="10" t="n">
        <v>1.937451053078988</v>
      </c>
      <c r="X69" s="10" t="n">
        <v>2.007409324622815</v>
      </c>
      <c r="Y69" s="10" t="n">
        <v>2.074464773263076</v>
      </c>
      <c r="Z69" s="10" t="n">
        <v>2.13889188279793</v>
      </c>
      <c r="AA69" s="10" t="n">
        <v>2.200932171841243</v>
      </c>
      <c r="AB69" s="10" t="n">
        <v>2.260794792100579</v>
      </c>
      <c r="AC69" s="10" t="n">
        <v>2.318661913836911</v>
      </c>
      <c r="AD69" s="10" t="n">
        <v>2.374693074375292</v>
      </c>
      <c r="AE69" s="10" t="n">
        <v>2.429026192290602</v>
      </c>
      <c r="AF69" s="10" t="n">
        <v>2.481766636554915</v>
      </c>
      <c r="AG69" s="10" t="n">
        <v>3.031236592472887</v>
      </c>
      <c r="AH69" s="10" t="n">
        <v>3.062606503359916</v>
      </c>
      <c r="AI69" s="10" t="n">
        <v>3.092377432104316</v>
      </c>
      <c r="AJ69" s="10" t="n">
        <v>3.120563249477277</v>
      </c>
      <c r="AK69" s="10" t="n">
        <v>3.147183736506201</v>
      </c>
    </row>
    <row r="70">
      <c r="A70" s="9" t="n">
        <v>-55</v>
      </c>
      <c r="B70" s="7" t="n">
        <v>41113</v>
      </c>
      <c r="C70" s="10" t="n">
        <v>0.06915944097383769</v>
      </c>
      <c r="D70" s="10" t="n">
        <v>0.09451431969762232</v>
      </c>
      <c r="E70" s="10" t="n">
        <v>0.1555537275776179</v>
      </c>
      <c r="F70" s="10" t="n">
        <v>0.2396789824013835</v>
      </c>
      <c r="G70" s="10" t="n">
        <v>0.3384350452813392</v>
      </c>
      <c r="H70" s="10" t="n">
        <v>0.446080246709039</v>
      </c>
      <c r="I70" s="10" t="n">
        <v>0.5586995460049816</v>
      </c>
      <c r="J70" s="10" t="n">
        <v>0.6735976550531638</v>
      </c>
      <c r="K70" s="10" t="n">
        <v>0.7888628165199902</v>
      </c>
      <c r="L70" s="10" t="n">
        <v>0.9030912792865132</v>
      </c>
      <c r="M70" s="10" t="n">
        <v>1.015218891826621</v>
      </c>
      <c r="N70" s="10" t="n">
        <v>1.124427129304158</v>
      </c>
      <c r="O70" s="10" t="n">
        <v>1.230105188599129</v>
      </c>
      <c r="P70" s="10" t="n">
        <v>1.331829744631197</v>
      </c>
      <c r="Q70" s="10" t="n">
        <v>1.429354933792202</v>
      </c>
      <c r="R70" s="10" t="n">
        <v>1.522586160881005</v>
      </c>
      <c r="S70" s="10" t="n">
        <v>1.611568109430998</v>
      </c>
      <c r="T70" s="10" t="n">
        <v>1.696457356446906</v>
      </c>
      <c r="U70" s="10" t="n">
        <v>1.777455277838147</v>
      </c>
      <c r="V70" s="10" t="n">
        <v>1.854790204401138</v>
      </c>
      <c r="W70" s="10" t="n">
        <v>1.928711793786042</v>
      </c>
      <c r="X70" s="10" t="n">
        <v>1.999486765126013</v>
      </c>
      <c r="Y70" s="10" t="n">
        <v>2.067394891379567</v>
      </c>
      <c r="Z70" s="10" t="n">
        <v>2.132709033473206</v>
      </c>
      <c r="AA70" s="10" t="n">
        <v>2.195666850601207</v>
      </c>
      <c r="AB70" s="10" t="n">
        <v>2.256471677288794</v>
      </c>
      <c r="AC70" s="10" t="n">
        <v>2.315298235564233</v>
      </c>
      <c r="AD70" s="10" t="n">
        <v>2.372297246009669</v>
      </c>
      <c r="AE70" s="10" t="n">
        <v>2.427596466625463</v>
      </c>
      <c r="AF70" s="10" t="n">
        <v>2.48128911545929</v>
      </c>
      <c r="AG70" s="10" t="n">
        <v>3.037435768466958</v>
      </c>
      <c r="AH70" s="10" t="n">
        <v>3.068825159356761</v>
      </c>
      <c r="AI70" s="10" t="n">
        <v>3.098577217616185</v>
      </c>
      <c r="AJ70" s="10" t="n">
        <v>3.126716631946477</v>
      </c>
      <c r="AK70" s="10" t="n">
        <v>3.153273177615841</v>
      </c>
    </row>
    <row r="71">
      <c r="A71" s="9" t="n">
        <v>-54</v>
      </c>
      <c r="B71" s="7" t="n">
        <v>41114</v>
      </c>
      <c r="C71" s="10" t="n">
        <v>0.05993111302302984</v>
      </c>
      <c r="D71" s="10" t="n">
        <v>0.08783097951560724</v>
      </c>
      <c r="E71" s="10" t="n">
        <v>0.1511158157337128</v>
      </c>
      <c r="F71" s="10" t="n">
        <v>0.2368562129363955</v>
      </c>
      <c r="G71" s="10" t="n">
        <v>0.3365906443089451</v>
      </c>
      <c r="H71" s="10" t="n">
        <v>0.4446806079494418</v>
      </c>
      <c r="I71" s="10" t="n">
        <v>0.557337836526966</v>
      </c>
      <c r="J71" s="10" t="n">
        <v>0.6719906628168563</v>
      </c>
      <c r="K71" s="10" t="n">
        <v>0.7868288975914751</v>
      </c>
      <c r="L71" s="10" t="n">
        <v>0.9005347088830504</v>
      </c>
      <c r="M71" s="10" t="n">
        <v>1.012110914116647</v>
      </c>
      <c r="N71" s="10" t="n">
        <v>1.120789529576405</v>
      </c>
      <c r="O71" s="10" t="n">
        <v>1.225995372495131</v>
      </c>
      <c r="P71" s="10" t="n">
        <v>1.327326455504654</v>
      </c>
      <c r="Q71" s="10" t="n">
        <v>1.424546427697932</v>
      </c>
      <c r="R71" s="10" t="n">
        <v>1.517560145961726</v>
      </c>
      <c r="S71" s="10" t="n">
        <v>1.6064043592434</v>
      </c>
      <c r="T71" s="10" t="n">
        <v>1.69122097987483</v>
      </c>
      <c r="U71" s="10" t="n">
        <v>1.772194946292467</v>
      </c>
      <c r="V71" s="10" t="n">
        <v>1.849537611100621</v>
      </c>
      <c r="W71" s="10" t="n">
        <v>1.923481227760365</v>
      </c>
      <c r="X71" s="10" t="n">
        <v>1.994274770418189</v>
      </c>
      <c r="Y71" s="10" t="n">
        <v>2.062180016030621</v>
      </c>
      <c r="Z71" s="10" t="n">
        <v>2.127452548758587</v>
      </c>
      <c r="AA71" s="10" t="n">
        <v>2.190315230708563</v>
      </c>
      <c r="AB71" s="10" t="n">
        <v>2.250959051477723</v>
      </c>
      <c r="AC71" s="10" t="n">
        <v>2.309548432832981</v>
      </c>
      <c r="AD71" s="10" t="n">
        <v>2.366225509829703</v>
      </c>
      <c r="AE71" s="10" t="n">
        <v>2.421110998763844</v>
      </c>
      <c r="AF71" s="10" t="n">
        <v>2.474293128530054</v>
      </c>
      <c r="AG71" s="10" t="n">
        <v>3.016149431904072</v>
      </c>
      <c r="AH71" s="10" t="n">
        <v>3.046133183002399</v>
      </c>
      <c r="AI71" s="10" t="n">
        <v>3.074493627973967</v>
      </c>
      <c r="AJ71" s="10" t="n">
        <v>3.101267820611397</v>
      </c>
      <c r="AK71" s="10" t="n">
        <v>3.126496825402159</v>
      </c>
    </row>
    <row r="72">
      <c r="A72" s="9" t="n">
        <v>-53</v>
      </c>
      <c r="B72" s="7" t="n">
        <v>41115</v>
      </c>
      <c r="C72" s="10" t="n">
        <v>0.04438123810240989</v>
      </c>
      <c r="D72" s="10" t="n">
        <v>0.07261671487841465</v>
      </c>
      <c r="E72" s="10" t="n">
        <v>0.1361651874799397</v>
      </c>
      <c r="F72" s="10" t="n">
        <v>0.2221718472065813</v>
      </c>
      <c r="G72" s="10" t="n">
        <v>0.3222201804024645</v>
      </c>
      <c r="H72" s="10" t="n">
        <v>0.4306950543648616</v>
      </c>
      <c r="I72" s="10" t="n">
        <v>0.5438149349494834</v>
      </c>
      <c r="J72" s="10" t="n">
        <v>0.659009524376323</v>
      </c>
      <c r="K72" s="10" t="n">
        <v>0.7744584634896924</v>
      </c>
      <c r="L72" s="10" t="n">
        <v>0.8888343060656935</v>
      </c>
      <c r="M72" s="10" t="n">
        <v>1.001128913593964</v>
      </c>
      <c r="N72" s="10" t="n">
        <v>1.110561448085418</v>
      </c>
      <c r="O72" s="10" t="n">
        <v>1.216544661915092</v>
      </c>
      <c r="P72" s="10" t="n">
        <v>1.318666514896615</v>
      </c>
      <c r="Q72" s="10" t="n">
        <v>1.416681959733025</v>
      </c>
      <c r="R72" s="10" t="n">
        <v>1.510489672940119</v>
      </c>
      <c r="S72" s="10" t="n">
        <v>1.600122843096915</v>
      </c>
      <c r="T72" s="10" t="n">
        <v>1.685721437172339</v>
      </c>
      <c r="U72" s="10" t="n">
        <v>1.767468604902217</v>
      </c>
      <c r="V72" s="10" t="n">
        <v>1.845573941045657</v>
      </c>
      <c r="W72" s="10" t="n">
        <v>1.920267966261523</v>
      </c>
      <c r="X72" s="10" t="n">
        <v>1.991797941928471</v>
      </c>
      <c r="Y72" s="10" t="n">
        <v>2.060423922660703</v>
      </c>
      <c r="Z72" s="10" t="n">
        <v>2.126399494093358</v>
      </c>
      <c r="AA72" s="10" t="n">
        <v>2.189945182671405</v>
      </c>
      <c r="AB72" s="10" t="n">
        <v>2.251249411521719</v>
      </c>
      <c r="AC72" s="10" t="n">
        <v>2.310473844183101</v>
      </c>
      <c r="AD72" s="10" t="n">
        <v>2.367757696369887</v>
      </c>
      <c r="AE72" s="10" t="n">
        <v>2.423218638414982</v>
      </c>
      <c r="AF72" s="10" t="n">
        <v>2.476941996651583</v>
      </c>
      <c r="AG72" s="10" t="n">
        <v>3.022505024713677</v>
      </c>
      <c r="AH72" s="10" t="n">
        <v>3.052586116274142</v>
      </c>
      <c r="AI72" s="10" t="n">
        <v>3.081034760054107</v>
      </c>
      <c r="AJ72" s="10" t="n">
        <v>3.107892067849048</v>
      </c>
      <c r="AK72" s="10" t="n">
        <v>3.133202883298344</v>
      </c>
    </row>
    <row r="73">
      <c r="A73" s="9" t="n">
        <v>-52</v>
      </c>
      <c r="B73" s="7" t="n">
        <v>41116</v>
      </c>
      <c r="C73" s="10" t="n">
        <v>0.06871883173835225</v>
      </c>
      <c r="D73" s="10" t="n">
        <v>0.100933257571642</v>
      </c>
      <c r="E73" s="10" t="n">
        <v>0.1660743602785607</v>
      </c>
      <c r="F73" s="10" t="n">
        <v>0.2522687096627729</v>
      </c>
      <c r="G73" s="10" t="n">
        <v>0.3517055257318017</v>
      </c>
      <c r="H73" s="10" t="n">
        <v>0.4591406774657634</v>
      </c>
      <c r="I73" s="10" t="n">
        <v>0.5710272633943193</v>
      </c>
      <c r="J73" s="10" t="n">
        <v>0.6849478213821357</v>
      </c>
      <c r="K73" s="10" t="n">
        <v>0.7991850547233511</v>
      </c>
      <c r="L73" s="10" t="n">
        <v>0.9124742793843768</v>
      </c>
      <c r="M73" s="10" t="n">
        <v>1.023837023926755</v>
      </c>
      <c r="N73" s="10" t="n">
        <v>1.132496043794629</v>
      </c>
      <c r="O73" s="10" t="n">
        <v>1.237846643349797</v>
      </c>
      <c r="P73" s="10" t="n">
        <v>1.339447620244909</v>
      </c>
      <c r="Q73" s="10" t="n">
        <v>1.437018830829797</v>
      </c>
      <c r="R73" s="10" t="n">
        <v>1.530424422824052</v>
      </c>
      <c r="S73" s="10" t="n">
        <v>1.619666288318635</v>
      </c>
      <c r="T73" s="10" t="n">
        <v>1.704857440902835</v>
      </c>
      <c r="U73" s="10" t="n">
        <v>1.786160306658759</v>
      </c>
      <c r="V73" s="10" t="n">
        <v>1.86376923728178</v>
      </c>
      <c r="W73" s="10" t="n">
        <v>1.937903850622534</v>
      </c>
      <c r="X73" s="10" t="n">
        <v>2.008803977455863</v>
      </c>
      <c r="Y73" s="10" t="n">
        <v>2.076725050303247</v>
      </c>
      <c r="Z73" s="10" t="n">
        <v>2.141918745186559</v>
      </c>
      <c r="AA73" s="10" t="n">
        <v>2.204606926873883</v>
      </c>
      <c r="AB73" s="10" t="n">
        <v>2.26498228324228</v>
      </c>
      <c r="AC73" s="10" t="n">
        <v>2.323213182073822</v>
      </c>
      <c r="AD73" s="10" t="n">
        <v>2.379447588941771</v>
      </c>
      <c r="AE73" s="10" t="n">
        <v>2.433813594116001</v>
      </c>
      <c r="AF73" s="10" t="n">
        <v>2.48640825941739</v>
      </c>
      <c r="AG73" s="10" t="n">
        <v>3.019035173725515</v>
      </c>
      <c r="AH73" s="10" t="n">
        <v>3.048458076041299</v>
      </c>
      <c r="AI73" s="10" t="n">
        <v>3.076300034812521</v>
      </c>
      <c r="AJ73" s="10" t="n">
        <v>3.102599298180597</v>
      </c>
      <c r="AK73" s="10" t="n">
        <v>3.127397725130601</v>
      </c>
    </row>
    <row r="74">
      <c r="A74" s="9" t="n">
        <v>-51</v>
      </c>
      <c r="B74" s="7" t="n">
        <v>41117</v>
      </c>
      <c r="C74" s="10" t="n">
        <v>0.1017676988805867</v>
      </c>
      <c r="D74" s="10" t="n">
        <v>0.138882751536716</v>
      </c>
      <c r="E74" s="10" t="n">
        <v>0.2080606418312949</v>
      </c>
      <c r="F74" s="10" t="n">
        <v>0.2976174450861365</v>
      </c>
      <c r="G74" s="10" t="n">
        <v>0.3998710115072589</v>
      </c>
      <c r="H74" s="10" t="n">
        <v>0.509665428506188</v>
      </c>
      <c r="I74" s="10" t="n">
        <v>0.6235173673511222</v>
      </c>
      <c r="J74" s="10" t="n">
        <v>0.7390554903103402</v>
      </c>
      <c r="K74" s="10" t="n">
        <v>0.8546036565004136</v>
      </c>
      <c r="L74" s="10" t="n">
        <v>0.9689316624936113</v>
      </c>
      <c r="M74" s="10" t="n">
        <v>1.081092126906255</v>
      </c>
      <c r="N74" s="10" t="n">
        <v>1.19033515157847</v>
      </c>
      <c r="O74" s="10" t="n">
        <v>1.296080260838987</v>
      </c>
      <c r="P74" s="10" t="n">
        <v>1.397909806096874</v>
      </c>
      <c r="Q74" s="10" t="n">
        <v>1.495562280128633</v>
      </c>
      <c r="R74" s="10" t="n">
        <v>1.588918352332057</v>
      </c>
      <c r="S74" s="10" t="n">
        <v>1.677992484585714</v>
      </c>
      <c r="T74" s="10" t="n">
        <v>1.762907665320635</v>
      </c>
      <c r="U74" s="10" t="n">
        <v>1.843834653796667</v>
      </c>
      <c r="V74" s="10" t="n">
        <v>1.920975109965745</v>
      </c>
      <c r="W74" s="10" t="n">
        <v>1.994555150562168</v>
      </c>
      <c r="X74" s="10" t="n">
        <v>2.064820457746133</v>
      </c>
      <c r="Y74" s="10" t="n">
        <v>2.132031759941857</v>
      </c>
      <c r="Z74" s="10" t="n">
        <v>2.196445819566645</v>
      </c>
      <c r="AA74" s="10" t="n">
        <v>2.258290742356519</v>
      </c>
      <c r="AB74" s="10" t="n">
        <v>2.317766814928739</v>
      </c>
      <c r="AC74" s="10" t="n">
        <v>2.375051136962754</v>
      </c>
      <c r="AD74" s="10" t="n">
        <v>2.430301355364374</v>
      </c>
      <c r="AE74" s="10" t="n">
        <v>2.483656083278607</v>
      </c>
      <c r="AF74" s="10" t="n">
        <v>2.535224407760845</v>
      </c>
      <c r="AG74" s="10" t="n">
        <v>3.058092919316555</v>
      </c>
      <c r="AH74" s="10" t="n">
        <v>3.087218888805737</v>
      </c>
      <c r="AI74" s="10" t="n">
        <v>3.114826576747677</v>
      </c>
      <c r="AJ74" s="10" t="n">
        <v>3.140950381006288</v>
      </c>
      <c r="AK74" s="10" t="n">
        <v>3.165628072609426</v>
      </c>
    </row>
    <row r="75">
      <c r="A75" s="9" t="n">
        <v>-50</v>
      </c>
      <c r="B75" s="7" t="n">
        <v>41120</v>
      </c>
      <c r="C75" s="10" t="n">
        <v>0.09550590305345238</v>
      </c>
      <c r="D75" s="10" t="n">
        <v>0.1345475576007039</v>
      </c>
      <c r="E75" s="10" t="n">
        <v>0.2055801303046086</v>
      </c>
      <c r="F75" s="10" t="n">
        <v>0.2968024746636374</v>
      </c>
      <c r="G75" s="10" t="n">
        <v>0.4004957834487531</v>
      </c>
      <c r="H75" s="10" t="n">
        <v>0.5115059464319838</v>
      </c>
      <c r="I75" s="10" t="n">
        <v>0.6263694169355957</v>
      </c>
      <c r="J75" s="10" t="n">
        <v>0.7427388778085539</v>
      </c>
      <c r="K75" s="10" t="n">
        <v>0.8589627935640758</v>
      </c>
      <c r="L75" s="10" t="n">
        <v>0.9738315569820476</v>
      </c>
      <c r="M75" s="10" t="n">
        <v>1.086417688576356</v>
      </c>
      <c r="N75" s="10" t="n">
        <v>1.19599054041609</v>
      </c>
      <c r="O75" s="10" t="n">
        <v>1.30198732500676</v>
      </c>
      <c r="P75" s="10" t="n">
        <v>1.404006013347632</v>
      </c>
      <c r="Q75" s="10" t="n">
        <v>1.501797890286843</v>
      </c>
      <c r="R75" s="10" t="n">
        <v>1.595255226157354</v>
      </c>
      <c r="S75" s="10" t="n">
        <v>1.684402820486036</v>
      </c>
      <c r="T75" s="10" t="n">
        <v>1.769373134315883</v>
      </c>
      <c r="U75" s="10" t="n">
        <v>1.850344969111289</v>
      </c>
      <c r="V75" s="10" t="n">
        <v>1.927526842930037</v>
      </c>
      <c r="W75" s="10" t="n">
        <v>2.001150793653688</v>
      </c>
      <c r="X75" s="10" t="n">
        <v>2.071467675022837</v>
      </c>
      <c r="Y75" s="10" t="n">
        <v>2.138742745224712</v>
      </c>
      <c r="Z75" s="10" t="n">
        <v>2.203236318546672</v>
      </c>
      <c r="AA75" s="10" t="n">
        <v>2.265178848766885</v>
      </c>
      <c r="AB75" s="10" t="n">
        <v>2.324771968648137</v>
      </c>
      <c r="AC75" s="10" t="n">
        <v>2.382193289439502</v>
      </c>
      <c r="AD75" s="10" t="n">
        <v>2.437600269015241</v>
      </c>
      <c r="AE75" s="10" t="n">
        <v>2.491130626145885</v>
      </c>
      <c r="AF75" s="10" t="n">
        <v>2.542891565116165</v>
      </c>
      <c r="AG75" s="10" t="n">
        <v>3.06841948263614</v>
      </c>
      <c r="AH75" s="10" t="n">
        <v>3.097671479071136</v>
      </c>
      <c r="AI75" s="10" t="n">
        <v>3.125385793961295</v>
      </c>
      <c r="AJ75" s="10" t="n">
        <v>3.151596327981201</v>
      </c>
      <c r="AK75" s="10" t="n">
        <v>3.176340761112809</v>
      </c>
    </row>
    <row r="76">
      <c r="A76" s="9" t="n">
        <v>-49</v>
      </c>
      <c r="B76" s="7" t="n">
        <v>41121</v>
      </c>
      <c r="C76" s="10" t="n">
        <v>0.0661025460704905</v>
      </c>
      <c r="D76" s="10" t="n">
        <v>0.09933188971862358</v>
      </c>
      <c r="E76" s="10" t="n">
        <v>0.1655644650439827</v>
      </c>
      <c r="F76" s="10" t="n">
        <v>0.2527042706279757</v>
      </c>
      <c r="G76" s="10" t="n">
        <v>0.3527675244617101</v>
      </c>
      <c r="H76" s="10" t="n">
        <v>0.4604198589676098</v>
      </c>
      <c r="I76" s="10" t="n">
        <v>0.5721024300921108</v>
      </c>
      <c r="J76" s="10" t="n">
        <v>0.6854385944342761</v>
      </c>
      <c r="K76" s="10" t="n">
        <v>0.7987949916195854</v>
      </c>
      <c r="L76" s="10" t="n">
        <v>0.9110005839885656</v>
      </c>
      <c r="M76" s="10" t="n">
        <v>1.021170215794255</v>
      </c>
      <c r="N76" s="10" t="n">
        <v>1.128611571870817</v>
      </c>
      <c r="O76" s="10" t="n">
        <v>1.232788210037539</v>
      </c>
      <c r="P76" s="10" t="n">
        <v>1.333310941868293</v>
      </c>
      <c r="Q76" s="10" t="n">
        <v>1.429930022573784</v>
      </c>
      <c r="R76" s="10" t="n">
        <v>1.522525366160173</v>
      </c>
      <c r="S76" s="10" t="n">
        <v>1.611098392330479</v>
      </c>
      <c r="T76" s="10" t="n">
        <v>1.695750384104235</v>
      </c>
      <c r="U76" s="10" t="n">
        <v>1.776629385886181</v>
      </c>
      <c r="V76" s="10" t="n">
        <v>1.853914665565746</v>
      </c>
      <c r="W76" s="10" t="n">
        <v>1.92781020525624</v>
      </c>
      <c r="X76" s="10" t="n">
        <v>1.998539758450071</v>
      </c>
      <c r="Y76" s="10" t="n">
        <v>2.066342298124677</v>
      </c>
      <c r="Z76" s="10" t="n">
        <v>2.131453727800844</v>
      </c>
      <c r="AA76" s="10" t="n">
        <v>2.194083787568511</v>
      </c>
      <c r="AB76" s="10" t="n">
        <v>2.254416853255937</v>
      </c>
      <c r="AC76" s="10" t="n">
        <v>2.312616160486666</v>
      </c>
      <c r="AD76" s="10" t="n">
        <v>2.368827207209955</v>
      </c>
      <c r="AE76" s="10" t="n">
        <v>2.423177595354151</v>
      </c>
      <c r="AF76" s="10" t="n">
        <v>2.475765197306462</v>
      </c>
      <c r="AG76" s="10" t="n">
        <v>3.010096349089655</v>
      </c>
      <c r="AH76" s="10" t="n">
        <v>3.039807650292461</v>
      </c>
      <c r="AI76" s="10" t="n">
        <v>3.067951265927903</v>
      </c>
      <c r="AJ76" s="10" t="n">
        <v>3.094562181983045</v>
      </c>
      <c r="AK76" s="10" t="n">
        <v>3.11967922070532</v>
      </c>
    </row>
    <row r="77">
      <c r="A77" s="9" t="n">
        <v>-48</v>
      </c>
      <c r="B77" s="7" t="n">
        <v>41122</v>
      </c>
      <c r="C77" s="10" t="n">
        <v>0.07045939808425529</v>
      </c>
      <c r="D77" s="10" t="n">
        <v>0.1071355202858661</v>
      </c>
      <c r="E77" s="10" t="n">
        <v>0.1769291634632796</v>
      </c>
      <c r="F77" s="10" t="n">
        <v>0.2679102154479337</v>
      </c>
      <c r="G77" s="10" t="n">
        <v>0.3720529598263265</v>
      </c>
      <c r="H77" s="10" t="n">
        <v>0.4839066701752803</v>
      </c>
      <c r="I77" s="10" t="n">
        <v>0.5997804532415697</v>
      </c>
      <c r="J77" s="10" t="n">
        <v>0.7171731091159579</v>
      </c>
      <c r="K77" s="10" t="n">
        <v>0.8343457756025119</v>
      </c>
      <c r="L77" s="10" t="n">
        <v>0.9500426143415771</v>
      </c>
      <c r="M77" s="10" t="n">
        <v>1.063317079949714</v>
      </c>
      <c r="N77" s="10" t="n">
        <v>1.173435754746693</v>
      </c>
      <c r="O77" s="10" t="n">
        <v>1.279840912991597</v>
      </c>
      <c r="P77" s="10" t="n">
        <v>1.382139134975083</v>
      </c>
      <c r="Q77" s="10" t="n">
        <v>1.480089672330581</v>
      </c>
      <c r="R77" s="10" t="n">
        <v>1.573592183396389</v>
      </c>
      <c r="S77" s="10" t="n">
        <v>1.662674998749473</v>
      </c>
      <c r="T77" s="10" t="n">
        <v>1.747471071043901</v>
      </c>
      <c r="U77" s="10" t="n">
        <v>1.828161764667222</v>
      </c>
      <c r="V77" s="10" t="n">
        <v>1.904960685138148</v>
      </c>
      <c r="W77" s="10" t="n">
        <v>1.97810695800974</v>
      </c>
      <c r="X77" s="10" t="n">
        <v>2.047860124862538</v>
      </c>
      <c r="Y77" s="10" t="n">
        <v>2.114495421612757</v>
      </c>
      <c r="Z77" s="10" t="n">
        <v>2.178284766368369</v>
      </c>
      <c r="AA77" s="10" t="n">
        <v>2.239473032438072</v>
      </c>
      <c r="AB77" s="10" t="n">
        <v>2.29827894752689</v>
      </c>
      <c r="AC77" s="10" t="n">
        <v>2.354899448252439</v>
      </c>
      <c r="AD77" s="10" t="n">
        <v>2.409513187101839</v>
      </c>
      <c r="AE77" s="10" t="n">
        <v>2.462280418747714</v>
      </c>
      <c r="AF77" s="10" t="n">
        <v>2.513331241945391</v>
      </c>
      <c r="AG77" s="10" t="n">
        <v>3.040603735821389</v>
      </c>
      <c r="AH77" s="10" t="n">
        <v>3.070836901194259</v>
      </c>
      <c r="AI77" s="10" t="n">
        <v>3.099598888932248</v>
      </c>
      <c r="AJ77" s="10" t="n">
        <v>3.126907913206437</v>
      </c>
      <c r="AK77" s="10" t="n">
        <v>3.152786970257159</v>
      </c>
    </row>
    <row r="78">
      <c r="A78" s="9" t="n">
        <v>-47</v>
      </c>
      <c r="B78" s="7" t="n">
        <v>41123</v>
      </c>
      <c r="C78" s="10" t="n">
        <v>0.03089128637716003</v>
      </c>
      <c r="D78" s="10" t="n">
        <v>0.0587386371007327</v>
      </c>
      <c r="E78" s="10" t="n">
        <v>0.1222020170642097</v>
      </c>
      <c r="F78" s="10" t="n">
        <v>0.2084818815698118</v>
      </c>
      <c r="G78" s="10" t="n">
        <v>0.3089774220335443</v>
      </c>
      <c r="H78" s="10" t="n">
        <v>0.4178806681058926</v>
      </c>
      <c r="I78" s="10" t="n">
        <v>0.5312848882098138</v>
      </c>
      <c r="J78" s="10" t="n">
        <v>0.6465623330347309</v>
      </c>
      <c r="K78" s="10" t="n">
        <v>0.7619055717485331</v>
      </c>
      <c r="L78" s="10" t="n">
        <v>0.8760197061537025</v>
      </c>
      <c r="M78" s="10" t="n">
        <v>0.9879351172253508</v>
      </c>
      <c r="N78" s="10" t="n">
        <v>1.096904182459091</v>
      </c>
      <c r="O78" s="10" t="n">
        <v>1.202359383540165</v>
      </c>
      <c r="P78" s="10" t="n">
        <v>1.303900789631244</v>
      </c>
      <c r="Q78" s="10" t="n">
        <v>1.401282625307023</v>
      </c>
      <c r="R78" s="10" t="n">
        <v>1.494400449595069</v>
      </c>
      <c r="S78" s="10" t="n">
        <v>1.583278068825521</v>
      </c>
      <c r="T78" s="10" t="n">
        <v>1.668043932262232</v>
      </c>
      <c r="U78" s="10" t="n">
        <v>1.748874761438248</v>
      </c>
      <c r="V78" s="10" t="n">
        <v>1.825979430928122</v>
      </c>
      <c r="W78" s="10" t="n">
        <v>1.89959226599053</v>
      </c>
      <c r="X78" s="10" t="n">
        <v>1.969967952431451</v>
      </c>
      <c r="Y78" s="10" t="n">
        <v>2.037376771319193</v>
      </c>
      <c r="Z78" s="10" t="n">
        <v>2.102084829901433</v>
      </c>
      <c r="AA78" s="10" t="n">
        <v>2.164329620606451</v>
      </c>
      <c r="AB78" s="10" t="n">
        <v>2.224321112469136</v>
      </c>
      <c r="AC78" s="10" t="n">
        <v>2.282246335486299</v>
      </c>
      <c r="AD78" s="10" t="n">
        <v>2.338273071399938</v>
      </c>
      <c r="AE78" s="10" t="n">
        <v>2.392549581221292</v>
      </c>
      <c r="AF78" s="10" t="n">
        <v>2.445191723013899</v>
      </c>
      <c r="AG78" s="10" t="n">
        <v>2.993692139707739</v>
      </c>
      <c r="AH78" s="10" t="n">
        <v>3.025203251414295</v>
      </c>
      <c r="AI78" s="10" t="n">
        <v>3.055160067604413</v>
      </c>
      <c r="AJ78" s="10" t="n">
        <v>3.083578846303268</v>
      </c>
      <c r="AK78" s="10" t="n">
        <v>3.110481583590416</v>
      </c>
    </row>
    <row r="79">
      <c r="A79" s="9" t="n">
        <v>-46</v>
      </c>
      <c r="B79" s="7" t="n">
        <v>41124</v>
      </c>
      <c r="C79" s="10" t="n">
        <v>0.08763978152857789</v>
      </c>
      <c r="D79" s="10" t="n">
        <v>0.1279447311521499</v>
      </c>
      <c r="E79" s="10" t="n">
        <v>0.2008105115836076</v>
      </c>
      <c r="F79" s="10" t="n">
        <v>0.2944073983000464</v>
      </c>
      <c r="G79" s="10" t="n">
        <v>0.4008820319523145</v>
      </c>
      <c r="H79" s="10" t="n">
        <v>0.5149239469336233</v>
      </c>
      <c r="I79" s="10" t="n">
        <v>0.6329256687344251</v>
      </c>
      <c r="J79" s="10" t="n">
        <v>0.7524015741567062</v>
      </c>
      <c r="K79" s="10" t="n">
        <v>0.8715906560988599</v>
      </c>
      <c r="L79" s="10" t="n">
        <v>0.9891821734672916</v>
      </c>
      <c r="M79" s="10" t="n">
        <v>1.104168430862513</v>
      </c>
      <c r="N79" s="10" t="n">
        <v>1.215759581451587</v>
      </c>
      <c r="O79" s="10" t="n">
        <v>1.323354331949003</v>
      </c>
      <c r="P79" s="10" t="n">
        <v>1.426531323529748</v>
      </c>
      <c r="Q79" s="10" t="n">
        <v>1.525039062806801</v>
      </c>
      <c r="R79" s="10" t="n">
        <v>1.618782363120286</v>
      </c>
      <c r="S79" s="10" t="n">
        <v>1.707806758094407</v>
      </c>
      <c r="T79" s="10" t="n">
        <v>1.792272058204176</v>
      </c>
      <c r="U79" s="10" t="n">
        <v>1.872391164782002</v>
      </c>
      <c r="V79" s="10" t="n">
        <v>1.948412711015344</v>
      </c>
      <c r="W79" s="10" t="n">
        <v>2.020613614890016</v>
      </c>
      <c r="X79" s="10" t="n">
        <v>2.089293422230519</v>
      </c>
      <c r="Y79" s="10" t="n">
        <v>2.154768958738519</v>
      </c>
      <c r="Z79" s="10" t="n">
        <v>2.217352417578833</v>
      </c>
      <c r="AA79" s="10" t="n">
        <v>2.277325253681722</v>
      </c>
      <c r="AB79" s="10" t="n">
        <v>2.334939549347748</v>
      </c>
      <c r="AC79" s="10" t="n">
        <v>2.390422907479358</v>
      </c>
      <c r="AD79" s="10" t="n">
        <v>2.443982387824972</v>
      </c>
      <c r="AE79" s="10" t="n">
        <v>2.495804038825438</v>
      </c>
      <c r="AF79" s="10" t="n">
        <v>2.546039035266035</v>
      </c>
      <c r="AG79" s="10" t="n">
        <v>3.076486795335007</v>
      </c>
      <c r="AH79" s="10" t="n">
        <v>3.107747332704488</v>
      </c>
      <c r="AI79" s="10" t="n">
        <v>3.137575618097506</v>
      </c>
      <c r="AJ79" s="10" t="n">
        <v>3.165974667956465</v>
      </c>
      <c r="AK79" s="10" t="n">
        <v>3.192953692982956</v>
      </c>
    </row>
    <row r="80">
      <c r="A80" s="9" t="n">
        <v>-45</v>
      </c>
      <c r="B80" s="7" t="n">
        <v>41127</v>
      </c>
      <c r="C80" s="10" t="n">
        <v>0.0513089011848091</v>
      </c>
      <c r="D80" s="10" t="n">
        <v>0.08566641946266446</v>
      </c>
      <c r="E80" s="10" t="n">
        <v>0.1546280752779643</v>
      </c>
      <c r="F80" s="10" t="n">
        <v>0.245583758831871</v>
      </c>
      <c r="G80" s="10" t="n">
        <v>0.3501782794847911</v>
      </c>
      <c r="H80" s="10" t="n">
        <v>0.4627937712020923</v>
      </c>
      <c r="I80" s="10" t="n">
        <v>0.5796376262781555</v>
      </c>
      <c r="J80" s="10" t="n">
        <v>0.6981111561364071</v>
      </c>
      <c r="K80" s="10" t="n">
        <v>0.8163891663034309</v>
      </c>
      <c r="L80" s="10" t="n">
        <v>0.9331246003539244</v>
      </c>
      <c r="M80" s="10" t="n">
        <v>1.047292177242254</v>
      </c>
      <c r="N80" s="10" t="n">
        <v>1.158096610793607</v>
      </c>
      <c r="O80" s="10" t="n">
        <v>1.264936130073359</v>
      </c>
      <c r="P80" s="10" t="n">
        <v>1.367388950773986</v>
      </c>
      <c r="Q80" s="10" t="n">
        <v>1.465200850150537</v>
      </c>
      <c r="R80" s="10" t="n">
        <v>1.558268669146945</v>
      </c>
      <c r="S80" s="10" t="n">
        <v>1.646622062395244</v>
      </c>
      <c r="T80" s="10" t="n">
        <v>1.730398693594978</v>
      </c>
      <c r="U80" s="10" t="n">
        <v>1.809791981509118</v>
      </c>
      <c r="V80" s="10" t="n">
        <v>1.885034435224729</v>
      </c>
      <c r="W80" s="10" t="n">
        <v>1.95638950828519</v>
      </c>
      <c r="X80" s="10" t="n">
        <v>2.024145409798941</v>
      </c>
      <c r="Y80" s="10" t="n">
        <v>2.088609436273793</v>
      </c>
      <c r="Z80" s="10" t="n">
        <v>2.150087707923631</v>
      </c>
      <c r="AA80" s="10" t="n">
        <v>2.208861587195812</v>
      </c>
      <c r="AB80" s="10" t="n">
        <v>2.265188522308958</v>
      </c>
      <c r="AC80" s="10" t="n">
        <v>2.319306031224509</v>
      </c>
      <c r="AD80" s="10" t="n">
        <v>2.371434903446702</v>
      </c>
      <c r="AE80" s="10" t="n">
        <v>2.421778124566914</v>
      </c>
      <c r="AF80" s="10" t="n">
        <v>2.470506706297405</v>
      </c>
      <c r="AG80" s="10" t="n">
        <v>2.986488904215533</v>
      </c>
      <c r="AH80" s="10" t="n">
        <v>3.017275984853777</v>
      </c>
      <c r="AI80" s="10" t="n">
        <v>3.046711939863547</v>
      </c>
      <c r="AJ80" s="10" t="n">
        <v>3.07479277594739</v>
      </c>
      <c r="AK80" s="10" t="n">
        <v>3.101520691257339</v>
      </c>
    </row>
    <row r="81">
      <c r="A81" s="9" t="n">
        <v>-44</v>
      </c>
      <c r="B81" s="7" t="n">
        <v>41128</v>
      </c>
      <c r="C81" s="10" t="n">
        <v>0.09802572981894794</v>
      </c>
      <c r="D81" s="10" t="n">
        <v>0.1430878547894421</v>
      </c>
      <c r="E81" s="10" t="n">
        <v>0.2195951012809549</v>
      </c>
      <c r="F81" s="10" t="n">
        <v>0.3161533425139328</v>
      </c>
      <c r="G81" s="10" t="n">
        <v>0.4251819352957939</v>
      </c>
      <c r="H81" s="10" t="n">
        <v>0.5415408596513113</v>
      </c>
      <c r="I81" s="10" t="n">
        <v>0.661727922318554</v>
      </c>
      <c r="J81" s="10" t="n">
        <v>0.7833044916773972</v>
      </c>
      <c r="K81" s="10" t="n">
        <v>0.904519625084779</v>
      </c>
      <c r="L81" s="10" t="n">
        <v>1.02404166885815</v>
      </c>
      <c r="M81" s="10" t="n">
        <v>1.140825022089164</v>
      </c>
      <c r="N81" s="10" t="n">
        <v>1.254032654614958</v>
      </c>
      <c r="O81" s="10" t="n">
        <v>1.363011101207413</v>
      </c>
      <c r="P81" s="10" t="n">
        <v>1.467287603470257</v>
      </c>
      <c r="Q81" s="10" t="n">
        <v>1.566569460223372</v>
      </c>
      <c r="R81" s="10" t="n">
        <v>1.66073407538962</v>
      </c>
      <c r="S81" s="10" t="n">
        <v>1.749814235493482</v>
      </c>
      <c r="T81" s="10" t="n">
        <v>1.833969399986876</v>
      </c>
      <c r="U81" s="10" t="n">
        <v>1.913422670861703</v>
      </c>
      <c r="V81" s="10" t="n">
        <v>1.988441470336415</v>
      </c>
      <c r="W81" s="10" t="n">
        <v>2.059328305259077</v>
      </c>
      <c r="X81" s="10" t="n">
        <v>2.126413750181445</v>
      </c>
      <c r="Y81" s="10" t="n">
        <v>2.190049951911939</v>
      </c>
      <c r="Z81" s="10" t="n">
        <v>2.250586766068813</v>
      </c>
      <c r="AA81" s="10" t="n">
        <v>2.308344245924375</v>
      </c>
      <c r="AB81" s="10" t="n">
        <v>2.363613819511766</v>
      </c>
      <c r="AC81" s="10" t="n">
        <v>2.416663058696311</v>
      </c>
      <c r="AD81" s="10" t="n">
        <v>2.467739511745382</v>
      </c>
      <c r="AE81" s="10" t="n">
        <v>2.517069664563883</v>
      </c>
      <c r="AF81" s="10" t="n">
        <v>2.564843336287566</v>
      </c>
      <c r="AG81" s="10" t="n">
        <v>3.076029135008238</v>
      </c>
      <c r="AH81" s="10" t="n">
        <v>3.106935728581108</v>
      </c>
      <c r="AI81" s="10" t="n">
        <v>3.136527859152679</v>
      </c>
      <c r="AJ81" s="10" t="n">
        <v>3.164793637407151</v>
      </c>
      <c r="AK81" s="10" t="n">
        <v>3.191727602990427</v>
      </c>
    </row>
    <row r="82">
      <c r="A82" s="9" t="n">
        <v>-43</v>
      </c>
      <c r="B82" s="7" t="n">
        <v>41129</v>
      </c>
      <c r="C82" s="10" t="n">
        <v>0.1056419248078373</v>
      </c>
      <c r="D82" s="10" t="n">
        <v>0.142585836406676</v>
      </c>
      <c r="E82" s="10" t="n">
        <v>0.2121770051184749</v>
      </c>
      <c r="F82" s="10" t="n">
        <v>0.3030041753320351</v>
      </c>
      <c r="G82" s="10" t="n">
        <v>0.4073073931029719</v>
      </c>
      <c r="H82" s="10" t="n">
        <v>0.5197705642957695</v>
      </c>
      <c r="I82" s="10" t="n">
        <v>0.63675401034081</v>
      </c>
      <c r="J82" s="10" t="n">
        <v>0.7557200172622582</v>
      </c>
      <c r="K82" s="10" t="n">
        <v>0.8748449794091572</v>
      </c>
      <c r="L82" s="10" t="n">
        <v>0.9927332343027714</v>
      </c>
      <c r="M82" s="10" t="n">
        <v>1.108275083057006</v>
      </c>
      <c r="N82" s="10" t="n">
        <v>1.220567578357432</v>
      </c>
      <c r="O82" s="10" t="n">
        <v>1.328889714302007</v>
      </c>
      <c r="P82" s="10" t="n">
        <v>1.43270390763529</v>
      </c>
      <c r="Q82" s="10" t="n">
        <v>1.531659394910305</v>
      </c>
      <c r="R82" s="10" t="n">
        <v>1.625582602743743</v>
      </c>
      <c r="S82" s="10" t="n">
        <v>1.714461561170938</v>
      </c>
      <c r="T82" s="10" t="n">
        <v>1.798417328724988</v>
      </c>
      <c r="U82" s="10" t="n">
        <v>1.877644147583116</v>
      </c>
      <c r="V82" s="10" t="n">
        <v>1.952388820000362</v>
      </c>
      <c r="W82" s="10" t="n">
        <v>2.022939756595646</v>
      </c>
      <c r="X82" s="10" t="n">
        <v>2.089618654678992</v>
      </c>
      <c r="Y82" s="10" t="n">
        <v>2.152773004317768</v>
      </c>
      <c r="Z82" s="10" t="n">
        <v>2.212751895381724</v>
      </c>
      <c r="AA82" s="10" t="n">
        <v>2.269878771470482</v>
      </c>
      <c r="AB82" s="10" t="n">
        <v>2.324452082169845</v>
      </c>
      <c r="AC82" s="10" t="n">
        <v>2.376749447185595</v>
      </c>
      <c r="AD82" s="10" t="n">
        <v>2.427030998950253</v>
      </c>
      <c r="AE82" s="10" t="n">
        <v>2.475537677345939</v>
      </c>
      <c r="AF82" s="10" t="n">
        <v>2.522474392645778</v>
      </c>
      <c r="AG82" s="10" t="n">
        <v>3.026101971114815</v>
      </c>
      <c r="AH82" s="10" t="n">
        <v>3.056775521160654</v>
      </c>
      <c r="AI82" s="10" t="n">
        <v>3.086168484520554</v>
      </c>
      <c r="AJ82" s="10" t="n">
        <v>3.114263025669709</v>
      </c>
      <c r="AK82" s="10" t="n">
        <v>3.141047988662521</v>
      </c>
    </row>
    <row r="83">
      <c r="A83" s="9" t="n">
        <v>-42</v>
      </c>
      <c r="B83" s="7" t="n">
        <v>41130</v>
      </c>
      <c r="C83" s="10" t="n">
        <v>0.134955400808769</v>
      </c>
      <c r="D83" s="10" t="n">
        <v>0.1747651500457776</v>
      </c>
      <c r="E83" s="10" t="n">
        <v>0.2472878313327684</v>
      </c>
      <c r="F83" s="10" t="n">
        <v>0.3409082060955714</v>
      </c>
      <c r="G83" s="10" t="n">
        <v>0.4478069999359374</v>
      </c>
      <c r="H83" s="10" t="n">
        <v>0.5626613107495769</v>
      </c>
      <c r="I83" s="10" t="n">
        <v>0.6818289588825949</v>
      </c>
      <c r="J83" s="10" t="n">
        <v>0.8027570567981912</v>
      </c>
      <c r="K83" s="10" t="n">
        <v>0.9235932789420874</v>
      </c>
      <c r="L83" s="10" t="n">
        <v>1.042913168781178</v>
      </c>
      <c r="M83" s="10" t="n">
        <v>1.159586831839342</v>
      </c>
      <c r="N83" s="10" t="n">
        <v>1.2727027493695</v>
      </c>
      <c r="O83" s="10" t="n">
        <v>1.381545019538941</v>
      </c>
      <c r="P83" s="10" t="n">
        <v>1.485592550859177</v>
      </c>
      <c r="Q83" s="10" t="n">
        <v>1.584521359143948</v>
      </c>
      <c r="R83" s="10" t="n">
        <v>1.678190871359298</v>
      </c>
      <c r="S83" s="10" t="n">
        <v>1.766628883545504</v>
      </c>
      <c r="T83" s="10" t="n">
        <v>1.849999006167286</v>
      </c>
      <c r="U83" s="10" t="n">
        <v>1.928533448220638</v>
      </c>
      <c r="V83" s="10" t="n">
        <v>2.002512504265589</v>
      </c>
      <c r="W83" s="10" t="n">
        <v>2.072254534810359</v>
      </c>
      <c r="X83" s="10" t="n">
        <v>2.138108353121726</v>
      </c>
      <c r="Y83" s="10" t="n">
        <v>2.200446104784464</v>
      </c>
      <c r="Z83" s="10" t="n">
        <v>2.259636887976587</v>
      </c>
      <c r="AA83" s="10" t="n">
        <v>2.316017032549758</v>
      </c>
      <c r="AB83" s="10" t="n">
        <v>2.369891579764044</v>
      </c>
      <c r="AC83" s="10" t="n">
        <v>2.421539495539037</v>
      </c>
      <c r="AD83" s="10" t="n">
        <v>2.471217857076566</v>
      </c>
      <c r="AE83" s="10" t="n">
        <v>2.519160555506709</v>
      </c>
      <c r="AF83" s="10" t="n">
        <v>2.565561103786884</v>
      </c>
      <c r="AG83" s="10" t="n">
        <v>3.059167138632333</v>
      </c>
      <c r="AH83" s="10" t="n">
        <v>3.088685548402219</v>
      </c>
      <c r="AI83" s="10" t="n">
        <v>3.116892740088248</v>
      </c>
      <c r="AJ83" s="10" t="n">
        <v>3.143781341234693</v>
      </c>
      <c r="AK83" s="10" t="n">
        <v>3.169350172368678</v>
      </c>
    </row>
    <row r="84">
      <c r="A84" s="9" t="n">
        <v>-41</v>
      </c>
      <c r="B84" s="7" t="n">
        <v>41131</v>
      </c>
      <c r="C84" s="10" t="n">
        <v>0.1001544588225387</v>
      </c>
      <c r="D84" s="10" t="n">
        <v>0.1303154091179034</v>
      </c>
      <c r="E84" s="10" t="n">
        <v>0.1962317025854776</v>
      </c>
      <c r="F84" s="10" t="n">
        <v>0.2851354641976708</v>
      </c>
      <c r="G84" s="10" t="n">
        <v>0.388442257287816</v>
      </c>
      <c r="H84" s="10" t="n">
        <v>0.5003642239797694</v>
      </c>
      <c r="I84" s="10" t="n">
        <v>0.6169803226329172</v>
      </c>
      <c r="J84" s="10" t="n">
        <v>0.7355972754143422</v>
      </c>
      <c r="K84" s="10" t="n">
        <v>0.8542780869315624</v>
      </c>
      <c r="L84" s="10" t="n">
        <v>0.9715694516059675</v>
      </c>
      <c r="M84" s="10" t="n">
        <v>1.086332074792037</v>
      </c>
      <c r="N84" s="10" t="n">
        <v>1.197656938928179</v>
      </c>
      <c r="O84" s="10" t="n">
        <v>1.3048379336518</v>
      </c>
      <c r="P84" s="10" t="n">
        <v>1.407366238269829</v>
      </c>
      <c r="Q84" s="10" t="n">
        <v>1.504932781183152</v>
      </c>
      <c r="R84" s="10" t="n">
        <v>1.597409319160224</v>
      </c>
      <c r="S84" s="10" t="n">
        <v>1.684839489634938</v>
      </c>
      <c r="T84" s="10" t="n">
        <v>1.767399988277189</v>
      </c>
      <c r="U84" s="10" t="n">
        <v>1.845332694171002</v>
      </c>
      <c r="V84" s="10" t="n">
        <v>1.918925162198922</v>
      </c>
      <c r="W84" s="10" t="n">
        <v>1.988501106093701</v>
      </c>
      <c r="X84" s="10" t="n">
        <v>2.054413166668256</v>
      </c>
      <c r="Y84" s="10" t="n">
        <v>2.117035870722437</v>
      </c>
      <c r="Z84" s="10" t="n">
        <v>2.176737139662483</v>
      </c>
      <c r="AA84" s="10" t="n">
        <v>2.233847121191061</v>
      </c>
      <c r="AB84" s="10" t="n">
        <v>2.288660437872439</v>
      </c>
      <c r="AC84" s="10" t="n">
        <v>2.341442106922122</v>
      </c>
      <c r="AD84" s="10" t="n">
        <v>2.392432289998964</v>
      </c>
      <c r="AE84" s="10" t="n">
        <v>2.441844786591686</v>
      </c>
      <c r="AF84" s="10" t="n">
        <v>2.489848312096243</v>
      </c>
      <c r="AG84" s="10" t="n">
        <v>3.004828129141379</v>
      </c>
      <c r="AH84" s="10" t="n">
        <v>3.035445891617989</v>
      </c>
      <c r="AI84" s="10" t="n">
        <v>3.064640355875114</v>
      </c>
      <c r="AJ84" s="10" t="n">
        <v>3.092404985262635</v>
      </c>
      <c r="AK84" s="10" t="n">
        <v>3.118740546239114</v>
      </c>
    </row>
    <row r="85">
      <c r="A85" s="9" t="n">
        <v>-40</v>
      </c>
      <c r="B85" s="7" t="n">
        <v>41134</v>
      </c>
      <c r="C85" s="10" t="n">
        <v>0.1107499246357901</v>
      </c>
      <c r="D85" s="10" t="n">
        <v>0.1415044180266728</v>
      </c>
      <c r="E85" s="10" t="n">
        <v>0.2081007305003906</v>
      </c>
      <c r="F85" s="10" t="n">
        <v>0.2978781763049985</v>
      </c>
      <c r="G85" s="10" t="n">
        <v>0.4022491449244283</v>
      </c>
      <c r="H85" s="10" t="n">
        <v>0.5153824902388031</v>
      </c>
      <c r="I85" s="10" t="n">
        <v>0.6332967853205584</v>
      </c>
      <c r="J85" s="10" t="n">
        <v>0.753240689214751</v>
      </c>
      <c r="K85" s="10" t="n">
        <v>0.8732143004734834</v>
      </c>
      <c r="L85" s="10" t="n">
        <v>0.9917160956017678</v>
      </c>
      <c r="M85" s="10" t="n">
        <v>1.107570716261098</v>
      </c>
      <c r="N85" s="10" t="n">
        <v>1.219846887383331</v>
      </c>
      <c r="O85" s="10" t="n">
        <v>1.327831828825434</v>
      </c>
      <c r="P85" s="10" t="n">
        <v>1.431022254828145</v>
      </c>
      <c r="Q85" s="10" t="n">
        <v>1.529124961336429</v>
      </c>
      <c r="R85" s="10" t="n">
        <v>1.622033551412593</v>
      </c>
      <c r="S85" s="10" t="n">
        <v>1.709819987982188</v>
      </c>
      <c r="T85" s="10" t="n">
        <v>1.792690887505138</v>
      </c>
      <c r="U85" s="10" t="n">
        <v>1.870914287149434</v>
      </c>
      <c r="V85" s="10" t="n">
        <v>1.944800406281917</v>
      </c>
      <c r="W85" s="10" t="n">
        <v>2.014692857401976</v>
      </c>
      <c r="X85" s="10" t="n">
        <v>2.08096196751504</v>
      </c>
      <c r="Y85" s="10" t="n">
        <v>2.143998009328613</v>
      </c>
      <c r="Z85" s="10" t="n">
        <v>2.204181012208568</v>
      </c>
      <c r="AA85" s="10" t="n">
        <v>2.26184793769031</v>
      </c>
      <c r="AB85" s="10" t="n">
        <v>2.317295604065812</v>
      </c>
      <c r="AC85" s="10" t="n">
        <v>2.370787375940227</v>
      </c>
      <c r="AD85" s="10" t="n">
        <v>2.422558532447356</v>
      </c>
      <c r="AE85" s="10" t="n">
        <v>2.472815051377984</v>
      </c>
      <c r="AF85" s="10" t="n">
        <v>2.521714748096429</v>
      </c>
      <c r="AG85" s="10" t="n">
        <v>3.047696791740957</v>
      </c>
      <c r="AH85" s="10" t="n">
        <v>3.078850161432665</v>
      </c>
      <c r="AI85" s="10" t="n">
        <v>3.108522418164719</v>
      </c>
      <c r="AJ85" s="10" t="n">
        <v>3.136707508977307</v>
      </c>
      <c r="AK85" s="10" t="n">
        <v>3.163407134095999</v>
      </c>
    </row>
    <row r="86">
      <c r="A86" s="9" t="n">
        <v>-39</v>
      </c>
      <c r="B86" s="7" t="n">
        <v>41135</v>
      </c>
      <c r="C86" s="10" t="n">
        <v>0.1305587739607139</v>
      </c>
      <c r="D86" s="10" t="n">
        <v>0.1663606538609707</v>
      </c>
      <c r="E86" s="10" t="n">
        <v>0.2366969408171126</v>
      </c>
      <c r="F86" s="10" t="n">
        <v>0.3292814533228884</v>
      </c>
      <c r="G86" s="10" t="n">
        <v>0.4358057411331421</v>
      </c>
      <c r="H86" s="10" t="n">
        <v>0.5506273964981847</v>
      </c>
      <c r="I86" s="10" t="n">
        <v>0.6698851547499807</v>
      </c>
      <c r="J86" s="10" t="n">
        <v>0.7909030334903396</v>
      </c>
      <c r="K86" s="10" t="n">
        <v>0.911727718258195</v>
      </c>
      <c r="L86" s="10" t="n">
        <v>1.030891529042781</v>
      </c>
      <c r="M86" s="10" t="n">
        <v>1.14724312137894</v>
      </c>
      <c r="N86" s="10" t="n">
        <v>1.259868061261219</v>
      </c>
      <c r="O86" s="10" t="n">
        <v>1.368066114896789</v>
      </c>
      <c r="P86" s="10" t="n">
        <v>1.471345462977444</v>
      </c>
      <c r="Q86" s="10" t="n">
        <v>1.569424691366066</v>
      </c>
      <c r="R86" s="10" t="n">
        <v>1.662210774140839</v>
      </c>
      <c r="S86" s="10" t="n">
        <v>1.749793210116867</v>
      </c>
      <c r="T86" s="10" t="n">
        <v>1.832397105476417</v>
      </c>
      <c r="U86" s="10" t="n">
        <v>1.910306189994954</v>
      </c>
      <c r="V86" s="10" t="n">
        <v>1.983843840409889</v>
      </c>
      <c r="W86" s="10" t="n">
        <v>2.053364819624358</v>
      </c>
      <c r="X86" s="10" t="n">
        <v>2.11924899947407</v>
      </c>
      <c r="Y86" s="10" t="n">
        <v>2.181894815942163</v>
      </c>
      <c r="Z86" s="10" t="n">
        <v>2.241688448870746</v>
      </c>
      <c r="AA86" s="10" t="n">
        <v>2.29897062234555</v>
      </c>
      <c r="AB86" s="10" t="n">
        <v>2.35403991337996</v>
      </c>
      <c r="AC86" s="10" t="n">
        <v>2.40715977556718</v>
      </c>
      <c r="AD86" s="10" t="n">
        <v>2.458564175952231</v>
      </c>
      <c r="AE86" s="10" t="n">
        <v>2.508456725331909</v>
      </c>
      <c r="AF86" s="10" t="n">
        <v>2.55699280984508</v>
      </c>
      <c r="AG86" s="10" t="n">
        <v>3.077932956709896</v>
      </c>
      <c r="AH86" s="10" t="n">
        <v>3.108705455420635</v>
      </c>
      <c r="AI86" s="10" t="n">
        <v>3.138007962875669</v>
      </c>
      <c r="AJ86" s="10" t="n">
        <v>3.165836510857901</v>
      </c>
      <c r="AK86" s="10" t="n">
        <v>3.19219458591549</v>
      </c>
    </row>
    <row r="87">
      <c r="A87" s="9" t="n">
        <v>-38</v>
      </c>
      <c r="B87" s="7" t="n">
        <v>41136</v>
      </c>
      <c r="C87" s="10" t="n">
        <v>0.1682895742768436</v>
      </c>
      <c r="D87" s="10" t="n">
        <v>0.2108757707899011</v>
      </c>
      <c r="E87" s="10" t="n">
        <v>0.286089469586232</v>
      </c>
      <c r="F87" s="10" t="n">
        <v>0.3825804834509522</v>
      </c>
      <c r="G87" s="10" t="n">
        <v>0.4925253782645543</v>
      </c>
      <c r="H87" s="10" t="n">
        <v>0.6105199025085339</v>
      </c>
      <c r="I87" s="10" t="n">
        <v>0.7328107220123492</v>
      </c>
      <c r="J87" s="10" t="n">
        <v>0.8567571118957139</v>
      </c>
      <c r="K87" s="10" t="n">
        <v>0.9804020163990851</v>
      </c>
      <c r="L87" s="10" t="n">
        <v>1.102252240571708</v>
      </c>
      <c r="M87" s="10" t="n">
        <v>1.221120618175901</v>
      </c>
      <c r="N87" s="10" t="n">
        <v>1.336052485427953</v>
      </c>
      <c r="O87" s="10" t="n">
        <v>1.446310386208822</v>
      </c>
      <c r="P87" s="10" t="n">
        <v>1.551373875731552</v>
      </c>
      <c r="Q87" s="10" t="n">
        <v>1.650943478155808</v>
      </c>
      <c r="R87" s="10" t="n">
        <v>1.744921096689229</v>
      </c>
      <c r="S87" s="10" t="n">
        <v>1.833404885066426</v>
      </c>
      <c r="T87" s="10" t="n">
        <v>1.916636980470959</v>
      </c>
      <c r="U87" s="10" t="n">
        <v>1.994921873000035</v>
      </c>
      <c r="V87" s="10" t="n">
        <v>2.068606396021297</v>
      </c>
      <c r="W87" s="10" t="n">
        <v>2.138070903759772</v>
      </c>
      <c r="X87" s="10" t="n">
        <v>2.203722567126396</v>
      </c>
      <c r="Y87" s="10" t="n">
        <v>2.265988370358532</v>
      </c>
      <c r="Z87" s="10" t="n">
        <v>2.325282497065235</v>
      </c>
      <c r="AA87" s="10" t="n">
        <v>2.381971653297829</v>
      </c>
      <c r="AB87" s="10" t="n">
        <v>2.436378593279537</v>
      </c>
      <c r="AC87" s="10" t="n">
        <v>2.48878944394661</v>
      </c>
      <c r="AD87" s="10" t="n">
        <v>2.539459582021948</v>
      </c>
      <c r="AE87" s="10" t="n">
        <v>2.588612768634003</v>
      </c>
      <c r="AF87" s="10" t="n">
        <v>2.636422987689806</v>
      </c>
      <c r="AG87" s="10" t="n">
        <v>3.154000532438387</v>
      </c>
      <c r="AH87" s="10" t="n">
        <v>3.185065206413302</v>
      </c>
      <c r="AI87" s="10" t="n">
        <v>3.214715988549614</v>
      </c>
      <c r="AJ87" s="10" t="n">
        <v>3.242940192824463</v>
      </c>
      <c r="AK87" s="10" t="n">
        <v>3.269732825238727</v>
      </c>
    </row>
    <row r="88">
      <c r="A88" s="9" t="n">
        <v>-37</v>
      </c>
      <c r="B88" s="7" t="n">
        <v>41137</v>
      </c>
      <c r="C88" s="10" t="n">
        <v>0.1750708265037728</v>
      </c>
      <c r="D88" s="10" t="n">
        <v>0.2197985286443755</v>
      </c>
      <c r="E88" s="10" t="n">
        <v>0.2969858219825238</v>
      </c>
      <c r="F88" s="10" t="n">
        <v>0.3950131095299956</v>
      </c>
      <c r="G88" s="10" t="n">
        <v>0.5060354194082595</v>
      </c>
      <c r="H88" s="10" t="n">
        <v>0.6247049614915854</v>
      </c>
      <c r="I88" s="10" t="n">
        <v>0.7473400669596414</v>
      </c>
      <c r="J88" s="10" t="n">
        <v>0.8713657143331964</v>
      </c>
      <c r="K88" s="10" t="n">
        <v>0.9948851840785825</v>
      </c>
      <c r="L88" s="10" t="n">
        <v>1.116457708612787</v>
      </c>
      <c r="M88" s="10" t="n">
        <v>1.234942040061861</v>
      </c>
      <c r="N88" s="10" t="n">
        <v>1.349422239591576</v>
      </c>
      <c r="O88" s="10" t="n">
        <v>1.459191395293699</v>
      </c>
      <c r="P88" s="10" t="n">
        <v>1.563751197667546</v>
      </c>
      <c r="Q88" s="10" t="n">
        <v>1.662815501829339</v>
      </c>
      <c r="R88" s="10" t="n">
        <v>1.756293932836007</v>
      </c>
      <c r="S88" s="10" t="n">
        <v>1.844287019014787</v>
      </c>
      <c r="T88" s="10" t="n">
        <v>1.927035985794561</v>
      </c>
      <c r="U88" s="10" t="n">
        <v>2.004844314195914</v>
      </c>
      <c r="V88" s="10" t="n">
        <v>2.078058151896982</v>
      </c>
      <c r="W88" s="10" t="n">
        <v>2.147057423630034</v>
      </c>
      <c r="X88" s="10" t="n">
        <v>2.212249075770643</v>
      </c>
      <c r="Y88" s="10" t="n">
        <v>2.274060041182126</v>
      </c>
      <c r="Z88" s="10" t="n">
        <v>2.332905213507547</v>
      </c>
      <c r="AA88" s="10" t="n">
        <v>2.389153856248703</v>
      </c>
      <c r="AB88" s="10" t="n">
        <v>2.443133030848003</v>
      </c>
      <c r="AC88" s="10" t="n">
        <v>2.495134629741862</v>
      </c>
      <c r="AD88" s="10" t="n">
        <v>2.545421016530471</v>
      </c>
      <c r="AE88" s="10" t="n">
        <v>2.594223917203737</v>
      </c>
      <c r="AF88" s="10" t="n">
        <v>2.641726202963554</v>
      </c>
      <c r="AG88" s="10" t="n">
        <v>3.161402817030872</v>
      </c>
      <c r="AH88" s="10" t="n">
        <v>3.19303490348525</v>
      </c>
      <c r="AI88" s="10" t="n">
        <v>3.223278045079382</v>
      </c>
      <c r="AJ88" s="10" t="n">
        <v>3.252111689670738</v>
      </c>
      <c r="AK88" s="10" t="n">
        <v>3.279523469224794</v>
      </c>
    </row>
    <row r="89">
      <c r="A89" s="9" t="n">
        <v>-36</v>
      </c>
      <c r="B89" s="7" t="n">
        <v>41138</v>
      </c>
      <c r="C89" s="10" t="n">
        <v>0.1490673087891055</v>
      </c>
      <c r="D89" s="10" t="n">
        <v>0.1913408210204887</v>
      </c>
      <c r="E89" s="10" t="n">
        <v>0.2681584376971139</v>
      </c>
      <c r="F89" s="10" t="n">
        <v>0.3668310150992495</v>
      </c>
      <c r="G89" s="10" t="n">
        <v>0.4789396907618504</v>
      </c>
      <c r="H89" s="10" t="n">
        <v>0.5988412820303726</v>
      </c>
      <c r="I89" s="10" t="n">
        <v>0.7227049816239829</v>
      </c>
      <c r="J89" s="10" t="n">
        <v>0.8478744832121431</v>
      </c>
      <c r="K89" s="10" t="n">
        <v>0.9724146340485929</v>
      </c>
      <c r="L89" s="10" t="n">
        <v>1.094861328880758</v>
      </c>
      <c r="M89" s="10" t="n">
        <v>1.214065115086704</v>
      </c>
      <c r="N89" s="10" t="n">
        <v>1.329108700762599</v>
      </c>
      <c r="O89" s="10" t="n">
        <v>1.439288876899231</v>
      </c>
      <c r="P89" s="10" t="n">
        <v>1.544116338272315</v>
      </c>
      <c r="Q89" s="10" t="n">
        <v>1.643314242711887</v>
      </c>
      <c r="R89" s="10" t="n">
        <v>1.73680364711747</v>
      </c>
      <c r="S89" s="10" t="n">
        <v>1.824695313972258</v>
      </c>
      <c r="T89" s="10" t="n">
        <v>1.907240293183655</v>
      </c>
      <c r="U89" s="10" t="n">
        <v>1.984751589374181</v>
      </c>
      <c r="V89" s="10" t="n">
        <v>2.057584849492735</v>
      </c>
      <c r="W89" s="10" t="n">
        <v>2.126129478594534</v>
      </c>
      <c r="X89" s="10" t="n">
        <v>2.190801888219849</v>
      </c>
      <c r="Y89" s="10" t="n">
        <v>2.252038333915331</v>
      </c>
      <c r="Z89" s="10" t="n">
        <v>2.310262448498036</v>
      </c>
      <c r="AA89" s="10" t="n">
        <v>2.365852445209027</v>
      </c>
      <c r="AB89" s="10" t="n">
        <v>2.41914478697531</v>
      </c>
      <c r="AC89" s="10" t="n">
        <v>2.470441144445993</v>
      </c>
      <c r="AD89" s="10" t="n">
        <v>2.520013969369398</v>
      </c>
      <c r="AE89" s="10" t="n">
        <v>2.568105094885435</v>
      </c>
      <c r="AF89" s="10" t="n">
        <v>2.614907476676575</v>
      </c>
      <c r="AG89" s="10" t="n">
        <v>3.129652615636589</v>
      </c>
      <c r="AH89" s="10" t="n">
        <v>3.16127388328042</v>
      </c>
      <c r="AI89" s="10" t="n">
        <v>3.191541900408957</v>
      </c>
      <c r="AJ89" s="10" t="n">
        <v>3.220430307561787</v>
      </c>
      <c r="AK89" s="10" t="n">
        <v>3.247921273664629</v>
      </c>
    </row>
    <row r="90">
      <c r="A90" s="9" t="n">
        <v>-35</v>
      </c>
      <c r="B90" s="7" t="n">
        <v>41141</v>
      </c>
      <c r="C90" s="10" t="n">
        <v>0.1546874669580728</v>
      </c>
      <c r="D90" s="10" t="n">
        <v>0.197429666120975</v>
      </c>
      <c r="E90" s="10" t="n">
        <v>0.274280241224593</v>
      </c>
      <c r="F90" s="10" t="n">
        <v>0.3726144104260224</v>
      </c>
      <c r="G90" s="10" t="n">
        <v>0.4840444783509821</v>
      </c>
      <c r="H90" s="10" t="n">
        <v>0.6029696806876145</v>
      </c>
      <c r="I90" s="10" t="n">
        <v>0.7256216321766858</v>
      </c>
      <c r="J90" s="10" t="n">
        <v>0.8494220480594361</v>
      </c>
      <c r="K90" s="10" t="n">
        <v>0.9725276959179797</v>
      </c>
      <c r="L90" s="10" t="n">
        <v>1.093559764283324</v>
      </c>
      <c r="M90" s="10" t="n">
        <v>1.211438465899904</v>
      </c>
      <c r="N90" s="10" t="n">
        <v>1.325296377331726</v>
      </c>
      <c r="O90" s="10" t="n">
        <v>1.434457105958225</v>
      </c>
      <c r="P90" s="10" t="n">
        <v>1.538439237806611</v>
      </c>
      <c r="Q90" s="10" t="n">
        <v>1.636959976409988</v>
      </c>
      <c r="R90" s="10" t="n">
        <v>1.729926974726269</v>
      </c>
      <c r="S90" s="10" t="n">
        <v>1.817432356061488</v>
      </c>
      <c r="T90" s="10" t="n">
        <v>1.899706087624458</v>
      </c>
      <c r="U90" s="10" t="n">
        <v>1.977041185442385</v>
      </c>
      <c r="V90" s="10" t="n">
        <v>2.049774606687144</v>
      </c>
      <c r="W90" s="10" t="n">
        <v>2.118278094966601</v>
      </c>
      <c r="X90" s="10" t="n">
        <v>2.182951223037424</v>
      </c>
      <c r="Y90" s="10" t="n">
        <v>2.244214133444661</v>
      </c>
      <c r="Z90" s="10" t="n">
        <v>2.302476309529119</v>
      </c>
      <c r="AA90" s="10" t="n">
        <v>2.358105494959345</v>
      </c>
      <c r="AB90" s="10" t="n">
        <v>2.411431032638556</v>
      </c>
      <c r="AC90" s="10" t="n">
        <v>2.462750264564485</v>
      </c>
      <c r="AD90" s="10" t="n">
        <v>2.512333654397317</v>
      </c>
      <c r="AE90" s="10" t="n">
        <v>2.560423178670512</v>
      </c>
      <c r="AF90" s="10" t="n">
        <v>2.607214637165054</v>
      </c>
      <c r="AG90" s="10" t="n">
        <v>3.123295386031251</v>
      </c>
      <c r="AH90" s="10" t="n">
        <v>3.15521166987192</v>
      </c>
      <c r="AI90" s="10" t="n">
        <v>3.185793619589802</v>
      </c>
      <c r="AJ90" s="10" t="n">
        <v>3.215010414412151</v>
      </c>
      <c r="AK90" s="10" t="n">
        <v>3.242839858586986</v>
      </c>
    </row>
    <row r="91">
      <c r="A91" s="9" t="n">
        <v>-34</v>
      </c>
      <c r="B91" s="7" t="n">
        <v>41142</v>
      </c>
      <c r="C91" s="10" t="n">
        <v>0.197485623155536</v>
      </c>
      <c r="D91" s="10" t="n">
        <v>0.2482099946633032</v>
      </c>
      <c r="E91" s="10" t="n">
        <v>0.3299045332425372</v>
      </c>
      <c r="F91" s="10" t="n">
        <v>0.4309032115330315</v>
      </c>
      <c r="G91" s="10" t="n">
        <v>0.5434996534637101</v>
      </c>
      <c r="H91" s="10" t="n">
        <v>0.6625509306540924</v>
      </c>
      <c r="I91" s="10" t="n">
        <v>0.7845997007074139</v>
      </c>
      <c r="J91" s="10" t="n">
        <v>0.9072862060664121</v>
      </c>
      <c r="K91" s="10" t="n">
        <v>1.028936070228035</v>
      </c>
      <c r="L91" s="10" t="n">
        <v>1.148305029025192</v>
      </c>
      <c r="M91" s="10" t="n">
        <v>1.264428025491161</v>
      </c>
      <c r="N91" s="10" t="n">
        <v>1.376537548119577</v>
      </c>
      <c r="O91" s="10" t="n">
        <v>1.484041706966398</v>
      </c>
      <c r="P91" s="10" t="n">
        <v>1.586525677553977</v>
      </c>
      <c r="Q91" s="10" t="n">
        <v>1.683755324153728</v>
      </c>
      <c r="R91" s="10" t="n">
        <v>1.775671475434162</v>
      </c>
      <c r="S91" s="10" t="n">
        <v>1.862384753193173</v>
      </c>
      <c r="T91" s="10" t="n">
        <v>1.944132063460661</v>
      </c>
      <c r="U91" s="10" t="n">
        <v>2.021205203226522</v>
      </c>
      <c r="V91" s="10" t="n">
        <v>2.093933689935345</v>
      </c>
      <c r="W91" s="10" t="n">
        <v>2.16267690282106</v>
      </c>
      <c r="X91" s="10" t="n">
        <v>2.22781811054906</v>
      </c>
      <c r="Y91" s="10" t="n">
        <v>2.289757963111175</v>
      </c>
      <c r="Z91" s="10" t="n">
        <v>2.348884228249705</v>
      </c>
      <c r="AA91" s="10" t="n">
        <v>2.405541945502366</v>
      </c>
      <c r="AB91" s="10" t="n">
        <v>2.460037089991306</v>
      </c>
      <c r="AC91" s="10" t="n">
        <v>2.512643082949135</v>
      </c>
      <c r="AD91" s="10" t="n">
        <v>2.563606001548546</v>
      </c>
      <c r="AE91" s="10" t="n">
        <v>2.61314300040392</v>
      </c>
      <c r="AF91" s="10" t="n">
        <v>2.66142482120668</v>
      </c>
      <c r="AG91" s="10" t="n">
        <v>3.193549712898952</v>
      </c>
      <c r="AH91" s="10" t="n">
        <v>3.226278330886497</v>
      </c>
      <c r="AI91" s="10" t="n">
        <v>3.257627214689217</v>
      </c>
      <c r="AJ91" s="10" t="n">
        <v>3.287571218756713</v>
      </c>
      <c r="AK91" s="10" t="n">
        <v>3.31609320468245</v>
      </c>
    </row>
    <row r="92">
      <c r="A92" s="9" t="n">
        <v>-33</v>
      </c>
      <c r="B92" s="7" t="n">
        <v>41143</v>
      </c>
      <c r="C92" s="10" t="n">
        <v>0.1684825977823017</v>
      </c>
      <c r="D92" s="10" t="n">
        <v>0.2127152298716703</v>
      </c>
      <c r="E92" s="10" t="n">
        <v>0.2895586024259544</v>
      </c>
      <c r="F92" s="10" t="n">
        <v>0.3866148079015789</v>
      </c>
      <c r="G92" s="10" t="n">
        <v>0.4956957586797481</v>
      </c>
      <c r="H92" s="10" t="n">
        <v>0.6113868720794038</v>
      </c>
      <c r="I92" s="10" t="n">
        <v>0.7301063927264487</v>
      </c>
      <c r="J92" s="10" t="n">
        <v>0.8494719408411424</v>
      </c>
      <c r="K92" s="10" t="n">
        <v>0.9678570644683077</v>
      </c>
      <c r="L92" s="10" t="n">
        <v>1.084095195696016</v>
      </c>
      <c r="M92" s="10" t="n">
        <v>1.197305386506657</v>
      </c>
      <c r="N92" s="10" t="n">
        <v>1.306797626069529</v>
      </c>
      <c r="O92" s="10" t="n">
        <v>1.412042075197461</v>
      </c>
      <c r="P92" s="10" t="n">
        <v>1.512671294233849</v>
      </c>
      <c r="Q92" s="10" t="n">
        <v>1.608482543057421</v>
      </c>
      <c r="R92" s="10" t="n">
        <v>1.699431603740449</v>
      </c>
      <c r="S92" s="10" t="n">
        <v>1.785627006075784</v>
      </c>
      <c r="T92" s="10" t="n">
        <v>1.867290648100551</v>
      </c>
      <c r="U92" s="10" t="n">
        <v>1.944691347851799</v>
      </c>
      <c r="V92" s="10" t="n">
        <v>2.018129706016438</v>
      </c>
      <c r="W92" s="10" t="n">
        <v>2.087931484368118</v>
      </c>
      <c r="X92" s="10" t="n">
        <v>2.154442573549881</v>
      </c>
      <c r="Y92" s="10" t="n">
        <v>2.218023272300166</v>
      </c>
      <c r="Z92" s="10" t="n">
        <v>2.279019922258633</v>
      </c>
      <c r="AA92" s="10" t="n">
        <v>2.337737218828699</v>
      </c>
      <c r="AB92" s="10" t="n">
        <v>2.394441967149155</v>
      </c>
      <c r="AC92" s="10" t="n">
        <v>2.449369396981779</v>
      </c>
      <c r="AD92" s="10" t="n">
        <v>2.50272821449104</v>
      </c>
      <c r="AE92" s="10" t="n">
        <v>2.554699096686384</v>
      </c>
      <c r="AF92" s="10" t="n">
        <v>2.605418097464814</v>
      </c>
      <c r="AG92" s="10" t="n">
        <v>3.160222609278627</v>
      </c>
      <c r="AH92" s="10" t="n">
        <v>3.193807205807519</v>
      </c>
      <c r="AI92" s="10" t="n">
        <v>3.22591290976419</v>
      </c>
      <c r="AJ92" s="10" t="n">
        <v>3.2565255686659</v>
      </c>
      <c r="AK92" s="10" t="n">
        <v>3.285638596285103</v>
      </c>
    </row>
    <row r="93">
      <c r="A93" s="9" t="n">
        <v>-32</v>
      </c>
      <c r="B93" s="7" t="n">
        <v>41144</v>
      </c>
      <c r="C93" s="10" t="n">
        <v>0.1483464584421643</v>
      </c>
      <c r="D93" s="10" t="n">
        <v>0.1888849079585856</v>
      </c>
      <c r="E93" s="10" t="n">
        <v>0.2626236666523767</v>
      </c>
      <c r="F93" s="10" t="n">
        <v>0.356848036973627</v>
      </c>
      <c r="G93" s="10" t="n">
        <v>0.4631737020384005</v>
      </c>
      <c r="H93" s="10" t="n">
        <v>0.5760792629540481</v>
      </c>
      <c r="I93" s="10" t="n">
        <v>0.6919351436672163</v>
      </c>
      <c r="J93" s="10" t="n">
        <v>0.8083494950713187</v>
      </c>
      <c r="K93" s="10" t="n">
        <v>0.9237194613714138</v>
      </c>
      <c r="L93" s="10" t="n">
        <v>1.036920878176685</v>
      </c>
      <c r="M93" s="10" t="n">
        <v>1.147130170277372</v>
      </c>
      <c r="N93" s="10" t="n">
        <v>1.253724492220972</v>
      </c>
      <c r="O93" s="10" t="n">
        <v>1.356244977614169</v>
      </c>
      <c r="P93" s="10" t="n">
        <v>1.454391184325742</v>
      </c>
      <c r="Q93" s="10" t="n">
        <v>1.548014634640774</v>
      </c>
      <c r="R93" s="10" t="n">
        <v>1.637107145651638</v>
      </c>
      <c r="S93" s="10" t="n">
        <v>1.721791525195504</v>
      </c>
      <c r="T93" s="10" t="n">
        <v>1.80228676759317</v>
      </c>
      <c r="U93" s="10" t="n">
        <v>1.878848985076011</v>
      </c>
      <c r="V93" s="10" t="n">
        <v>1.951758873592173</v>
      </c>
      <c r="W93" s="10" t="n">
        <v>2.021316591073299</v>
      </c>
      <c r="X93" s="10" t="n">
        <v>2.087837865037824</v>
      </c>
      <c r="Y93" s="10" t="n">
        <v>2.151649272857878</v>
      </c>
      <c r="Z93" s="10" t="n">
        <v>2.21306266457919</v>
      </c>
      <c r="AA93" s="10" t="n">
        <v>2.272350440794548</v>
      </c>
      <c r="AB93" s="10" t="n">
        <v>2.329749297774891</v>
      </c>
      <c r="AC93" s="10" t="n">
        <v>2.385466178078635</v>
      </c>
      <c r="AD93" s="10" t="n">
        <v>2.439683029577207</v>
      </c>
      <c r="AE93" s="10" t="n">
        <v>2.492555422314056</v>
      </c>
      <c r="AF93" s="10" t="n">
        <v>2.544197292998351</v>
      </c>
      <c r="AG93" s="10" t="n">
        <v>3.107697523427429</v>
      </c>
      <c r="AH93" s="10" t="n">
        <v>3.141557231625646</v>
      </c>
      <c r="AI93" s="10" t="n">
        <v>3.173886049741119</v>
      </c>
      <c r="AJ93" s="10" t="n">
        <v>3.204673141647941</v>
      </c>
      <c r="AK93" s="10" t="n">
        <v>3.233915333302837</v>
      </c>
    </row>
    <row r="94">
      <c r="A94" s="9" t="n">
        <v>-31</v>
      </c>
      <c r="B94" s="7" t="n">
        <v>41145</v>
      </c>
      <c r="C94" s="10" t="n">
        <v>0.1167801731027897</v>
      </c>
      <c r="D94" s="10" t="n">
        <v>0.1529572954178815</v>
      </c>
      <c r="E94" s="10" t="n">
        <v>0.2242117663945846</v>
      </c>
      <c r="F94" s="10" t="n">
        <v>0.3170690998212473</v>
      </c>
      <c r="G94" s="10" t="n">
        <v>0.4226967781377676</v>
      </c>
      <c r="H94" s="10" t="n">
        <v>0.5353107457122078</v>
      </c>
      <c r="I94" s="10" t="n">
        <v>0.6511280911429849</v>
      </c>
      <c r="J94" s="10" t="n">
        <v>0.7676505605098292</v>
      </c>
      <c r="K94" s="10" t="n">
        <v>0.8832115231520866</v>
      </c>
      <c r="L94" s="10" t="n">
        <v>0.9966362229964528</v>
      </c>
      <c r="M94" s="10" t="n">
        <v>1.107069195409585</v>
      </c>
      <c r="N94" s="10" t="n">
        <v>1.213871812334551</v>
      </c>
      <c r="O94" s="10" t="n">
        <v>1.316580320315732</v>
      </c>
      <c r="P94" s="10" t="n">
        <v>1.414896213965954</v>
      </c>
      <c r="Q94" s="10" t="n">
        <v>1.508678440069568</v>
      </c>
      <c r="R94" s="10" t="n">
        <v>1.597926288518345</v>
      </c>
      <c r="S94" s="10" t="n">
        <v>1.682768234401002</v>
      </c>
      <c r="T94" s="10" t="n">
        <v>1.763427106070097</v>
      </c>
      <c r="U94" s="10" t="n">
        <v>1.840161336806967</v>
      </c>
      <c r="V94" s="10" t="n">
        <v>1.913253004859938</v>
      </c>
      <c r="W94" s="10" t="n">
        <v>1.983002907374095</v>
      </c>
      <c r="X94" s="10" t="n">
        <v>2.04972681661194</v>
      </c>
      <c r="Y94" s="10" t="n">
        <v>2.113750708792486</v>
      </c>
      <c r="Z94" s="10" t="n">
        <v>2.175384718730021</v>
      </c>
      <c r="AA94" s="10" t="n">
        <v>2.234899243097749</v>
      </c>
      <c r="AB94" s="10" t="n">
        <v>2.292528982917251</v>
      </c>
      <c r="AC94" s="10" t="n">
        <v>2.348478892800216</v>
      </c>
      <c r="AD94" s="10" t="n">
        <v>2.402928929825985</v>
      </c>
      <c r="AE94" s="10" t="n">
        <v>2.456032403795639</v>
      </c>
      <c r="AF94" s="10" t="n">
        <v>2.507900822512649</v>
      </c>
      <c r="AG94" s="10" t="n">
        <v>3.073620890442454</v>
      </c>
      <c r="AH94" s="10" t="n">
        <v>3.10762422825933</v>
      </c>
      <c r="AI94" s="10" t="n">
        <v>3.140099894892909</v>
      </c>
      <c r="AJ94" s="10" t="n">
        <v>3.171037965053456</v>
      </c>
      <c r="AK94" s="10" t="n">
        <v>3.200435853344977</v>
      </c>
    </row>
    <row r="95">
      <c r="A95" s="9" t="n">
        <v>-30</v>
      </c>
      <c r="B95" s="7" t="n">
        <v>41149</v>
      </c>
      <c r="C95" s="10" t="n">
        <v>0.1014484582139076</v>
      </c>
      <c r="D95" s="10" t="n">
        <v>0.1319619190582409</v>
      </c>
      <c r="E95" s="10" t="n">
        <v>0.1981307142132939</v>
      </c>
      <c r="F95" s="10" t="n">
        <v>0.2867392513746054</v>
      </c>
      <c r="G95" s="10" t="n">
        <v>0.3889748418269165</v>
      </c>
      <c r="H95" s="10" t="n">
        <v>0.4989764034516386</v>
      </c>
      <c r="I95" s="10" t="n">
        <v>0.6128456723770258</v>
      </c>
      <c r="J95" s="10" t="n">
        <v>0.7279652734961277</v>
      </c>
      <c r="K95" s="10" t="n">
        <v>0.8425605433213296</v>
      </c>
      <c r="L95" s="10" t="n">
        <v>0.9553658492845627</v>
      </c>
      <c r="M95" s="10" t="n">
        <v>1.065455012532514</v>
      </c>
      <c r="N95" s="10" t="n">
        <v>1.172137881217405</v>
      </c>
      <c r="O95" s="10" t="n">
        <v>1.274915628963113</v>
      </c>
      <c r="P95" s="10" t="n">
        <v>1.373465062165774</v>
      </c>
      <c r="Q95" s="10" t="n">
        <v>1.467626219296968</v>
      </c>
      <c r="R95" s="10" t="n">
        <v>1.557380530586624</v>
      </c>
      <c r="S95" s="10" t="n">
        <v>1.642837169585304</v>
      </c>
      <c r="T95" s="10" t="n">
        <v>1.724199000735154</v>
      </c>
      <c r="U95" s="10" t="n">
        <v>1.801706328620274</v>
      </c>
      <c r="V95" s="10" t="n">
        <v>1.875624857321085</v>
      </c>
      <c r="W95" s="10" t="n">
        <v>1.946240398830186</v>
      </c>
      <c r="X95" s="10" t="n">
        <v>2.01385485146992</v>
      </c>
      <c r="Y95" s="10" t="n">
        <v>2.078781217923975</v>
      </c>
      <c r="Z95" s="10" t="n">
        <v>2.141317826959222</v>
      </c>
      <c r="AA95" s="10" t="n">
        <v>2.201725019995438</v>
      </c>
      <c r="AB95" s="10" t="n">
        <v>2.260229016689641</v>
      </c>
      <c r="AC95" s="10" t="n">
        <v>2.317027601873821</v>
      </c>
      <c r="AD95" s="10" t="n">
        <v>2.372294659776848</v>
      </c>
      <c r="AE95" s="10" t="n">
        <v>2.426178213710012</v>
      </c>
      <c r="AF95" s="10" t="n">
        <v>2.478784927120494</v>
      </c>
      <c r="AG95" s="10" t="n">
        <v>3.049619271996201</v>
      </c>
      <c r="AH95" s="10" t="n">
        <v>3.083731944227693</v>
      </c>
      <c r="AI95" s="10" t="n">
        <v>3.116295103678265</v>
      </c>
      <c r="AJ95" s="10" t="n">
        <v>3.147302971095757</v>
      </c>
      <c r="AK95" s="10" t="n">
        <v>3.176756684776775</v>
      </c>
    </row>
    <row r="96">
      <c r="A96" s="9" t="n">
        <v>-29</v>
      </c>
      <c r="B96" s="7" t="n">
        <v>41150</v>
      </c>
      <c r="C96" s="10" t="n">
        <v>0.1221328773904963</v>
      </c>
      <c r="D96" s="10" t="n">
        <v>0.1550990637627353</v>
      </c>
      <c r="E96" s="10" t="n">
        <v>0.222317180306337</v>
      </c>
      <c r="F96" s="10" t="n">
        <v>0.311098826879628</v>
      </c>
      <c r="G96" s="10" t="n">
        <v>0.4129578734982321</v>
      </c>
      <c r="H96" s="10" t="n">
        <v>0.5222422355034529</v>
      </c>
      <c r="I96" s="10" t="n">
        <v>0.6351943823640734</v>
      </c>
      <c r="J96" s="10" t="n">
        <v>0.7493070532555461</v>
      </c>
      <c r="K96" s="10" t="n">
        <v>0.8628854548516155</v>
      </c>
      <c r="L96" s="10" t="n">
        <v>0.974729596481829</v>
      </c>
      <c r="M96" s="10" t="n">
        <v>1.083959041165069</v>
      </c>
      <c r="N96" s="10" t="n">
        <v>1.189912626531926</v>
      </c>
      <c r="O96" s="10" t="n">
        <v>1.292104904734274</v>
      </c>
      <c r="P96" s="10" t="n">
        <v>1.390212372961871</v>
      </c>
      <c r="Q96" s="10" t="n">
        <v>1.484063669225844</v>
      </c>
      <c r="R96" s="10" t="n">
        <v>1.573619402356886</v>
      </c>
      <c r="S96" s="10" t="n">
        <v>1.65895838867777</v>
      </c>
      <c r="T96" s="10" t="n">
        <v>1.740248108510004</v>
      </c>
      <c r="U96" s="10" t="n">
        <v>1.817697333930545</v>
      </c>
      <c r="V96" s="10" t="n">
        <v>1.8915441467779</v>
      </c>
      <c r="W96" s="10" t="n">
        <v>1.962049832440512</v>
      </c>
      <c r="X96" s="10" t="n">
        <v>2.029494239146768</v>
      </c>
      <c r="Y96" s="10" t="n">
        <v>2.094170509874208</v>
      </c>
      <c r="Z96" s="10" t="n">
        <v>2.156361636483615</v>
      </c>
      <c r="AA96" s="10" t="n">
        <v>2.216319604533612</v>
      </c>
      <c r="AB96" s="10" t="n">
        <v>2.274268429254309</v>
      </c>
      <c r="AC96" s="10" t="n">
        <v>2.330408817255332</v>
      </c>
      <c r="AD96" s="10" t="n">
        <v>2.384921872640104</v>
      </c>
      <c r="AE96" s="10" t="n">
        <v>2.437966531057442</v>
      </c>
      <c r="AF96" s="10" t="n">
        <v>2.489663969273244</v>
      </c>
      <c r="AG96" s="10" t="n">
        <v>3.049277482097188</v>
      </c>
      <c r="AH96" s="10" t="n">
        <v>3.082903741615073</v>
      </c>
      <c r="AI96" s="10" t="n">
        <v>3.115046980332719</v>
      </c>
      <c r="AJ96" s="10" t="n">
        <v>3.145698809235939</v>
      </c>
      <c r="AK96" s="10" t="n">
        <v>3.174857272109078</v>
      </c>
    </row>
    <row r="97">
      <c r="A97" s="9" t="n">
        <v>-28</v>
      </c>
      <c r="B97" s="7" t="n">
        <v>41151</v>
      </c>
      <c r="C97" s="10" t="n">
        <v>0.09011102342917925</v>
      </c>
      <c r="D97" s="10" t="n">
        <v>0.1175116017399938</v>
      </c>
      <c r="E97" s="10" t="n">
        <v>0.1808997272787663</v>
      </c>
      <c r="F97" s="10" t="n">
        <v>0.2668645463108704</v>
      </c>
      <c r="G97" s="10" t="n">
        <v>0.3665625124792735</v>
      </c>
      <c r="H97" s="10" t="n">
        <v>0.4741586936183561</v>
      </c>
      <c r="I97" s="10" t="n">
        <v>0.5857836875472623</v>
      </c>
      <c r="J97" s="10" t="n">
        <v>0.6988583722323952</v>
      </c>
      <c r="K97" s="10" t="n">
        <v>0.8116293600599445</v>
      </c>
      <c r="L97" s="10" t="n">
        <v>0.9228580391560887</v>
      </c>
      <c r="M97" s="10" t="n">
        <v>1.031634739603927</v>
      </c>
      <c r="N97" s="10" t="n">
        <v>1.137276333797758</v>
      </c>
      <c r="O97" s="10" t="n">
        <v>1.239280487187781</v>
      </c>
      <c r="P97" s="10" t="n">
        <v>1.33730997278129</v>
      </c>
      <c r="Q97" s="10" t="n">
        <v>1.431182827764927</v>
      </c>
      <c r="R97" s="10" t="n">
        <v>1.520850666960433</v>
      </c>
      <c r="S97" s="10" t="n">
        <v>1.606385714024678</v>
      </c>
      <c r="T97" s="10" t="n">
        <v>1.687949836798837</v>
      </c>
      <c r="U97" s="10" t="n">
        <v>1.765745557619877</v>
      </c>
      <c r="V97" s="10" t="n">
        <v>1.840004118060536</v>
      </c>
      <c r="W97" s="10" t="n">
        <v>1.910979495748009</v>
      </c>
      <c r="X97" s="10" t="n">
        <v>1.97894385715305</v>
      </c>
      <c r="Y97" s="10" t="n">
        <v>2.044182325480379</v>
      </c>
      <c r="Z97" s="10" t="n">
        <v>2.106969503190464</v>
      </c>
      <c r="AA97" s="10" t="n">
        <v>2.167548851581046</v>
      </c>
      <c r="AB97" s="10" t="n">
        <v>2.226135802512787</v>
      </c>
      <c r="AC97" s="10" t="n">
        <v>2.28292242997356</v>
      </c>
      <c r="AD97" s="10" t="n">
        <v>2.338081164282858</v>
      </c>
      <c r="AE97" s="10" t="n">
        <v>2.391762445417954</v>
      </c>
      <c r="AF97" s="10" t="n">
        <v>2.444080057218787</v>
      </c>
      <c r="AG97" s="10" t="n">
        <v>3.008681262226239</v>
      </c>
      <c r="AH97" s="10" t="n">
        <v>3.04242875930779</v>
      </c>
      <c r="AI97" s="10" t="n">
        <v>3.074661142743734</v>
      </c>
      <c r="AJ97" s="10" t="n">
        <v>3.10537210278236</v>
      </c>
      <c r="AK97" s="10" t="n">
        <v>3.1345618150295</v>
      </c>
    </row>
    <row r="98">
      <c r="A98" s="9" t="n">
        <v>-27</v>
      </c>
      <c r="B98" s="7" t="n">
        <v>41152</v>
      </c>
      <c r="C98" s="10" t="n">
        <v>0.07002170464270657</v>
      </c>
      <c r="D98" s="10" t="n">
        <v>0.09688611384184274</v>
      </c>
      <c r="E98" s="10" t="n">
        <v>0.1615038783796786</v>
      </c>
      <c r="F98" s="10" t="n">
        <v>0.2498120030721492</v>
      </c>
      <c r="G98" s="10" t="n">
        <v>0.3525058093816739</v>
      </c>
      <c r="H98" s="10" t="n">
        <v>0.4634430786765679</v>
      </c>
      <c r="I98" s="10" t="n">
        <v>0.5785384649237197</v>
      </c>
      <c r="J98" s="10" t="n">
        <v>0.6950727822671207</v>
      </c>
      <c r="K98" s="10" t="n">
        <v>0.8111707602490181</v>
      </c>
      <c r="L98" s="10" t="n">
        <v>0.9255193367001743</v>
      </c>
      <c r="M98" s="10" t="n">
        <v>1.037158669244218</v>
      </c>
      <c r="N98" s="10" t="n">
        <v>1.145381833420333</v>
      </c>
      <c r="O98" s="10" t="n">
        <v>1.249685758452961</v>
      </c>
      <c r="P98" s="10" t="n">
        <v>1.349747318245146</v>
      </c>
      <c r="Q98" s="10" t="n">
        <v>1.445409206135873</v>
      </c>
      <c r="R98" s="10" t="n">
        <v>1.536652012701304</v>
      </c>
      <c r="S98" s="10" t="n">
        <v>1.623584190991111</v>
      </c>
      <c r="T98" s="10" t="n">
        <v>1.706402762368342</v>
      </c>
      <c r="U98" s="10" t="n">
        <v>1.785340022749962</v>
      </c>
      <c r="V98" s="10" t="n">
        <v>1.86065254300863</v>
      </c>
      <c r="W98" s="10" t="n">
        <v>1.932616111689183</v>
      </c>
      <c r="X98" s="10" t="n">
        <v>2.001521891474208</v>
      </c>
      <c r="Y98" s="10" t="n">
        <v>2.067671457199145</v>
      </c>
      <c r="Z98" s="10" t="n">
        <v>2.131351659628244</v>
      </c>
      <c r="AA98" s="10" t="n">
        <v>2.192813354664945</v>
      </c>
      <c r="AB98" s="10" t="n">
        <v>2.252275321038879</v>
      </c>
      <c r="AC98" s="10" t="n">
        <v>2.309929606499879</v>
      </c>
      <c r="AD98" s="10" t="n">
        <v>2.365945780525756</v>
      </c>
      <c r="AE98" s="10" t="n">
        <v>2.420469058659845</v>
      </c>
      <c r="AF98" s="10" t="n">
        <v>2.473606771995128</v>
      </c>
      <c r="AG98" s="10" t="n">
        <v>3.045058537680847</v>
      </c>
      <c r="AH98" s="10" t="n">
        <v>3.079027074890224</v>
      </c>
      <c r="AI98" s="10" t="n">
        <v>3.111445719460019</v>
      </c>
      <c r="AJ98" s="10" t="n">
        <v>3.142310218389129</v>
      </c>
      <c r="AK98" s="10" t="n">
        <v>3.171622721502353</v>
      </c>
    </row>
    <row r="99">
      <c r="A99" s="9" t="n">
        <v>-26</v>
      </c>
      <c r="B99" s="7" t="n">
        <v>41155</v>
      </c>
      <c r="C99" s="10" t="n">
        <v>0.07425312996084921</v>
      </c>
      <c r="D99" s="10" t="n">
        <v>0.09965242457527933</v>
      </c>
      <c r="E99" s="10" t="n">
        <v>0.1634733078742015</v>
      </c>
      <c r="F99" s="10" t="n">
        <v>0.2516103683984499</v>
      </c>
      <c r="G99" s="10" t="n">
        <v>0.3547096031848501</v>
      </c>
      <c r="H99" s="10" t="n">
        <v>0.4665697017093831</v>
      </c>
      <c r="I99" s="10" t="n">
        <v>0.5830254012994769</v>
      </c>
      <c r="J99" s="10" t="n">
        <v>0.7012533106020594</v>
      </c>
      <c r="K99" s="10" t="n">
        <v>0.8192618275210051</v>
      </c>
      <c r="L99" s="10" t="n">
        <v>0.9356257166463775</v>
      </c>
      <c r="M99" s="10" t="n">
        <v>1.049288255210078</v>
      </c>
      <c r="N99" s="10" t="n">
        <v>1.159464779405855</v>
      </c>
      <c r="O99" s="10" t="n">
        <v>1.265595634330469</v>
      </c>
      <c r="P99" s="10" t="n">
        <v>1.367320700088982</v>
      </c>
      <c r="Q99" s="10" t="n">
        <v>1.464462219730392</v>
      </c>
      <c r="R99" s="10" t="n">
        <v>1.556992566410961</v>
      </c>
      <c r="S99" s="10" t="n">
        <v>1.645023122772522</v>
      </c>
      <c r="T99" s="10" t="n">
        <v>1.728759604793789</v>
      </c>
      <c r="U99" s="10" t="n">
        <v>1.808445285849341</v>
      </c>
      <c r="V99" s="10" t="n">
        <v>1.884349367706624</v>
      </c>
      <c r="W99" s="10" t="n">
        <v>1.956761578777019</v>
      </c>
      <c r="X99" s="10" t="n">
        <v>2.025988068787058</v>
      </c>
      <c r="Y99" s="10" t="n">
        <v>2.092346093861129</v>
      </c>
      <c r="Z99" s="10" t="n">
        <v>2.156137399387324</v>
      </c>
      <c r="AA99" s="10" t="n">
        <v>2.217625997581613</v>
      </c>
      <c r="AB99" s="10" t="n">
        <v>2.277042317585409</v>
      </c>
      <c r="AC99" s="10" t="n">
        <v>2.334588802643892</v>
      </c>
      <c r="AD99" s="10" t="n">
        <v>2.390444361678735</v>
      </c>
      <c r="AE99" s="10" t="n">
        <v>2.4447625238778</v>
      </c>
      <c r="AF99" s="10" t="n">
        <v>2.4976578586203</v>
      </c>
      <c r="AG99" s="10" t="n">
        <v>3.064714892806474</v>
      </c>
      <c r="AH99" s="10" t="n">
        <v>3.098367186667716</v>
      </c>
      <c r="AI99" s="10" t="n">
        <v>3.130485840838258</v>
      </c>
      <c r="AJ99" s="10" t="n">
        <v>3.161068413734822</v>
      </c>
      <c r="AK99" s="10" t="n">
        <v>3.190118508537085</v>
      </c>
    </row>
    <row r="100">
      <c r="A100" s="9" t="n">
        <v>-25</v>
      </c>
      <c r="B100" s="7" t="n">
        <v>41156</v>
      </c>
      <c r="C100" s="10" t="n">
        <v>0.07000512181516452</v>
      </c>
      <c r="D100" s="10" t="n">
        <v>0.09197398475332984</v>
      </c>
      <c r="E100" s="10" t="n">
        <v>0.1527477570887521</v>
      </c>
      <c r="F100" s="10" t="n">
        <v>0.2382185385977644</v>
      </c>
      <c r="G100" s="10" t="n">
        <v>0.3389833601740874</v>
      </c>
      <c r="H100" s="10" t="n">
        <v>0.4487979686060233</v>
      </c>
      <c r="I100" s="10" t="n">
        <v>0.5634696266832055</v>
      </c>
      <c r="J100" s="10" t="n">
        <v>0.6801608489721483</v>
      </c>
      <c r="K100" s="10" t="n">
        <v>0.7968801630409974</v>
      </c>
      <c r="L100" s="10" t="n">
        <v>0.9122035578394272</v>
      </c>
      <c r="M100" s="10" t="n">
        <v>1.025071759064481</v>
      </c>
      <c r="N100" s="10" t="n">
        <v>1.134689624773689</v>
      </c>
      <c r="O100" s="10" t="n">
        <v>1.240478567491165</v>
      </c>
      <c r="P100" s="10" t="n">
        <v>1.342054383268719</v>
      </c>
      <c r="Q100" s="10" t="n">
        <v>1.439211484963179</v>
      </c>
      <c r="R100" s="10" t="n">
        <v>1.531894008942293</v>
      </c>
      <c r="S100" s="10" t="n">
        <v>1.620186519125384</v>
      </c>
      <c r="T100" s="10" t="n">
        <v>1.704268801741676</v>
      </c>
      <c r="U100" s="10" t="n">
        <v>1.784360588257625</v>
      </c>
      <c r="V100" s="10" t="n">
        <v>1.860709644038657</v>
      </c>
      <c r="W100" s="10" t="n">
        <v>1.933585927953451</v>
      </c>
      <c r="X100" s="10" t="n">
        <v>2.003277153673281</v>
      </c>
      <c r="Y100" s="10" t="n">
        <v>2.070083270402162</v>
      </c>
      <c r="Z100" s="10" t="n">
        <v>2.134290613886641</v>
      </c>
      <c r="AA100" s="10" t="n">
        <v>2.196150624775392</v>
      </c>
      <c r="AB100" s="10" t="n">
        <v>2.255883664912219</v>
      </c>
      <c r="AC100" s="10" t="n">
        <v>2.3136841971366</v>
      </c>
      <c r="AD100" s="10" t="n">
        <v>2.369724901620696</v>
      </c>
      <c r="AE100" s="10" t="n">
        <v>2.424154854631554</v>
      </c>
      <c r="AF100" s="10" t="n">
        <v>2.477086829041443</v>
      </c>
      <c r="AG100" s="10" t="n">
        <v>3.039639499175986</v>
      </c>
      <c r="AH100" s="10" t="n">
        <v>3.072775667956955</v>
      </c>
      <c r="AI100" s="10" t="n">
        <v>3.104383609631553</v>
      </c>
      <c r="AJ100" s="10" t="n">
        <v>3.134465418361656</v>
      </c>
      <c r="AK100" s="10" t="n">
        <v>3.163028692595652</v>
      </c>
    </row>
    <row r="101">
      <c r="A101" s="9" t="n">
        <v>-24</v>
      </c>
      <c r="B101" s="7" t="n">
        <v>41157</v>
      </c>
      <c r="C101" s="10" t="n">
        <v>0.09495460795589918</v>
      </c>
      <c r="D101" s="10" t="n">
        <v>0.1193682225243625</v>
      </c>
      <c r="E101" s="10" t="n">
        <v>0.1805405559516563</v>
      </c>
      <c r="F101" s="10" t="n">
        <v>0.2653354062367497</v>
      </c>
      <c r="G101" s="10" t="n">
        <v>0.3648914918740505</v>
      </c>
      <c r="H101" s="10" t="n">
        <v>0.4732741933907257</v>
      </c>
      <c r="I101" s="10" t="n">
        <v>0.5864728134422517</v>
      </c>
      <c r="J101" s="10" t="n">
        <v>0.7017604621148467</v>
      </c>
      <c r="K101" s="10" t="n">
        <v>0.8172231205191677</v>
      </c>
      <c r="L101" s="10" t="n">
        <v>0.9314893796921372</v>
      </c>
      <c r="M101" s="10" t="n">
        <v>1.043535230528971</v>
      </c>
      <c r="N101" s="10" t="n">
        <v>1.152584789698473</v>
      </c>
      <c r="O101" s="10" t="n">
        <v>1.25806465329918</v>
      </c>
      <c r="P101" s="10" t="n">
        <v>1.359584614402225</v>
      </c>
      <c r="Q101" s="10" t="n">
        <v>1.45692283174797</v>
      </c>
      <c r="R101" s="10" t="n">
        <v>1.550000398631025</v>
      </c>
      <c r="S101" s="10" t="n">
        <v>1.638873268045033</v>
      </c>
      <c r="T101" s="10" t="n">
        <v>1.723688972114001</v>
      </c>
      <c r="U101" s="10" t="n">
        <v>1.804635604154392</v>
      </c>
      <c r="V101" s="10" t="n">
        <v>1.881930161698782</v>
      </c>
      <c r="W101" s="10" t="n">
        <v>1.955812524784163</v>
      </c>
      <c r="X101" s="10" t="n">
        <v>2.026540879451052</v>
      </c>
      <c r="Y101" s="10" t="n">
        <v>2.094386282706946</v>
      </c>
      <c r="Z101" s="10" t="n">
        <v>2.159609169878568</v>
      </c>
      <c r="AA101" s="10" t="n">
        <v>2.222440278550531</v>
      </c>
      <c r="AB101" s="10" t="n">
        <v>2.283083853455265</v>
      </c>
      <c r="AC101" s="10" t="n">
        <v>2.341722061948312</v>
      </c>
      <c r="AD101" s="10" t="n">
        <v>2.398518501444818</v>
      </c>
      <c r="AE101" s="10" t="n">
        <v>2.453616667044972</v>
      </c>
      <c r="AF101" s="10" t="n">
        <v>2.507129357497578</v>
      </c>
      <c r="AG101" s="10" t="n">
        <v>3.073615130946797</v>
      </c>
      <c r="AH101" s="10" t="n">
        <v>3.107123069121548</v>
      </c>
      <c r="AI101" s="10" t="n">
        <v>3.139143800549835</v>
      </c>
      <c r="AJ101" s="10" t="n">
        <v>3.169680691018065</v>
      </c>
      <c r="AK101" s="10" t="n">
        <v>3.198741462473496</v>
      </c>
    </row>
    <row r="102">
      <c r="A102" s="9" t="n">
        <v>-23</v>
      </c>
      <c r="B102" s="7" t="n">
        <v>41158</v>
      </c>
      <c r="C102" s="10" t="n">
        <v>0.1259022335784762</v>
      </c>
      <c r="D102" s="10" t="n">
        <v>0.1559741241239447</v>
      </c>
      <c r="E102" s="10" t="n">
        <v>0.2212277993742907</v>
      </c>
      <c r="F102" s="10" t="n">
        <v>0.3092844740690328</v>
      </c>
      <c r="G102" s="10" t="n">
        <v>0.4116975726461727</v>
      </c>
      <c r="H102" s="10" t="n">
        <v>0.5227412014757971</v>
      </c>
      <c r="I102" s="10" t="n">
        <v>0.6385010914150709</v>
      </c>
      <c r="J102" s="10" t="n">
        <v>0.7562836372023806</v>
      </c>
      <c r="K102" s="10" t="n">
        <v>0.8741787153039016</v>
      </c>
      <c r="L102" s="10" t="n">
        <v>0.9908032375922325</v>
      </c>
      <c r="M102" s="10" t="n">
        <v>1.105116467549425</v>
      </c>
      <c r="N102" s="10" t="n">
        <v>1.216323537626754</v>
      </c>
      <c r="O102" s="10" t="n">
        <v>1.323832346329431</v>
      </c>
      <c r="P102" s="10" t="n">
        <v>1.427234833721564</v>
      </c>
      <c r="Q102" s="10" t="n">
        <v>1.526294919583319</v>
      </c>
      <c r="R102" s="10" t="n">
        <v>1.620927069559763</v>
      </c>
      <c r="S102" s="10" t="n">
        <v>1.711190591306514</v>
      </c>
      <c r="T102" s="10" t="n">
        <v>1.797242862050748</v>
      </c>
      <c r="U102" s="10" t="n">
        <v>1.879283607467702</v>
      </c>
      <c r="V102" s="10" t="n">
        <v>1.957542601467508</v>
      </c>
      <c r="W102" s="10" t="n">
        <v>2.032273406146249</v>
      </c>
      <c r="X102" s="10" t="n">
        <v>2.103748614148774</v>
      </c>
      <c r="Y102" s="10" t="n">
        <v>2.172254077465018</v>
      </c>
      <c r="Z102" s="10" t="n">
        <v>2.238063543346026</v>
      </c>
      <c r="AA102" s="10" t="n">
        <v>2.301418325665863</v>
      </c>
      <c r="AB102" s="10" t="n">
        <v>2.362530875168435</v>
      </c>
      <c r="AC102" s="10" t="n">
        <v>2.421589589989176</v>
      </c>
      <c r="AD102" s="10" t="n">
        <v>2.478762637316617</v>
      </c>
      <c r="AE102" s="10" t="n">
        <v>2.53419647198004</v>
      </c>
      <c r="AF102" s="10" t="n">
        <v>2.588005029347838</v>
      </c>
      <c r="AG102" s="10" t="n">
        <v>3.154846087817941</v>
      </c>
      <c r="AH102" s="10" t="n">
        <v>3.188200047430593</v>
      </c>
      <c r="AI102" s="10" t="n">
        <v>3.220066088064745</v>
      </c>
      <c r="AJ102" s="10" t="n">
        <v>3.250453690633772</v>
      </c>
      <c r="AK102" s="10" t="n">
        <v>3.279376137811596</v>
      </c>
    </row>
    <row r="103">
      <c r="A103" s="9" t="n">
        <v>-22</v>
      </c>
      <c r="B103" s="7" t="n">
        <v>41159</v>
      </c>
      <c r="C103" s="10" t="n">
        <v>0.1068080154668831</v>
      </c>
      <c r="D103" s="10" t="n">
        <v>0.1335097991146874</v>
      </c>
      <c r="E103" s="10" t="n">
        <v>0.1968215844879238</v>
      </c>
      <c r="F103" s="10" t="n">
        <v>0.283563562297299</v>
      </c>
      <c r="G103" s="10" t="n">
        <v>0.3849304764743152</v>
      </c>
      <c r="H103" s="10" t="n">
        <v>0.4950503163491106</v>
      </c>
      <c r="I103" s="10" t="n">
        <v>0.6099624532386979</v>
      </c>
      <c r="J103" s="10" t="n">
        <v>0.7269694870343163</v>
      </c>
      <c r="K103" s="10" t="n">
        <v>0.8441881177894014</v>
      </c>
      <c r="L103" s="10" t="n">
        <v>0.960260373156529</v>
      </c>
      <c r="M103" s="10" t="n">
        <v>1.074169677205239</v>
      </c>
      <c r="N103" s="10" t="n">
        <v>1.185135846123598</v>
      </c>
      <c r="O103" s="10" t="n">
        <v>1.292571006885039</v>
      </c>
      <c r="P103" s="10" t="n">
        <v>1.396062518165231</v>
      </c>
      <c r="Q103" s="10" t="n">
        <v>1.495361970463581</v>
      </c>
      <c r="R103" s="10" t="n">
        <v>1.590368011489862</v>
      </c>
      <c r="S103" s="10" t="n">
        <v>1.681120442347752</v>
      </c>
      <c r="T103" s="10" t="n">
        <v>1.767755797918461</v>
      </c>
      <c r="U103" s="10" t="n">
        <v>1.850453083612897</v>
      </c>
      <c r="V103" s="10" t="n">
        <v>1.929421672404753</v>
      </c>
      <c r="W103" s="10" t="n">
        <v>2.004894978254927</v>
      </c>
      <c r="X103" s="10" t="n">
        <v>2.077125647914075</v>
      </c>
      <c r="Y103" s="10" t="n">
        <v>2.146379780581454</v>
      </c>
      <c r="Z103" s="10" t="n">
        <v>2.212912905573831</v>
      </c>
      <c r="AA103" s="10" t="n">
        <v>2.276951476639693</v>
      </c>
      <c r="AB103" s="10" t="n">
        <v>2.338696137387217</v>
      </c>
      <c r="AC103" s="10" t="n">
        <v>2.398326022974326</v>
      </c>
      <c r="AD103" s="10" t="n">
        <v>2.456002172006892</v>
      </c>
      <c r="AE103" s="10" t="n">
        <v>2.511866174900545</v>
      </c>
      <c r="AF103" s="10" t="n">
        <v>2.566030904562771</v>
      </c>
      <c r="AG103" s="10" t="n">
        <v>3.133650336524123</v>
      </c>
      <c r="AH103" s="10" t="n">
        <v>3.167029345824761</v>
      </c>
      <c r="AI103" s="10" t="n">
        <v>3.198944088253979</v>
      </c>
      <c r="AJ103" s="10" t="n">
        <v>3.229407035891438</v>
      </c>
      <c r="AK103" s="10" t="n">
        <v>3.258433776596188</v>
      </c>
    </row>
    <row r="104">
      <c r="A104" s="9" t="n">
        <v>-21</v>
      </c>
      <c r="B104" s="7" t="n">
        <v>41162</v>
      </c>
      <c r="C104" s="10" t="n">
        <v>0.1448550144257575</v>
      </c>
      <c r="D104" s="10" t="n">
        <v>0.1752522384885209</v>
      </c>
      <c r="E104" s="10" t="n">
        <v>0.2405492611221154</v>
      </c>
      <c r="F104" s="10" t="n">
        <v>0.3283820119800725</v>
      </c>
      <c r="G104" s="10" t="n">
        <v>0.4303873861574235</v>
      </c>
      <c r="H104" s="10" t="n">
        <v>0.5409360117451998</v>
      </c>
      <c r="I104" s="10" t="n">
        <v>0.6561984427240778</v>
      </c>
      <c r="J104" s="10" t="n">
        <v>0.773539748766936</v>
      </c>
      <c r="K104" s="10" t="n">
        <v>0.8911027966798363</v>
      </c>
      <c r="L104" s="10" t="n">
        <v>1.007534723232259</v>
      </c>
      <c r="M104" s="10" t="n">
        <v>1.121817481342958</v>
      </c>
      <c r="N104" s="10" t="n">
        <v>1.233168405756138</v>
      </c>
      <c r="O104" s="10" t="n">
        <v>1.340999529898093</v>
      </c>
      <c r="P104" s="10" t="n">
        <v>1.444899394256642</v>
      </c>
      <c r="Q104" s="10" t="n">
        <v>1.544621419640779</v>
      </c>
      <c r="R104" s="10" t="n">
        <v>1.640066485414165</v>
      </c>
      <c r="S104" s="10" t="n">
        <v>1.731276381472839</v>
      </c>
      <c r="T104" s="10" t="n">
        <v>1.81838892233677</v>
      </c>
      <c r="U104" s="10" t="n">
        <v>1.9015826593743</v>
      </c>
      <c r="V104" s="10" t="n">
        <v>1.981065090240209</v>
      </c>
      <c r="W104" s="10" t="n">
        <v>2.057066628399367</v>
      </c>
      <c r="X104" s="10" t="n">
        <v>2.129836019964647</v>
      </c>
      <c r="Y104" s="10" t="n">
        <v>2.19963470295967</v>
      </c>
      <c r="Z104" s="10" t="n">
        <v>2.266712923140642</v>
      </c>
      <c r="AA104" s="10" t="n">
        <v>2.331291579283181</v>
      </c>
      <c r="AB104" s="10" t="n">
        <v>2.393565583449614</v>
      </c>
      <c r="AC104" s="10" t="n">
        <v>2.453708192107858</v>
      </c>
      <c r="AD104" s="10" t="n">
        <v>2.511874443949706</v>
      </c>
      <c r="AE104" s="10" t="n">
        <v>2.568200109094985</v>
      </c>
      <c r="AF104" s="10" t="n">
        <v>2.622793361772568</v>
      </c>
      <c r="AG104" s="10" t="n">
        <v>3.192804130442268</v>
      </c>
      <c r="AH104" s="10" t="n">
        <v>3.226204023257071</v>
      </c>
      <c r="AI104" s="10" t="n">
        <v>3.258134517356092</v>
      </c>
      <c r="AJ104" s="10" t="n">
        <v>3.288611904042053</v>
      </c>
      <c r="AK104" s="10" t="n">
        <v>3.317655233417524</v>
      </c>
    </row>
    <row r="105">
      <c r="A105" s="9" t="n">
        <v>-20</v>
      </c>
      <c r="B105" s="7" t="n">
        <v>41163</v>
      </c>
      <c r="C105" s="10" t="n">
        <v>0.1665136681578274</v>
      </c>
      <c r="D105" s="10" t="n">
        <v>0.1994065380364572</v>
      </c>
      <c r="E105" s="10" t="n">
        <v>0.2656139681797152</v>
      </c>
      <c r="F105" s="10" t="n">
        <v>0.3531744562790682</v>
      </c>
      <c r="G105" s="10" t="n">
        <v>0.4540090272673826</v>
      </c>
      <c r="H105" s="10" t="n">
        <v>0.5627174067979641</v>
      </c>
      <c r="I105" s="10" t="n">
        <v>0.6756799451193084</v>
      </c>
      <c r="J105" s="10" t="n">
        <v>0.7904593052995058</v>
      </c>
      <c r="K105" s="10" t="n">
        <v>0.905386336993021</v>
      </c>
      <c r="L105" s="10" t="n">
        <v>1.019268766036556</v>
      </c>
      <c r="M105" s="10" t="n">
        <v>1.131217831295519</v>
      </c>
      <c r="N105" s="10" t="n">
        <v>1.240547240565446</v>
      </c>
      <c r="O105" s="10" t="n">
        <v>1.346731856640716</v>
      </c>
      <c r="P105" s="10" t="n">
        <v>1.44939424076961</v>
      </c>
      <c r="Q105" s="10" t="n">
        <v>1.548297107970031</v>
      </c>
      <c r="R105" s="10" t="n">
        <v>1.643330787521009</v>
      </c>
      <c r="S105" s="10" t="n">
        <v>1.734508386707268</v>
      </c>
      <c r="T105" s="10" t="n">
        <v>1.821928129900168</v>
      </c>
      <c r="U105" s="10" t="n">
        <v>1.905726067526169</v>
      </c>
      <c r="V105" s="10" t="n">
        <v>1.986065432572196</v>
      </c>
      <c r="W105" s="10" t="n">
        <v>2.063130977552201</v>
      </c>
      <c r="X105" s="10" t="n">
        <v>2.137124670601529</v>
      </c>
      <c r="Y105" s="10" t="n">
        <v>2.208260574659947</v>
      </c>
      <c r="Z105" s="10" t="n">
        <v>2.276744468685831</v>
      </c>
      <c r="AA105" s="10" t="n">
        <v>2.342758552524518</v>
      </c>
      <c r="AB105" s="10" t="n">
        <v>2.406464120259054</v>
      </c>
      <c r="AC105" s="10" t="n">
        <v>2.468005044503913</v>
      </c>
      <c r="AD105" s="10" t="n">
        <v>2.52751053762749</v>
      </c>
      <c r="AE105" s="10" t="n">
        <v>2.585094096829252</v>
      </c>
      <c r="AF105" s="10" t="n">
        <v>2.640846355123269</v>
      </c>
      <c r="AG105" s="10" t="n">
        <v>3.215628657112595</v>
      </c>
      <c r="AH105" s="10" t="n">
        <v>3.248834702417966</v>
      </c>
      <c r="AI105" s="10" t="n">
        <v>3.280547048021475</v>
      </c>
      <c r="AJ105" s="10" t="n">
        <v>3.310793200255449</v>
      </c>
      <c r="AK105" s="10" t="n">
        <v>3.339602223802439</v>
      </c>
    </row>
    <row r="106">
      <c r="A106" s="9" t="n">
        <v>-19</v>
      </c>
      <c r="B106" s="7" t="n">
        <v>41164</v>
      </c>
      <c r="C106" s="10" t="n">
        <v>0.2132360808700297</v>
      </c>
      <c r="D106" s="10" t="n">
        <v>0.2581754132202977</v>
      </c>
      <c r="E106" s="10" t="n">
        <v>0.3332031661823737</v>
      </c>
      <c r="F106" s="10" t="n">
        <v>0.4274444288503617</v>
      </c>
      <c r="G106" s="10" t="n">
        <v>0.5335513747504568</v>
      </c>
      <c r="H106" s="10" t="n">
        <v>0.646570195349513</v>
      </c>
      <c r="I106" s="10" t="n">
        <v>0.7631396791086751</v>
      </c>
      <c r="J106" s="10" t="n">
        <v>0.880956433993067</v>
      </c>
      <c r="K106" s="10" t="n">
        <v>0.9984144299251779</v>
      </c>
      <c r="L106" s="10" t="n">
        <v>1.114346829709746</v>
      </c>
      <c r="M106" s="10" t="n">
        <v>1.227877811890148</v>
      </c>
      <c r="N106" s="10" t="n">
        <v>1.33833280472497</v>
      </c>
      <c r="O106" s="10" t="n">
        <v>1.445203921947141</v>
      </c>
      <c r="P106" s="10" t="n">
        <v>1.548135114691106</v>
      </c>
      <c r="Q106" s="10" t="n">
        <v>1.646912881421928</v>
      </c>
      <c r="R106" s="10" t="n">
        <v>1.741452559360841</v>
      </c>
      <c r="S106" s="10" t="n">
        <v>1.831790073597291</v>
      </c>
      <c r="T106" s="10" t="n">
        <v>1.918045415750451</v>
      </c>
      <c r="U106" s="10" t="n">
        <v>2.00037846942789</v>
      </c>
      <c r="V106" s="10" t="n">
        <v>2.078978201234055</v>
      </c>
      <c r="W106" s="10" t="n">
        <v>2.154056601812588</v>
      </c>
      <c r="X106" s="10" t="n">
        <v>2.225844081037851</v>
      </c>
      <c r="Y106" s="10" t="n">
        <v>2.294584097266863</v>
      </c>
      <c r="Z106" s="10" t="n">
        <v>2.360512703108295</v>
      </c>
      <c r="AA106" s="10" t="n">
        <v>2.423843385237017</v>
      </c>
      <c r="AB106" s="10" t="n">
        <v>2.484769609194641</v>
      </c>
      <c r="AC106" s="10" t="n">
        <v>2.543468156245065</v>
      </c>
      <c r="AD106" s="10" t="n">
        <v>2.600101756436154</v>
      </c>
      <c r="AE106" s="10" t="n">
        <v>2.654817420385478</v>
      </c>
      <c r="AF106" s="10" t="n">
        <v>2.707737941351114</v>
      </c>
      <c r="AG106" s="10" t="n">
        <v>3.257012489797499</v>
      </c>
      <c r="AH106" s="10" t="n">
        <v>3.289191292971491</v>
      </c>
      <c r="AI106" s="10" t="n">
        <v>3.319962244231526</v>
      </c>
      <c r="AJ106" s="10" t="n">
        <v>3.349338532896156</v>
      </c>
      <c r="AK106" s="10" t="n">
        <v>3.37733559035713</v>
      </c>
    </row>
    <row r="107">
      <c r="A107" s="9" t="n">
        <v>-18</v>
      </c>
      <c r="B107" s="7" t="n">
        <v>41165</v>
      </c>
      <c r="C107" s="10" t="n">
        <v>0.2084089324018603</v>
      </c>
      <c r="D107" s="10" t="n">
        <v>0.2541202939848556</v>
      </c>
      <c r="E107" s="10" t="n">
        <v>0.3292707189936104</v>
      </c>
      <c r="F107" s="10" t="n">
        <v>0.4230046275800538</v>
      </c>
      <c r="G107" s="10" t="n">
        <v>0.528088844910773</v>
      </c>
      <c r="H107" s="10" t="n">
        <v>0.6396933624378742</v>
      </c>
      <c r="I107" s="10" t="n">
        <v>0.7545704397213631</v>
      </c>
      <c r="J107" s="10" t="n">
        <v>0.8705151432933004</v>
      </c>
      <c r="K107" s="10" t="n">
        <v>0.986010930825154</v>
      </c>
      <c r="L107" s="10" t="n">
        <v>1.099966618459756</v>
      </c>
      <c r="M107" s="10" t="n">
        <v>1.211570754039882</v>
      </c>
      <c r="N107" s="10" t="n">
        <v>1.32020207705536</v>
      </c>
      <c r="O107" s="10" t="n">
        <v>1.42539403508485</v>
      </c>
      <c r="P107" s="10" t="n">
        <v>1.526818791474739</v>
      </c>
      <c r="Q107" s="10" t="n">
        <v>1.624277424208872</v>
      </c>
      <c r="R107" s="10" t="n">
        <v>1.717687480098646</v>
      </c>
      <c r="S107" s="10" t="n">
        <v>1.807074398094847</v>
      </c>
      <c r="T107" s="10" t="n">
        <v>1.892540370555149</v>
      </c>
      <c r="U107" s="10" t="n">
        <v>1.97422630212581</v>
      </c>
      <c r="V107" s="10" t="n">
        <v>2.052301657303975</v>
      </c>
      <c r="W107" s="10" t="n">
        <v>2.126958510468744</v>
      </c>
      <c r="X107" s="10" t="n">
        <v>2.198407023903492</v>
      </c>
      <c r="Y107" s="10" t="n">
        <v>2.266870280735831</v>
      </c>
      <c r="Z107" s="10" t="n">
        <v>2.332565494492617</v>
      </c>
      <c r="AA107" s="10" t="n">
        <v>2.395690251390934</v>
      </c>
      <c r="AB107" s="10" t="n">
        <v>2.456424704842515</v>
      </c>
      <c r="AC107" s="10" t="n">
        <v>2.514934480921297</v>
      </c>
      <c r="AD107" s="10" t="n">
        <v>2.571372959576299</v>
      </c>
      <c r="AE107" s="10" t="n">
        <v>2.625879181579316</v>
      </c>
      <c r="AF107" s="10" t="n">
        <v>2.678568882929141</v>
      </c>
      <c r="AG107" s="10" t="n">
        <v>3.221447212774696</v>
      </c>
      <c r="AH107" s="10" t="n">
        <v>3.252868563283185</v>
      </c>
      <c r="AI107" s="10" t="n">
        <v>3.282853011261218</v>
      </c>
      <c r="AJ107" s="10" t="n">
        <v>3.311416412175127</v>
      </c>
      <c r="AK107" s="10" t="n">
        <v>3.338576824977844</v>
      </c>
    </row>
    <row r="108">
      <c r="A108" s="9" t="n">
        <v>-17</v>
      </c>
      <c r="B108" s="7" t="n">
        <v>41166</v>
      </c>
      <c r="C108" s="10" t="n">
        <v>0.2818201960232735</v>
      </c>
      <c r="D108" s="10" t="n">
        <v>0.3438115922041452</v>
      </c>
      <c r="E108" s="10" t="n">
        <v>0.4314873825109407</v>
      </c>
      <c r="F108" s="10" t="n">
        <v>0.5352666914062062</v>
      </c>
      <c r="G108" s="10" t="n">
        <v>0.6486951731219872</v>
      </c>
      <c r="H108" s="10" t="n">
        <v>0.7674022643728562</v>
      </c>
      <c r="I108" s="10" t="n">
        <v>0.8884085609657407</v>
      </c>
      <c r="J108" s="10" t="n">
        <v>1.009651024532351</v>
      </c>
      <c r="K108" s="10" t="n">
        <v>1.129686347004246</v>
      </c>
      <c r="L108" s="10" t="n">
        <v>1.247454790332218</v>
      </c>
      <c r="M108" s="10" t="n">
        <v>1.36216610677994</v>
      </c>
      <c r="N108" s="10" t="n">
        <v>1.47322369622655</v>
      </c>
      <c r="O108" s="10" t="n">
        <v>1.580195045906402</v>
      </c>
      <c r="P108" s="10" t="n">
        <v>1.682796828787068</v>
      </c>
      <c r="Q108" s="10" t="n">
        <v>1.780885682549795</v>
      </c>
      <c r="R108" s="10" t="n">
        <v>1.874440701323544</v>
      </c>
      <c r="S108" s="10" t="n">
        <v>1.963554836933904</v>
      </c>
      <c r="T108" s="10" t="n">
        <v>2.048398952926539</v>
      </c>
      <c r="U108" s="10" t="n">
        <v>2.129176824279981</v>
      </c>
      <c r="V108" s="10" t="n">
        <v>2.206115791474017</v>
      </c>
      <c r="W108" s="10" t="n">
        <v>2.279461851010258</v>
      </c>
      <c r="X108" s="10" t="n">
        <v>2.349475924198982</v>
      </c>
      <c r="Y108" s="10" t="n">
        <v>2.416428831646294</v>
      </c>
      <c r="Z108" s="10" t="n">
        <v>2.480579487285652</v>
      </c>
      <c r="AA108" s="10" t="n">
        <v>2.542159625933739</v>
      </c>
      <c r="AB108" s="10" t="n">
        <v>2.601377158379959</v>
      </c>
      <c r="AC108" s="10" t="n">
        <v>2.658420142057655</v>
      </c>
      <c r="AD108" s="10" t="n">
        <v>2.713459907974756</v>
      </c>
      <c r="AE108" s="10" t="n">
        <v>2.766649211930675</v>
      </c>
      <c r="AF108" s="10" t="n">
        <v>2.818113102382263</v>
      </c>
      <c r="AG108" s="10" t="n">
        <v>3.352327842138429</v>
      </c>
      <c r="AH108" s="10" t="n">
        <v>3.383335039252974</v>
      </c>
      <c r="AI108" s="10" t="n">
        <v>3.412885783327061</v>
      </c>
      <c r="AJ108" s="10" t="n">
        <v>3.440985869897965</v>
      </c>
      <c r="AK108" s="10" t="n">
        <v>3.46764456556477</v>
      </c>
    </row>
    <row r="109">
      <c r="A109" s="9" t="n">
        <v>-16</v>
      </c>
      <c r="B109" s="7" t="n">
        <v>41169</v>
      </c>
      <c r="C109" s="10" t="n">
        <v>0.2600901085865781</v>
      </c>
      <c r="D109" s="10" t="n">
        <v>0.3212613816845484</v>
      </c>
      <c r="E109" s="10" t="n">
        <v>0.4086479933970127</v>
      </c>
      <c r="F109" s="10" t="n">
        <v>0.5119063512874187</v>
      </c>
      <c r="G109" s="10" t="n">
        <v>0.6243607947557726</v>
      </c>
      <c r="H109" s="10" t="n">
        <v>0.7416350574652343</v>
      </c>
      <c r="I109" s="10" t="n">
        <v>0.8608306517413291</v>
      </c>
      <c r="J109" s="10" t="n">
        <v>0.980008012083497</v>
      </c>
      <c r="K109" s="10" t="n">
        <v>1.097857462810994</v>
      </c>
      <c r="L109" s="10" t="n">
        <v>1.213445289855054</v>
      </c>
      <c r="M109" s="10" t="n">
        <v>1.326081697613468</v>
      </c>
      <c r="N109" s="10" t="n">
        <v>1.435240540983631</v>
      </c>
      <c r="O109" s="10" t="n">
        <v>1.540528520295394</v>
      </c>
      <c r="P109" s="10" t="n">
        <v>1.64167802254858</v>
      </c>
      <c r="Q109" s="10" t="n">
        <v>1.7385444287329</v>
      </c>
      <c r="R109" s="10" t="n">
        <v>1.831093241651599</v>
      </c>
      <c r="S109" s="10" t="n">
        <v>1.919394004346147</v>
      </c>
      <c r="T109" s="10" t="n">
        <v>2.003590050830726</v>
      </c>
      <c r="U109" s="10" t="n">
        <v>2.083859781735675</v>
      </c>
      <c r="V109" s="10" t="n">
        <v>2.16040729987309</v>
      </c>
      <c r="W109" s="10" t="n">
        <v>2.233457055615622</v>
      </c>
      <c r="X109" s="10" t="n">
        <v>2.303249777371932</v>
      </c>
      <c r="Y109" s="10" t="n">
        <v>2.370037345533196</v>
      </c>
      <c r="Z109" s="10" t="n">
        <v>2.434062519100404</v>
      </c>
      <c r="AA109" s="10" t="n">
        <v>2.495544891474221</v>
      </c>
      <c r="AB109" s="10" t="n">
        <v>2.554683705141068</v>
      </c>
      <c r="AC109" s="10" t="n">
        <v>2.611661243492163</v>
      </c>
      <c r="AD109" s="10" t="n">
        <v>2.66664548521182</v>
      </c>
      <c r="AE109" s="10" t="n">
        <v>2.719787671718164</v>
      </c>
      <c r="AF109" s="10" t="n">
        <v>2.771212499992816</v>
      </c>
      <c r="AG109" s="10" t="n">
        <v>3.305857194574076</v>
      </c>
      <c r="AH109" s="10" t="n">
        <v>3.336947845621282</v>
      </c>
      <c r="AI109" s="10" t="n">
        <v>3.366579245224061</v>
      </c>
      <c r="AJ109" s="10" t="n">
        <v>3.394754602319885</v>
      </c>
      <c r="AK109" s="10" t="n">
        <v>3.421480847307846</v>
      </c>
    </row>
    <row r="110">
      <c r="A110" s="9" t="n">
        <v>-15</v>
      </c>
      <c r="B110" s="7" t="n">
        <v>41170</v>
      </c>
      <c r="C110" s="10" t="n">
        <v>0.2444357839037129</v>
      </c>
      <c r="D110" s="10" t="n">
        <v>0.3013924321414992</v>
      </c>
      <c r="E110" s="10" t="n">
        <v>0.3851412839631498</v>
      </c>
      <c r="F110" s="10" t="n">
        <v>0.4850816403938752</v>
      </c>
      <c r="G110" s="10" t="n">
        <v>0.5944339015624706</v>
      </c>
      <c r="H110" s="10" t="n">
        <v>0.7087932195933778</v>
      </c>
      <c r="I110" s="10" t="n">
        <v>0.8252602855121588</v>
      </c>
      <c r="J110" s="10" t="n">
        <v>0.9419093501059389</v>
      </c>
      <c r="K110" s="10" t="n">
        <v>1.057438081783845</v>
      </c>
      <c r="L110" s="10" t="n">
        <v>1.170921919429192</v>
      </c>
      <c r="M110" s="10" t="n">
        <v>1.281674854017947</v>
      </c>
      <c r="N110" s="10" t="n">
        <v>1.38917151853586</v>
      </c>
      <c r="O110" s="10" t="n">
        <v>1.493017087086136</v>
      </c>
      <c r="P110" s="10" t="n">
        <v>1.592940756532061</v>
      </c>
      <c r="Q110" s="10" t="n">
        <v>1.688793424643041</v>
      </c>
      <c r="R110" s="10" t="n">
        <v>1.780533893129264</v>
      </c>
      <c r="S110" s="10" t="n">
        <v>1.868222502317976</v>
      </c>
      <c r="T110" s="10" t="n">
        <v>1.951991996760873</v>
      </c>
      <c r="U110" s="10" t="n">
        <v>2.032010416922485</v>
      </c>
      <c r="V110" s="10" t="n">
        <v>2.108471813478511</v>
      </c>
      <c r="W110" s="10" t="n">
        <v>2.181590828521826</v>
      </c>
      <c r="X110" s="10" t="n">
        <v>2.251598577260255</v>
      </c>
      <c r="Y110" s="10" t="n">
        <v>2.31873741752449</v>
      </c>
      <c r="Z110" s="10" t="n">
        <v>2.383240337968695</v>
      </c>
      <c r="AA110" s="10" t="n">
        <v>2.445316870746341</v>
      </c>
      <c r="AB110" s="10" t="n">
        <v>2.505155969218048</v>
      </c>
      <c r="AC110" s="10" t="n">
        <v>2.562929437750392</v>
      </c>
      <c r="AD110" s="10" t="n">
        <v>2.618794605492157</v>
      </c>
      <c r="AE110" s="10" t="n">
        <v>2.672891419290135</v>
      </c>
      <c r="AF110" s="10" t="n">
        <v>2.725331587126031</v>
      </c>
      <c r="AG110" s="10" t="n">
        <v>3.273228297985338</v>
      </c>
      <c r="AH110" s="10" t="n">
        <v>3.305082283892828</v>
      </c>
      <c r="AI110" s="10" t="n">
        <v>3.335427632004165</v>
      </c>
      <c r="AJ110" s="10" t="n">
        <v>3.364268608406701</v>
      </c>
      <c r="AK110" s="10" t="n">
        <v>3.391613619941886</v>
      </c>
    </row>
    <row r="111">
      <c r="A111" s="9" t="n">
        <v>-14</v>
      </c>
      <c r="B111" s="7" t="n">
        <v>41171</v>
      </c>
      <c r="C111" s="10" t="n">
        <v>0.2412186792381046</v>
      </c>
      <c r="D111" s="10" t="n">
        <v>0.2932745994132637</v>
      </c>
      <c r="E111" s="10" t="n">
        <v>0.3723131742316519</v>
      </c>
      <c r="F111" s="10" t="n">
        <v>0.4679544682266474</v>
      </c>
      <c r="G111" s="10" t="n">
        <v>0.573477620412404</v>
      </c>
      <c r="H111" s="10" t="n">
        <v>0.6844803910601582</v>
      </c>
      <c r="I111" s="10" t="n">
        <v>0.7980397381972538</v>
      </c>
      <c r="J111" s="10" t="n">
        <v>0.9122005938254439</v>
      </c>
      <c r="K111" s="10" t="n">
        <v>1.025621886605722</v>
      </c>
      <c r="L111" s="10" t="n">
        <v>1.137346852939411</v>
      </c>
      <c r="M111" s="10" t="n">
        <v>1.246659317950555</v>
      </c>
      <c r="N111" s="10" t="n">
        <v>1.353008419606003</v>
      </c>
      <c r="O111" s="10" t="n">
        <v>1.45597855383176</v>
      </c>
      <c r="P111" s="10" t="n">
        <v>1.555281662624267</v>
      </c>
      <c r="Q111" s="10" t="n">
        <v>1.650754369359958</v>
      </c>
      <c r="R111" s="10" t="n">
        <v>1.742342415997038</v>
      </c>
      <c r="S111" s="10" t="n">
        <v>1.830094140614144</v>
      </c>
      <c r="T111" s="10" t="n">
        <v>1.914130323383733</v>
      </c>
      <c r="U111" s="10" t="n">
        <v>1.994606150116589</v>
      </c>
      <c r="V111" s="10" t="n">
        <v>2.071702078515432</v>
      </c>
      <c r="W111" s="10" t="n">
        <v>2.145618573197421</v>
      </c>
      <c r="X111" s="10" t="n">
        <v>2.216572104283391</v>
      </c>
      <c r="Y111" s="10" t="n">
        <v>2.284789898042074</v>
      </c>
      <c r="Z111" s="10" t="n">
        <v>2.350488736547192</v>
      </c>
      <c r="AA111" s="10" t="n">
        <v>2.41386067921426</v>
      </c>
      <c r="AB111" s="10" t="n">
        <v>2.475076150120836</v>
      </c>
      <c r="AC111" s="10" t="n">
        <v>2.534287543896186</v>
      </c>
      <c r="AD111" s="10" t="n">
        <v>2.591632035105051</v>
      </c>
      <c r="AE111" s="10" t="n">
        <v>2.647228579817462</v>
      </c>
      <c r="AF111" s="10" t="n">
        <v>2.701166830839227</v>
      </c>
      <c r="AG111" s="10" t="n">
        <v>3.26121164731005</v>
      </c>
      <c r="AH111" s="10" t="n">
        <v>3.293226520064799</v>
      </c>
      <c r="AI111" s="10" t="n">
        <v>3.323633660191005</v>
      </c>
      <c r="AJ111" s="10" t="n">
        <v>3.352444324468352</v>
      </c>
      <c r="AK111" s="10" t="n">
        <v>3.379674002673505</v>
      </c>
    </row>
    <row r="112">
      <c r="A112" s="9" t="n">
        <v>-13</v>
      </c>
      <c r="B112" s="7" t="n">
        <v>41172</v>
      </c>
      <c r="C112" s="10" t="n">
        <v>0.2293579195937184</v>
      </c>
      <c r="D112" s="10" t="n">
        <v>0.2779788193045389</v>
      </c>
      <c r="E112" s="10" t="n">
        <v>0.3539162750295262</v>
      </c>
      <c r="F112" s="10" t="n">
        <v>0.4466635282990311</v>
      </c>
      <c r="G112" s="10" t="n">
        <v>0.5494268659974705</v>
      </c>
      <c r="H112" s="10" t="n">
        <v>0.6577739729778252</v>
      </c>
      <c r="I112" s="10" t="n">
        <v>0.7687748866643821</v>
      </c>
      <c r="J112" s="10" t="n">
        <v>0.8804866609232227</v>
      </c>
      <c r="K112" s="10" t="n">
        <v>0.9915844137283586</v>
      </c>
      <c r="L112" s="10" t="n">
        <v>1.101136994684749</v>
      </c>
      <c r="M112" s="10" t="n">
        <v>1.208454278020989</v>
      </c>
      <c r="N112" s="10" t="n">
        <v>1.313011096503638</v>
      </c>
      <c r="O112" s="10" t="n">
        <v>1.414413390560548</v>
      </c>
      <c r="P112" s="10" t="n">
        <v>1.512387097281061</v>
      </c>
      <c r="Q112" s="10" t="n">
        <v>1.606772480539595</v>
      </c>
      <c r="R112" s="10" t="n">
        <v>1.697507481991903</v>
      </c>
      <c r="S112" s="10" t="n">
        <v>1.784620090007375</v>
      </c>
      <c r="T112" s="10" t="n">
        <v>1.868203261382664</v>
      </c>
      <c r="U112" s="10" t="n">
        <v>1.948383673969025</v>
      </c>
      <c r="V112" s="10" t="n">
        <v>2.025313148345036</v>
      </c>
      <c r="W112" s="10" t="n">
        <v>2.099163409748412</v>
      </c>
      <c r="X112" s="10" t="n">
        <v>2.170122107111597</v>
      </c>
      <c r="Y112" s="10" t="n">
        <v>2.238387896145894</v>
      </c>
      <c r="Z112" s="10" t="n">
        <v>2.304152244793938</v>
      </c>
      <c r="AA112" s="10" t="n">
        <v>2.367587299761911</v>
      </c>
      <c r="AB112" s="10" t="n">
        <v>2.428848257183582</v>
      </c>
      <c r="AC112" s="10" t="n">
        <v>2.488076187715717</v>
      </c>
      <c r="AD112" s="10" t="n">
        <v>2.545400221549044</v>
      </c>
      <c r="AE112" s="10" t="n">
        <v>2.600934464181587</v>
      </c>
      <c r="AF112" s="10" t="n">
        <v>2.654767679221134</v>
      </c>
      <c r="AG112" s="10" t="n">
        <v>3.211771746628746</v>
      </c>
      <c r="AH112" s="10" t="n">
        <v>3.243601685096963</v>
      </c>
      <c r="AI112" s="10" t="n">
        <v>3.273848333773083</v>
      </c>
      <c r="AJ112" s="10" t="n">
        <v>3.302524651707478</v>
      </c>
      <c r="AK112" s="10" t="n">
        <v>3.329647389033522</v>
      </c>
    </row>
    <row r="113">
      <c r="A113" s="9" t="n">
        <v>-12</v>
      </c>
      <c r="B113" s="7" t="n">
        <v>41173</v>
      </c>
      <c r="C113" s="10" t="n">
        <v>0.2376026128048156</v>
      </c>
      <c r="D113" s="10" t="n">
        <v>0.28916113960345</v>
      </c>
      <c r="E113" s="10" t="n">
        <v>0.3681190469061147</v>
      </c>
      <c r="F113" s="10" t="n">
        <v>0.4638424462873102</v>
      </c>
      <c r="G113" s="10" t="n">
        <v>0.5695045565229496</v>
      </c>
      <c r="H113" s="10" t="n">
        <v>0.6806658808837354</v>
      </c>
      <c r="I113" s="10" t="n">
        <v>0.7943850651481926</v>
      </c>
      <c r="J113" s="10" t="n">
        <v>0.908698265606017</v>
      </c>
      <c r="K113" s="10" t="n">
        <v>1.022245617013327</v>
      </c>
      <c r="L113" s="10" t="n">
        <v>1.134060053063179</v>
      </c>
      <c r="M113" s="10" t="n">
        <v>1.243415518622963</v>
      </c>
      <c r="N113" s="10" t="n">
        <v>1.349759715116986</v>
      </c>
      <c r="O113" s="10" t="n">
        <v>1.452682441161079</v>
      </c>
      <c r="P113" s="10" t="n">
        <v>1.55190716728474</v>
      </c>
      <c r="Q113" s="10" t="n">
        <v>1.647284473765873</v>
      </c>
      <c r="R113" s="10" t="n">
        <v>1.738772852511763</v>
      </c>
      <c r="S113" s="10" t="n">
        <v>1.826433914279785</v>
      </c>
      <c r="T113" s="10" t="n">
        <v>1.910396773405171</v>
      </c>
      <c r="U113" s="10" t="n">
        <v>1.990820882286281</v>
      </c>
      <c r="V113" s="10" t="n">
        <v>2.067887910089399</v>
      </c>
      <c r="W113" s="10" t="n">
        <v>2.141797114255411</v>
      </c>
      <c r="X113" s="10" t="n">
        <v>2.212761822754623</v>
      </c>
      <c r="Y113" s="10" t="n">
        <v>2.281004417557305</v>
      </c>
      <c r="Z113" s="10" t="n">
        <v>2.346735432790671</v>
      </c>
      <c r="AA113" s="10" t="n">
        <v>2.41014026710361</v>
      </c>
      <c r="AB113" s="10" t="n">
        <v>2.471382468798995</v>
      </c>
      <c r="AC113" s="10" t="n">
        <v>2.530607377558025</v>
      </c>
      <c r="AD113" s="10" t="n">
        <v>2.587944959694322</v>
      </c>
      <c r="AE113" s="10" t="n">
        <v>2.643507235422389</v>
      </c>
      <c r="AF113" s="10" t="n">
        <v>2.697378812849498</v>
      </c>
      <c r="AG113" s="10" t="n">
        <v>3.253660935241593</v>
      </c>
      <c r="AH113" s="10" t="n">
        <v>3.285266874758752</v>
      </c>
      <c r="AI113" s="10" t="n">
        <v>3.31527083670873</v>
      </c>
      <c r="AJ113" s="10" t="n">
        <v>3.343688978583663</v>
      </c>
      <c r="AK113" s="10" t="n">
        <v>3.370541237909541</v>
      </c>
    </row>
    <row r="114">
      <c r="A114" s="9" t="n">
        <v>-11</v>
      </c>
      <c r="B114" s="7" t="n">
        <v>41176</v>
      </c>
      <c r="C114" s="10" t="n">
        <v>0.2298041630007077</v>
      </c>
      <c r="D114" s="10" t="n">
        <v>0.2794927240158011</v>
      </c>
      <c r="E114" s="10" t="n">
        <v>0.357246438567995</v>
      </c>
      <c r="F114" s="10" t="n">
        <v>0.4520305350803939</v>
      </c>
      <c r="G114" s="10" t="n">
        <v>0.5568196157542008</v>
      </c>
      <c r="H114" s="10" t="n">
        <v>0.667086867228864</v>
      </c>
      <c r="I114" s="10" t="n">
        <v>0.7798635582702277</v>
      </c>
      <c r="J114" s="10" t="n">
        <v>0.8931905270964292</v>
      </c>
      <c r="K114" s="10" t="n">
        <v>1.005733822224972</v>
      </c>
      <c r="L114" s="10" t="n">
        <v>1.116559154380263</v>
      </c>
      <c r="M114" s="10" t="n">
        <v>1.22497513858683</v>
      </c>
      <c r="N114" s="10" t="n">
        <v>1.33046095085411</v>
      </c>
      <c r="O114" s="10" t="n">
        <v>1.432632538617965</v>
      </c>
      <c r="P114" s="10" t="n">
        <v>1.531234245851536</v>
      </c>
      <c r="Q114" s="10" t="n">
        <v>1.626130362147019</v>
      </c>
      <c r="R114" s="10" t="n">
        <v>1.717286634758908</v>
      </c>
      <c r="S114" s="10" t="n">
        <v>1.804766318991202</v>
      </c>
      <c r="T114" s="10" t="n">
        <v>1.888695335537715</v>
      </c>
      <c r="U114" s="10" t="n">
        <v>1.969227473811883</v>
      </c>
      <c r="V114" s="10" t="n">
        <v>2.046536928740294</v>
      </c>
      <c r="W114" s="10" t="n">
        <v>2.120814049614118</v>
      </c>
      <c r="X114" s="10" t="n">
        <v>2.192262109104119</v>
      </c>
      <c r="Y114" s="10" t="n">
        <v>2.261092538515846</v>
      </c>
      <c r="Z114" s="10" t="n">
        <v>2.32750473767706</v>
      </c>
      <c r="AA114" s="10" t="n">
        <v>2.391673435280405</v>
      </c>
      <c r="AB114" s="10" t="n">
        <v>2.453751952758664</v>
      </c>
      <c r="AC114" s="10" t="n">
        <v>2.5138757721614</v>
      </c>
      <c r="AD114" s="10" t="n">
        <v>2.572165310356998</v>
      </c>
      <c r="AE114" s="10" t="n">
        <v>2.628723355698723</v>
      </c>
      <c r="AF114" s="10" t="n">
        <v>2.683625844841047</v>
      </c>
      <c r="AG114" s="10" t="n">
        <v>3.253475141753191</v>
      </c>
      <c r="AH114" s="10" t="n">
        <v>3.28596588281282</v>
      </c>
      <c r="AI114" s="10" t="n">
        <v>3.316815159059918</v>
      </c>
      <c r="AJ114" s="10" t="n">
        <v>3.346037133710747</v>
      </c>
      <c r="AK114" s="10" t="n">
        <v>3.373650167943456</v>
      </c>
    </row>
    <row r="115">
      <c r="A115" s="9" t="n">
        <v>-10</v>
      </c>
      <c r="B115" s="7" t="n">
        <v>41177</v>
      </c>
      <c r="C115" s="10" t="n">
        <v>0.2249891806913567</v>
      </c>
      <c r="D115" s="10" t="n">
        <v>0.2739374994376689</v>
      </c>
      <c r="E115" s="10" t="n">
        <v>0.3511840841164987</v>
      </c>
      <c r="F115" s="10" t="n">
        <v>0.4458173169901316</v>
      </c>
      <c r="G115" s="10" t="n">
        <v>0.5508349662144977</v>
      </c>
      <c r="H115" s="10" t="n">
        <v>0.6616771884476191</v>
      </c>
      <c r="I115" s="10" t="n">
        <v>0.7753089390857142</v>
      </c>
      <c r="J115" s="10" t="n">
        <v>0.8896878813446265</v>
      </c>
      <c r="K115" s="10" t="n">
        <v>1.003396745796667</v>
      </c>
      <c r="L115" s="10" t="n">
        <v>1.115424761761033</v>
      </c>
      <c r="M115" s="10" t="n">
        <v>1.225014697233033</v>
      </c>
      <c r="N115" s="10" t="n">
        <v>1.331590589470842</v>
      </c>
      <c r="O115" s="10" t="n">
        <v>1.434725749722378</v>
      </c>
      <c r="P115" s="10" t="n">
        <v>1.534133499594244</v>
      </c>
      <c r="Q115" s="10" t="n">
        <v>1.629655769916648</v>
      </c>
      <c r="R115" s="10" t="n">
        <v>1.721243325429016</v>
      </c>
      <c r="S115" s="10" t="n">
        <v>1.808949306617734</v>
      </c>
      <c r="T115" s="10" t="n">
        <v>1.892893865654834</v>
      </c>
      <c r="U115" s="10" t="n">
        <v>1.973231127471028</v>
      </c>
      <c r="V115" s="10" t="n">
        <v>2.050140616310939</v>
      </c>
      <c r="W115" s="10" t="n">
        <v>2.123821964209368</v>
      </c>
      <c r="X115" s="10" t="n">
        <v>2.194490889297529</v>
      </c>
      <c r="Y115" s="10" t="n">
        <v>2.262373876462484</v>
      </c>
      <c r="Z115" s="10" t="n">
        <v>2.327688218435839</v>
      </c>
      <c r="AA115" s="10" t="n">
        <v>2.390629603490303</v>
      </c>
      <c r="AB115" s="10" t="n">
        <v>2.451374915613322</v>
      </c>
      <c r="AC115" s="10" t="n">
        <v>2.510085368554623</v>
      </c>
      <c r="AD115" s="10" t="n">
        <v>2.566908926225892</v>
      </c>
      <c r="AE115" s="10" t="n">
        <v>2.62197739881021</v>
      </c>
      <c r="AF115" s="10" t="n">
        <v>2.675396982151653</v>
      </c>
      <c r="AG115" s="10" t="n">
        <v>3.235418522876711</v>
      </c>
      <c r="AH115" s="10" t="n">
        <v>3.268030476637705</v>
      </c>
      <c r="AI115" s="10" t="n">
        <v>3.2990892003225</v>
      </c>
      <c r="AJ115" s="10" t="n">
        <v>3.328596233427958</v>
      </c>
      <c r="AK115" s="10" t="n">
        <v>3.356557833125906</v>
      </c>
    </row>
    <row r="116">
      <c r="A116" s="9" t="n">
        <v>-9</v>
      </c>
      <c r="B116" s="7" t="n">
        <v>41178</v>
      </c>
      <c r="C116" s="10" t="n">
        <v>0.1959695966868054</v>
      </c>
      <c r="D116" s="10" t="n">
        <v>0.2319420683355904</v>
      </c>
      <c r="E116" s="10" t="n">
        <v>0.2971594646796943</v>
      </c>
      <c r="F116" s="10" t="n">
        <v>0.3806811455679116</v>
      </c>
      <c r="G116" s="10" t="n">
        <v>0.475373364956966</v>
      </c>
      <c r="H116" s="10" t="n">
        <v>0.5765836666221074</v>
      </c>
      <c r="I116" s="10" t="n">
        <v>0.6812473898428316</v>
      </c>
      <c r="J116" s="10" t="n">
        <v>0.7873440716322345</v>
      </c>
      <c r="K116" s="10" t="n">
        <v>0.8935140081934515</v>
      </c>
      <c r="L116" s="10" t="n">
        <v>0.9988057841229057</v>
      </c>
      <c r="M116" s="10" t="n">
        <v>1.102511376497973</v>
      </c>
      <c r="N116" s="10" t="n">
        <v>1.20408206208763</v>
      </c>
      <c r="O116" s="10" t="n">
        <v>1.303093316882336</v>
      </c>
      <c r="P116" s="10" t="n">
        <v>1.399238704133369</v>
      </c>
      <c r="Q116" s="10" t="n">
        <v>1.492320793516213</v>
      </c>
      <c r="R116" s="10" t="n">
        <v>1.582236728804676</v>
      </c>
      <c r="S116" s="10" t="n">
        <v>1.668973087061332</v>
      </c>
      <c r="T116" s="10" t="n">
        <v>1.752578150405686</v>
      </c>
      <c r="U116" s="10" t="n">
        <v>1.833136597322243</v>
      </c>
      <c r="V116" s="10" t="n">
        <v>1.910760853949818</v>
      </c>
      <c r="W116" s="10" t="n">
        <v>1.985585313320223</v>
      </c>
      <c r="X116" s="10" t="n">
        <v>2.057761941837359</v>
      </c>
      <c r="Y116" s="10" t="n">
        <v>2.127454993710168</v>
      </c>
      <c r="Z116" s="10" t="n">
        <v>2.194823582555816</v>
      </c>
      <c r="AA116" s="10" t="n">
        <v>2.260010886354183</v>
      </c>
      <c r="AB116" s="10" t="n">
        <v>2.323146137333501</v>
      </c>
      <c r="AC116" s="10" t="n">
        <v>2.384346946262293</v>
      </c>
      <c r="AD116" s="10" t="n">
        <v>2.4437210647869</v>
      </c>
      <c r="AE116" s="10" t="n">
        <v>2.501362850144371</v>
      </c>
      <c r="AF116" s="10" t="n">
        <v>2.557343310312656</v>
      </c>
      <c r="AG116" s="10" t="n">
        <v>3.140350010487021</v>
      </c>
      <c r="AH116" s="10" t="n">
        <v>3.173737342896889</v>
      </c>
      <c r="AI116" s="10" t="n">
        <v>3.205451187886557</v>
      </c>
      <c r="AJ116" s="10" t="n">
        <v>3.235502248715151</v>
      </c>
      <c r="AK116" s="10" t="n">
        <v>3.263905952218324</v>
      </c>
    </row>
    <row r="117">
      <c r="A117" s="9" t="n">
        <v>-8</v>
      </c>
      <c r="B117" s="7" t="n">
        <v>41179</v>
      </c>
      <c r="C117" s="10" t="n">
        <v>0.2012354182209156</v>
      </c>
      <c r="D117" s="10" t="n">
        <v>0.2403828393147939</v>
      </c>
      <c r="E117" s="10" t="n">
        <v>0.3093355120234736</v>
      </c>
      <c r="F117" s="10" t="n">
        <v>0.3968078778363107</v>
      </c>
      <c r="G117" s="10" t="n">
        <v>0.4954498524922037</v>
      </c>
      <c r="H117" s="10" t="n">
        <v>0.6004664102771692</v>
      </c>
      <c r="I117" s="10" t="n">
        <v>0.7086943719174651</v>
      </c>
      <c r="J117" s="10" t="n">
        <v>0.8180461490056551</v>
      </c>
      <c r="K117" s="10" t="n">
        <v>0.9271206440267945</v>
      </c>
      <c r="L117" s="10" t="n">
        <v>1.034945451962173</v>
      </c>
      <c r="M117" s="10" t="n">
        <v>1.14081065603074</v>
      </c>
      <c r="N117" s="10" t="n">
        <v>1.244180370242735</v>
      </c>
      <c r="O117" s="10" t="n">
        <v>1.344655480595377</v>
      </c>
      <c r="P117" s="10" t="n">
        <v>1.441963029724145</v>
      </c>
      <c r="Q117" s="10" t="n">
        <v>1.535943366330469</v>
      </c>
      <c r="R117" s="10" t="n">
        <v>1.626534029223248</v>
      </c>
      <c r="S117" s="10" t="n">
        <v>1.713764125528041</v>
      </c>
      <c r="T117" s="10" t="n">
        <v>1.797722326459757</v>
      </c>
      <c r="U117" s="10" t="n">
        <v>1.878528271118225</v>
      </c>
      <c r="V117" s="10" t="n">
        <v>1.956324868948159</v>
      </c>
      <c r="W117" s="10" t="n">
        <v>2.031273451750639</v>
      </c>
      <c r="X117" s="10" t="n">
        <v>2.103550089009099</v>
      </c>
      <c r="Y117" s="10" t="n">
        <v>2.173340509908072</v>
      </c>
      <c r="Z117" s="10" t="n">
        <v>2.240820743983195</v>
      </c>
      <c r="AA117" s="10" t="n">
        <v>2.306145432742031</v>
      </c>
      <c r="AB117" s="10" t="n">
        <v>2.369450663967797</v>
      </c>
      <c r="AC117" s="10" t="n">
        <v>2.430857064006758</v>
      </c>
      <c r="AD117" s="10" t="n">
        <v>2.49047216863373</v>
      </c>
      <c r="AE117" s="10" t="n">
        <v>2.548387042521303</v>
      </c>
      <c r="AF117" s="10" t="n">
        <v>2.604666135302163</v>
      </c>
      <c r="AG117" s="10" t="n">
        <v>3.190442895091994</v>
      </c>
      <c r="AH117" s="10" t="n">
        <v>3.223836729652815</v>
      </c>
      <c r="AI117" s="10" t="n">
        <v>3.255532314905066</v>
      </c>
      <c r="AJ117" s="10" t="n">
        <v>3.285543682315347</v>
      </c>
      <c r="AK117" s="10" t="n">
        <v>3.313889508237883</v>
      </c>
    </row>
    <row r="118">
      <c r="A118" s="9" t="n">
        <v>-7</v>
      </c>
      <c r="B118" s="7" t="n">
        <v>41180</v>
      </c>
      <c r="C118" s="10" t="n">
        <v>0.1916432284669809</v>
      </c>
      <c r="D118" s="10" t="n">
        <v>0.228414730521555</v>
      </c>
      <c r="E118" s="10" t="n">
        <v>0.2964110360161232</v>
      </c>
      <c r="F118" s="10" t="n">
        <v>0.3839046205086906</v>
      </c>
      <c r="G118" s="10" t="n">
        <v>0.4831730178263945</v>
      </c>
      <c r="H118" s="10" t="n">
        <v>0.589158832271258</v>
      </c>
      <c r="I118" s="10" t="n">
        <v>0.6985209549138356</v>
      </c>
      <c r="J118" s="10" t="n">
        <v>0.8090431994893066</v>
      </c>
      <c r="K118" s="10" t="n">
        <v>0.9192379364723861</v>
      </c>
      <c r="L118" s="10" t="n">
        <v>1.028072283869037</v>
      </c>
      <c r="M118" s="10" t="n">
        <v>1.134805770446435</v>
      </c>
      <c r="N118" s="10" t="n">
        <v>1.23889552175546</v>
      </c>
      <c r="O118" s="10" t="n">
        <v>1.339955085093433</v>
      </c>
      <c r="P118" s="10" t="n">
        <v>1.437734243707711</v>
      </c>
      <c r="Q118" s="10" t="n">
        <v>1.532100417827823</v>
      </c>
      <c r="R118" s="10" t="n">
        <v>1.623019071967402</v>
      </c>
      <c r="S118" s="10" t="n">
        <v>1.71054713661712</v>
      </c>
      <c r="T118" s="10" t="n">
        <v>1.794798428837704</v>
      </c>
      <c r="U118" s="10" t="n">
        <v>1.875911286946988</v>
      </c>
      <c r="V118" s="10" t="n">
        <v>1.954042043463381</v>
      </c>
      <c r="W118" s="10" t="n">
        <v>2.029361276314082</v>
      </c>
      <c r="X118" s="10" t="n">
        <v>2.102050959374789</v>
      </c>
      <c r="Y118" s="10" t="n">
        <v>2.172299764577522</v>
      </c>
      <c r="Z118" s="10" t="n">
        <v>2.240283059725179</v>
      </c>
      <c r="AA118" s="10" t="n">
        <v>2.306151458616383</v>
      </c>
      <c r="AB118" s="10" t="n">
        <v>2.370034254529517</v>
      </c>
      <c r="AC118" s="10" t="n">
        <v>2.432042973642758</v>
      </c>
      <c r="AD118" s="10" t="n">
        <v>2.492274115658538</v>
      </c>
      <c r="AE118" s="10" t="n">
        <v>2.550806380329952</v>
      </c>
      <c r="AF118" s="10" t="n">
        <v>2.607691879991615</v>
      </c>
      <c r="AG118" s="10" t="n">
        <v>3.196874140858839</v>
      </c>
      <c r="AH118" s="10" t="n">
        <v>3.230130209691135</v>
      </c>
      <c r="AI118" s="10" t="n">
        <v>3.261649572358538</v>
      </c>
      <c r="AJ118" s="10" t="n">
        <v>3.291452807227072</v>
      </c>
      <c r="AK118" s="10" t="n">
        <v>3.319564963144073</v>
      </c>
    </row>
    <row r="119">
      <c r="A119" s="9" t="n">
        <v>-6</v>
      </c>
      <c r="B119" s="7" t="n">
        <v>41183</v>
      </c>
      <c r="C119" s="10" t="n">
        <v>0.1940785282995054</v>
      </c>
      <c r="D119" s="10" t="n">
        <v>0.230644228344784</v>
      </c>
      <c r="E119" s="10" t="n">
        <v>0.2988341200027129</v>
      </c>
      <c r="F119" s="10" t="n">
        <v>0.3870167897959474</v>
      </c>
      <c r="G119" s="10" t="n">
        <v>0.4873872591232103</v>
      </c>
      <c r="H119" s="10" t="n">
        <v>0.594768154846586</v>
      </c>
      <c r="I119" s="10" t="n">
        <v>0.7057011036227326</v>
      </c>
      <c r="J119" s="10" t="n">
        <v>0.81786273941077</v>
      </c>
      <c r="K119" s="10" t="n">
        <v>0.9296743953258276</v>
      </c>
      <c r="L119" s="10" t="n">
        <v>1.040027946926441</v>
      </c>
      <c r="M119" s="10" t="n">
        <v>1.148125781563558</v>
      </c>
      <c r="N119" s="10" t="n">
        <v>1.253384422987616</v>
      </c>
      <c r="O119" s="10" t="n">
        <v>1.355392711977789</v>
      </c>
      <c r="P119" s="10" t="n">
        <v>1.453888161818915</v>
      </c>
      <c r="Q119" s="10" t="n">
        <v>1.548736440789651</v>
      </c>
      <c r="R119" s="10" t="n">
        <v>1.639909848714668</v>
      </c>
      <c r="S119" s="10" t="n">
        <v>1.727479312786426</v>
      </c>
      <c r="T119" s="10" t="n">
        <v>1.811576917691074</v>
      </c>
      <c r="U119" s="10" t="n">
        <v>1.892360960215525</v>
      </c>
      <c r="V119" s="10" t="n">
        <v>1.970008976829444</v>
      </c>
      <c r="W119" s="10" t="n">
        <v>2.044713735418008</v>
      </c>
      <c r="X119" s="10" t="n">
        <v>2.116680188507876</v>
      </c>
      <c r="Y119" s="10" t="n">
        <v>2.186120345111735</v>
      </c>
      <c r="Z119" s="10" t="n">
        <v>2.253231425836108</v>
      </c>
      <c r="AA119" s="10" t="n">
        <v>2.318183548923827</v>
      </c>
      <c r="AB119" s="10" t="n">
        <v>2.381123516162227</v>
      </c>
      <c r="AC119" s="10" t="n">
        <v>2.44217869895907</v>
      </c>
      <c r="AD119" s="10" t="n">
        <v>2.501460030881887</v>
      </c>
      <c r="AE119" s="10" t="n">
        <v>2.559058924834486</v>
      </c>
      <c r="AF119" s="10" t="n">
        <v>2.615037710218035</v>
      </c>
      <c r="AG119" s="10" t="n">
        <v>3.196349403215068</v>
      </c>
      <c r="AH119" s="10" t="n">
        <v>3.229277198576438</v>
      </c>
      <c r="AI119" s="10" t="n">
        <v>3.260497619780723</v>
      </c>
      <c r="AJ119" s="10" t="n">
        <v>3.290029538691484</v>
      </c>
      <c r="AK119" s="10" t="n">
        <v>3.317896478483044</v>
      </c>
    </row>
    <row r="120">
      <c r="A120" s="9" t="n">
        <v>-5</v>
      </c>
      <c r="B120" s="7" t="n">
        <v>41184</v>
      </c>
      <c r="C120" s="10" t="n">
        <v>0.1803449155642279</v>
      </c>
      <c r="D120" s="10" t="n">
        <v>0.2122543006491256</v>
      </c>
      <c r="E120" s="10" t="n">
        <v>0.2765316740818383</v>
      </c>
      <c r="F120" s="10" t="n">
        <v>0.361728013261658</v>
      </c>
      <c r="G120" s="10" t="n">
        <v>0.4599925959189299</v>
      </c>
      <c r="H120" s="10" t="n">
        <v>0.566033205108618</v>
      </c>
      <c r="I120" s="10" t="n">
        <v>0.6762651743822493</v>
      </c>
      <c r="J120" s="10" t="n">
        <v>0.7882435172173846</v>
      </c>
      <c r="K120" s="10" t="n">
        <v>0.9002784138323342</v>
      </c>
      <c r="L120" s="10" t="n">
        <v>1.011161408810816</v>
      </c>
      <c r="M120" s="10" t="n">
        <v>1.120007948495244</v>
      </c>
      <c r="N120" s="10" t="n">
        <v>1.226160503216007</v>
      </c>
      <c r="O120" s="10" t="n">
        <v>1.329147027450577</v>
      </c>
      <c r="P120" s="10" t="n">
        <v>1.428655143837962</v>
      </c>
      <c r="Q120" s="10" t="n">
        <v>1.524511960898165</v>
      </c>
      <c r="R120" s="10" t="n">
        <v>1.616662391196103</v>
      </c>
      <c r="S120" s="10" t="n">
        <v>1.705160554864177</v>
      </c>
      <c r="T120" s="10" t="n">
        <v>1.790129515458943</v>
      </c>
      <c r="U120" s="10" t="n">
        <v>1.871723661983132</v>
      </c>
      <c r="V120" s="10" t="n">
        <v>1.950120592212629</v>
      </c>
      <c r="W120" s="10" t="n">
        <v>2.0255162775354</v>
      </c>
      <c r="X120" s="10" t="n">
        <v>2.098121387615771</v>
      </c>
      <c r="Y120" s="10" t="n">
        <v>2.168155461648381</v>
      </c>
      <c r="Z120" s="10" t="n">
        <v>2.235823453353637</v>
      </c>
      <c r="AA120" s="10" t="n">
        <v>2.301302641618723</v>
      </c>
      <c r="AB120" s="10" t="n">
        <v>2.364746487524832</v>
      </c>
      <c r="AC120" s="10" t="n">
        <v>2.426288603981507</v>
      </c>
      <c r="AD120" s="10" t="n">
        <v>2.486045800023771</v>
      </c>
      <c r="AE120" s="10" t="n">
        <v>2.544114580893181</v>
      </c>
      <c r="AF120" s="10" t="n">
        <v>2.600560820890694</v>
      </c>
      <c r="AG120" s="10" t="n">
        <v>3.188075451843547</v>
      </c>
      <c r="AH120" s="10" t="n">
        <v>3.221481410790273</v>
      </c>
      <c r="AI120" s="10" t="n">
        <v>3.253176442590185</v>
      </c>
      <c r="AJ120" s="10" t="n">
        <v>3.283178276626885</v>
      </c>
      <c r="AK120" s="10" t="n">
        <v>3.311509315277072</v>
      </c>
    </row>
    <row r="121">
      <c r="A121" s="9" t="n">
        <v>-4</v>
      </c>
      <c r="B121" s="7" t="n">
        <v>41185</v>
      </c>
      <c r="C121" s="10" t="n">
        <v>0.1659140047168787</v>
      </c>
      <c r="D121" s="10" t="n">
        <v>0.1947828712495433</v>
      </c>
      <c r="E121" s="10" t="n">
        <v>0.2566332010403313</v>
      </c>
      <c r="F121" s="10" t="n">
        <v>0.3398446048619288</v>
      </c>
      <c r="G121" s="10" t="n">
        <v>0.4364768603435656</v>
      </c>
      <c r="H121" s="10" t="n">
        <v>0.5411967738752146</v>
      </c>
      <c r="I121" s="10" t="n">
        <v>0.650401665500084</v>
      </c>
      <c r="J121" s="10" t="n">
        <v>0.7616335761315376</v>
      </c>
      <c r="K121" s="10" t="n">
        <v>0.8731891791326035</v>
      </c>
      <c r="L121" s="10" t="n">
        <v>0.9838380446453114</v>
      </c>
      <c r="M121" s="10" t="n">
        <v>1.092665722165055</v>
      </c>
      <c r="N121" s="10" t="n">
        <v>1.19897705776778</v>
      </c>
      <c r="O121" s="10" t="n">
        <v>1.302259005557719</v>
      </c>
      <c r="P121" s="10" t="n">
        <v>1.402159608316509</v>
      </c>
      <c r="Q121" s="10" t="n">
        <v>1.498472759131332</v>
      </c>
      <c r="R121" s="10" t="n">
        <v>1.591118583037725</v>
      </c>
      <c r="S121" s="10" t="n">
        <v>1.680136456012636</v>
      </c>
      <c r="T121" s="10" t="n">
        <v>1.76564135322605</v>
      </c>
      <c r="U121" s="10" t="n">
        <v>1.847782390080555</v>
      </c>
      <c r="V121" s="10" t="n">
        <v>1.926733978280977</v>
      </c>
      <c r="W121" s="10" t="n">
        <v>2.002690555771411</v>
      </c>
      <c r="X121" s="10" t="n">
        <v>2.07586258072944</v>
      </c>
      <c r="Y121" s="10" t="n">
        <v>2.146470228226284</v>
      </c>
      <c r="Z121" s="10" t="n">
        <v>2.21471852250028</v>
      </c>
      <c r="AA121" s="10" t="n">
        <v>2.280783642290165</v>
      </c>
      <c r="AB121" s="10" t="n">
        <v>2.344816955321988</v>
      </c>
      <c r="AC121" s="10" t="n">
        <v>2.406949153477893</v>
      </c>
      <c r="AD121" s="10" t="n">
        <v>2.467293424535972</v>
      </c>
      <c r="AE121" s="10" t="n">
        <v>2.525941976515985</v>
      </c>
      <c r="AF121" s="10" t="n">
        <v>2.582955800342465</v>
      </c>
      <c r="AG121" s="10" t="n">
        <v>3.175187398391654</v>
      </c>
      <c r="AH121" s="10" t="n">
        <v>3.208726272569469</v>
      </c>
      <c r="AI121" s="10" t="n">
        <v>3.240528766461136</v>
      </c>
      <c r="AJ121" s="10" t="n">
        <v>3.270615076568021</v>
      </c>
      <c r="AK121" s="10" t="n">
        <v>3.299010007167614</v>
      </c>
    </row>
    <row r="122">
      <c r="A122" s="9" t="n">
        <v>-3</v>
      </c>
      <c r="B122" s="7" t="n">
        <v>41186</v>
      </c>
      <c r="C122" s="10" t="n">
        <v>0.1711293804050373</v>
      </c>
      <c r="D122" s="10" t="n">
        <v>0.201041743536271</v>
      </c>
      <c r="E122" s="10" t="n">
        <v>0.2638656262529002</v>
      </c>
      <c r="F122" s="10" t="n">
        <v>0.348057346444986</v>
      </c>
      <c r="G122" s="10" t="n">
        <v>0.4457001096592949</v>
      </c>
      <c r="H122" s="10" t="n">
        <v>0.5514625123312318</v>
      </c>
      <c r="I122" s="10" t="n">
        <v>0.6617313917472741</v>
      </c>
      <c r="J122" s="10" t="n">
        <v>0.7740302374251263</v>
      </c>
      <c r="K122" s="10" t="n">
        <v>0.8866336593409648</v>
      </c>
      <c r="L122" s="10" t="n">
        <v>0.9982873038055443</v>
      </c>
      <c r="M122" s="10" t="n">
        <v>1.108055294978383</v>
      </c>
      <c r="N122" s="10" t="n">
        <v>1.215223932993557</v>
      </c>
      <c r="O122" s="10" t="n">
        <v>1.319264574807295</v>
      </c>
      <c r="P122" s="10" t="n">
        <v>1.419811703936923</v>
      </c>
      <c r="Q122" s="10" t="n">
        <v>1.51664909821285</v>
      </c>
      <c r="R122" s="10" t="n">
        <v>1.609690928167781</v>
      </c>
      <c r="S122" s="10" t="n">
        <v>1.698974248282053</v>
      </c>
      <c r="T122" s="10" t="n">
        <v>1.784615498170434</v>
      </c>
      <c r="U122" s="10" t="n">
        <v>1.866769174019008</v>
      </c>
      <c r="V122" s="10" t="n">
        <v>1.94561821402301</v>
      </c>
      <c r="W122" s="10" t="n">
        <v>2.021368072968249</v>
      </c>
      <c r="X122" s="10" t="n">
        <v>2.094242218004953</v>
      </c>
      <c r="Y122" s="10" t="n">
        <v>2.164475290972922</v>
      </c>
      <c r="Z122" s="10" t="n">
        <v>2.23228724338073</v>
      </c>
      <c r="AA122" s="10" t="n">
        <v>2.297869243519133</v>
      </c>
      <c r="AB122" s="10" t="n">
        <v>2.361387699006125</v>
      </c>
      <c r="AC122" s="10" t="n">
        <v>2.422988383565732</v>
      </c>
      <c r="AD122" s="10" t="n">
        <v>2.482799578679171</v>
      </c>
      <c r="AE122" s="10" t="n">
        <v>2.540927874767684</v>
      </c>
      <c r="AF122" s="10" t="n">
        <v>2.597446660609404</v>
      </c>
      <c r="AG122" s="10" t="n">
        <v>3.188121627868278</v>
      </c>
      <c r="AH122" s="10" t="n">
        <v>3.221920685123391</v>
      </c>
      <c r="AI122" s="10" t="n">
        <v>3.25401869772405</v>
      </c>
      <c r="AJ122" s="10" t="n">
        <v>3.284430409456288</v>
      </c>
      <c r="AK122" s="10" t="n">
        <v>3.3131753580807</v>
      </c>
    </row>
    <row r="123">
      <c r="A123" s="9" t="n">
        <v>-2</v>
      </c>
      <c r="B123" s="7" t="n">
        <v>41187</v>
      </c>
      <c r="C123" s="10" t="n">
        <v>0.1998330210411829</v>
      </c>
      <c r="D123" s="10" t="n">
        <v>0.2369991645691624</v>
      </c>
      <c r="E123" s="10" t="n">
        <v>0.3053437585098411</v>
      </c>
      <c r="F123" s="10" t="n">
        <v>0.3939059708466843</v>
      </c>
      <c r="G123" s="10" t="n">
        <v>0.495166120589798</v>
      </c>
      <c r="H123" s="10" t="n">
        <v>0.6040482813070398</v>
      </c>
      <c r="I123" s="10" t="n">
        <v>0.7170944069864458</v>
      </c>
      <c r="J123" s="10" t="n">
        <v>0.8319186029611437</v>
      </c>
      <c r="K123" s="10" t="n">
        <v>0.9468345685315865</v>
      </c>
      <c r="L123" s="10" t="n">
        <v>1.060607005757595</v>
      </c>
      <c r="M123" s="10" t="n">
        <v>1.172306105163503</v>
      </c>
      <c r="N123" s="10" t="n">
        <v>1.281221635119591</v>
      </c>
      <c r="O123" s="10" t="n">
        <v>1.386826243807407</v>
      </c>
      <c r="P123" s="10" t="n">
        <v>1.48875509043967</v>
      </c>
      <c r="Q123" s="10" t="n">
        <v>1.586795804738721</v>
      </c>
      <c r="R123" s="10" t="n">
        <v>1.680868669704396</v>
      </c>
      <c r="S123" s="10" t="n">
        <v>1.771021257989061</v>
      </c>
      <c r="T123" s="10" t="n">
        <v>1.857382857379321</v>
      </c>
      <c r="U123" s="10" t="n">
        <v>1.940120976089125</v>
      </c>
      <c r="V123" s="10" t="n">
        <v>2.01943167243466</v>
      </c>
      <c r="W123" s="10" t="n">
        <v>2.095533606896383</v>
      </c>
      <c r="X123" s="10" t="n">
        <v>2.168663520244655</v>
      </c>
      <c r="Y123" s="10" t="n">
        <v>2.239069066558732</v>
      </c>
      <c r="Z123" s="10" t="n">
        <v>2.306981891935775</v>
      </c>
      <c r="AA123" s="10" t="n">
        <v>2.372603617490064</v>
      </c>
      <c r="AB123" s="10" t="n">
        <v>2.436110116909682</v>
      </c>
      <c r="AC123" s="10" t="n">
        <v>2.497655807694215</v>
      </c>
      <c r="AD123" s="10" t="n">
        <v>2.557376904467596</v>
      </c>
      <c r="AE123" s="10" t="n">
        <v>2.615387073541866</v>
      </c>
      <c r="AF123" s="10" t="n">
        <v>2.671766059514454</v>
      </c>
      <c r="AG123" s="10" t="n">
        <v>3.260619236194606</v>
      </c>
      <c r="AH123" s="10" t="n">
        <v>3.294356561546341</v>
      </c>
      <c r="AI123" s="10" t="n">
        <v>3.326405464978262</v>
      </c>
      <c r="AJ123" s="10" t="n">
        <v>3.356779272917934</v>
      </c>
      <c r="AK123" s="10" t="n">
        <v>3.3854959441265</v>
      </c>
    </row>
    <row r="124">
      <c r="A124" s="9" t="n">
        <v>-1</v>
      </c>
      <c r="B124" s="7" t="n">
        <v>41190</v>
      </c>
      <c r="C124" s="10" t="n">
        <v>0.1811457121608647</v>
      </c>
      <c r="D124" s="10" t="n">
        <v>0.2127964889807283</v>
      </c>
      <c r="E124" s="10" t="n">
        <v>0.2767988253556616</v>
      </c>
      <c r="F124" s="10" t="n">
        <v>0.3620097592510709</v>
      </c>
      <c r="G124" s="10" t="n">
        <v>0.4607231097595856</v>
      </c>
      <c r="H124" s="10" t="n">
        <v>0.5676984227945207</v>
      </c>
      <c r="I124" s="10" t="n">
        <v>0.6793367612933351</v>
      </c>
      <c r="J124" s="10" t="n">
        <v>0.7931417497793148</v>
      </c>
      <c r="K124" s="10" t="n">
        <v>0.9073365930044227</v>
      </c>
      <c r="L124" s="10" t="n">
        <v>1.020621163489129</v>
      </c>
      <c r="M124" s="10" t="n">
        <v>1.132015041462262</v>
      </c>
      <c r="N124" s="10" t="n">
        <v>1.240769916860218</v>
      </c>
      <c r="O124" s="10" t="n">
        <v>1.346329800155731</v>
      </c>
      <c r="P124" s="10" t="n">
        <v>1.44830910030806</v>
      </c>
      <c r="Q124" s="10" t="n">
        <v>1.54648120153772</v>
      </c>
      <c r="R124" s="10" t="n">
        <v>1.640756009458147</v>
      </c>
      <c r="S124" s="10" t="n">
        <v>1.731173801581802</v>
      </c>
      <c r="T124" s="10" t="n">
        <v>1.817858040277592</v>
      </c>
      <c r="U124" s="10" t="n">
        <v>1.900970819706727</v>
      </c>
      <c r="V124" s="10" t="n">
        <v>1.980703092413085</v>
      </c>
      <c r="W124" s="10" t="n">
        <v>2.057268657160154</v>
      </c>
      <c r="X124" s="10" t="n">
        <v>2.130899588040619</v>
      </c>
      <c r="Y124" s="10" t="n">
        <v>2.201838962199865</v>
      </c>
      <c r="Z124" s="10" t="n">
        <v>2.270313833574319</v>
      </c>
      <c r="AA124" s="10" t="n">
        <v>2.336521360186892</v>
      </c>
      <c r="AB124" s="10" t="n">
        <v>2.400633083071396</v>
      </c>
      <c r="AC124" s="10" t="n">
        <v>2.462799195770728</v>
      </c>
      <c r="AD124" s="10" t="n">
        <v>2.523151780395457</v>
      </c>
      <c r="AE124" s="10" t="n">
        <v>2.581800620445863</v>
      </c>
      <c r="AF124" s="10" t="n">
        <v>2.638822320459351</v>
      </c>
      <c r="AG124" s="10" t="n">
        <v>3.23555294027974</v>
      </c>
      <c r="AH124" s="10" t="n">
        <v>3.269807837677923</v>
      </c>
      <c r="AI124" s="10" t="n">
        <v>3.30235486672378</v>
      </c>
      <c r="AJ124" s="10" t="n">
        <v>3.333206204252872</v>
      </c>
      <c r="AK124" s="10" t="n">
        <v>3.362378833684991</v>
      </c>
    </row>
    <row r="125">
      <c r="A125" s="9" t="n">
        <v>0</v>
      </c>
      <c r="B125" s="7" t="n">
        <v>41191</v>
      </c>
      <c r="C125" s="10" t="n">
        <v>0.1813596740870339</v>
      </c>
      <c r="D125" s="10" t="n">
        <v>0.2133812373233854</v>
      </c>
      <c r="E125" s="10" t="n">
        <v>0.2776031094378167</v>
      </c>
      <c r="F125" s="10" t="n">
        <v>0.3628383763116361</v>
      </c>
      <c r="G125" s="10" t="n">
        <v>0.4614004920921746</v>
      </c>
      <c r="H125" s="10" t="n">
        <v>0.5680866935860975</v>
      </c>
      <c r="I125" s="10" t="n">
        <v>0.6793373543564932</v>
      </c>
      <c r="J125" s="10" t="n">
        <v>0.7926957728043262</v>
      </c>
      <c r="K125" s="10" t="n">
        <v>0.9064154570742448</v>
      </c>
      <c r="L125" s="10" t="n">
        <v>1.019222337800177</v>
      </c>
      <c r="M125" s="10" t="n">
        <v>1.130151302460613</v>
      </c>
      <c r="N125" s="10" t="n">
        <v>1.238460805129688</v>
      </c>
      <c r="O125" s="10" t="n">
        <v>1.343593583547865</v>
      </c>
      <c r="P125" s="10" t="n">
        <v>1.445157542238136</v>
      </c>
      <c r="Q125" s="10" t="n">
        <v>1.54291668480746</v>
      </c>
      <c r="R125" s="10" t="n">
        <v>1.636769498604571</v>
      </c>
      <c r="S125" s="10" t="n">
        <v>1.72674259415613</v>
      </c>
      <c r="T125" s="10" t="n">
        <v>1.812946449442153</v>
      </c>
      <c r="U125" s="10" t="n">
        <v>1.895533541128435</v>
      </c>
      <c r="V125" s="10" t="n">
        <v>1.974688012408366</v>
      </c>
      <c r="W125" s="10" t="n">
        <v>2.050619075809687</v>
      </c>
      <c r="X125" s="10" t="n">
        <v>2.123555997578439</v>
      </c>
      <c r="Y125" s="10" t="n">
        <v>2.193740666883394</v>
      </c>
      <c r="Z125" s="10" t="n">
        <v>2.261401834720977</v>
      </c>
      <c r="AA125" s="10" t="n">
        <v>2.326741960775398</v>
      </c>
      <c r="AB125" s="10" t="n">
        <v>2.389940950168989</v>
      </c>
      <c r="AC125" s="10" t="n">
        <v>2.451159912555845</v>
      </c>
      <c r="AD125" s="10" t="n">
        <v>2.510543983001487</v>
      </c>
      <c r="AE125" s="10" t="n">
        <v>2.568217840781891</v>
      </c>
      <c r="AF125" s="10" t="n">
        <v>2.624274780363473</v>
      </c>
      <c r="AG125" s="10" t="n">
        <v>3.215047890818393</v>
      </c>
      <c r="AH125" s="10" t="n">
        <v>3.249474856582368</v>
      </c>
      <c r="AI125" s="10" t="n">
        <v>3.282258143304477</v>
      </c>
      <c r="AJ125" s="10" t="n">
        <v>3.313399436040106</v>
      </c>
      <c r="AK125" s="10" t="n">
        <v>3.342905446344858</v>
      </c>
    </row>
    <row r="126">
      <c r="A126" s="9" t="n">
        <v>1</v>
      </c>
      <c r="B126" s="7" t="n">
        <v>41192</v>
      </c>
      <c r="C126" s="10" t="n">
        <v>0.2119600364391474</v>
      </c>
      <c r="D126" s="10" t="n">
        <v>0.2492140840187224</v>
      </c>
      <c r="E126" s="10" t="n">
        <v>0.3167400581667706</v>
      </c>
      <c r="F126" s="10" t="n">
        <v>0.4040537035571807</v>
      </c>
      <c r="G126" s="10" t="n">
        <v>0.5039132110488455</v>
      </c>
      <c r="H126" s="10" t="n">
        <v>0.6113840533489738</v>
      </c>
      <c r="I126" s="10" t="n">
        <v>0.7230650791344844</v>
      </c>
      <c r="J126" s="10" t="n">
        <v>0.8365928081007831</v>
      </c>
      <c r="K126" s="10" t="n">
        <v>0.9502679837122496</v>
      </c>
      <c r="L126" s="10" t="n">
        <v>1.062847660368257</v>
      </c>
      <c r="M126" s="10" t="n">
        <v>1.17338738216418</v>
      </c>
      <c r="N126" s="10" t="n">
        <v>1.281165517134073</v>
      </c>
      <c r="O126" s="10" t="n">
        <v>1.385645471188877</v>
      </c>
      <c r="P126" s="10" t="n">
        <v>1.486455712998006</v>
      </c>
      <c r="Q126" s="10" t="n">
        <v>1.583379006813331</v>
      </c>
      <c r="R126" s="10" t="n">
        <v>1.676328687698703</v>
      </c>
      <c r="S126" s="10" t="n">
        <v>1.765341046211978</v>
      </c>
      <c r="T126" s="10" t="n">
        <v>1.850533032262057</v>
      </c>
      <c r="U126" s="10" t="n">
        <v>1.932062589056245</v>
      </c>
      <c r="V126" s="10" t="n">
        <v>2.010118637440647</v>
      </c>
      <c r="W126" s="10" t="n">
        <v>2.084914622225416</v>
      </c>
      <c r="X126" s="10" t="n">
        <v>2.156683605499804</v>
      </c>
      <c r="Y126" s="10" t="n">
        <v>2.225671018669905</v>
      </c>
      <c r="Z126" s="10" t="n">
        <v>2.29210992621521</v>
      </c>
      <c r="AA126" s="10" t="n">
        <v>2.356208558643511</v>
      </c>
      <c r="AB126" s="10" t="n">
        <v>2.418153854046616</v>
      </c>
      <c r="AC126" s="10" t="n">
        <v>2.478115006836349</v>
      </c>
      <c r="AD126" s="10" t="n">
        <v>2.536246118058444</v>
      </c>
      <c r="AE126" s="10" t="n">
        <v>2.592681702250294</v>
      </c>
      <c r="AF126" s="10" t="n">
        <v>2.647526030105728</v>
      </c>
      <c r="AG126" s="10" t="n">
        <v>3.22851130752593</v>
      </c>
      <c r="AH126" s="10" t="n">
        <v>3.262730335898068</v>
      </c>
      <c r="AI126" s="10" t="n">
        <v>3.295371210877031</v>
      </c>
      <c r="AJ126" s="10" t="n">
        <v>3.326430344802477</v>
      </c>
      <c r="AK126" s="10" t="n">
        <v>3.355909168317595</v>
      </c>
    </row>
    <row r="127">
      <c r="A127" s="9" t="n">
        <v>2</v>
      </c>
      <c r="B127" s="7" t="n">
        <v>41193</v>
      </c>
      <c r="C127" s="10" t="n">
        <v>0.2188449381708146</v>
      </c>
      <c r="D127" s="10" t="n">
        <v>0.2571750096331981</v>
      </c>
      <c r="E127" s="10" t="n">
        <v>0.3262843256128866</v>
      </c>
      <c r="F127" s="10" t="n">
        <v>0.415413674341383</v>
      </c>
      <c r="G127" s="10" t="n">
        <v>0.5171021998110499</v>
      </c>
      <c r="H127" s="10" t="n">
        <v>0.6262730283659891</v>
      </c>
      <c r="I127" s="10" t="n">
        <v>0.7394415152555406</v>
      </c>
      <c r="J127" s="10" t="n">
        <v>0.8542018638645714</v>
      </c>
      <c r="K127" s="10" t="n">
        <v>0.9688391447852669</v>
      </c>
      <c r="L127" s="10" t="n">
        <v>1.082116947293326</v>
      </c>
      <c r="M127" s="10" t="n">
        <v>1.193111549056392</v>
      </c>
      <c r="N127" s="10" t="n">
        <v>1.301133780780816</v>
      </c>
      <c r="O127" s="10" t="n">
        <v>1.405685041316907</v>
      </c>
      <c r="P127" s="10" t="n">
        <v>1.506432233449613</v>
      </c>
      <c r="Q127" s="10" t="n">
        <v>1.603192713689962</v>
      </c>
      <c r="R127" s="10" t="n">
        <v>1.695907917198767</v>
      </c>
      <c r="S127" s="10" t="n">
        <v>1.784634612431343</v>
      </c>
      <c r="T127" s="10" t="n">
        <v>1.869504604806011</v>
      </c>
      <c r="U127" s="10" t="n">
        <v>1.950687418710379</v>
      </c>
      <c r="V127" s="10" t="n">
        <v>2.028381068566913</v>
      </c>
      <c r="W127" s="10" t="n">
        <v>2.102806123409013</v>
      </c>
      <c r="X127" s="10" t="n">
        <v>2.174201193820759</v>
      </c>
      <c r="Y127" s="10" t="n">
        <v>2.242815919458814</v>
      </c>
      <c r="Z127" s="10" t="n">
        <v>2.308886375213116</v>
      </c>
      <c r="AA127" s="10" t="n">
        <v>2.372622924411974</v>
      </c>
      <c r="AB127" s="10" t="n">
        <v>2.434213930529009</v>
      </c>
      <c r="AC127" s="10" t="n">
        <v>2.493829423825611</v>
      </c>
      <c r="AD127" s="10" t="n">
        <v>2.551623828406243</v>
      </c>
      <c r="AE127" s="10" t="n">
        <v>2.607731119810166</v>
      </c>
      <c r="AF127" s="10" t="n">
        <v>2.662253630147119</v>
      </c>
      <c r="AG127" s="10" t="n">
        <v>3.238634324832775</v>
      </c>
      <c r="AH127" s="10" t="n">
        <v>3.272454399029805</v>
      </c>
      <c r="AI127" s="10" t="n">
        <v>3.304698582243397</v>
      </c>
      <c r="AJ127" s="10" t="n">
        <v>3.335366025386237</v>
      </c>
      <c r="AK127" s="10" t="n">
        <v>3.364460591910031</v>
      </c>
    </row>
    <row r="128">
      <c r="A128" s="9" t="n">
        <v>3</v>
      </c>
      <c r="B128" s="7" t="n">
        <v>41194</v>
      </c>
      <c r="C128" s="10" t="n">
        <v>0.1876262018247882</v>
      </c>
      <c r="D128" s="10" t="n">
        <v>0.2188415758308652</v>
      </c>
      <c r="E128" s="10" t="n">
        <v>0.2833097434081671</v>
      </c>
      <c r="F128" s="10" t="n">
        <v>0.3692772033838984</v>
      </c>
      <c r="G128" s="10" t="n">
        <v>0.4686611673187075</v>
      </c>
      <c r="H128" s="10" t="n">
        <v>0.5760210806123039</v>
      </c>
      <c r="I128" s="10" t="n">
        <v>0.6876684349646401</v>
      </c>
      <c r="J128" s="10" t="n">
        <v>0.8010851333614752</v>
      </c>
      <c r="K128" s="10" t="n">
        <v>0.9145053625018846</v>
      </c>
      <c r="L128" s="10" t="n">
        <v>1.026667745048615</v>
      </c>
      <c r="M128" s="10" t="n">
        <v>1.136639615362112</v>
      </c>
      <c r="N128" s="10" t="n">
        <v>1.243731985766781</v>
      </c>
      <c r="O128" s="10" t="n">
        <v>1.347450969412025</v>
      </c>
      <c r="P128" s="10" t="n">
        <v>1.447474506573753</v>
      </c>
      <c r="Q128" s="10" t="n">
        <v>1.543630955330607</v>
      </c>
      <c r="R128" s="10" t="n">
        <v>1.635871020858589</v>
      </c>
      <c r="S128" s="10" t="n">
        <v>1.724258531886389</v>
      </c>
      <c r="T128" s="10" t="n">
        <v>1.808926468460042</v>
      </c>
      <c r="U128" s="10" t="n">
        <v>1.890041659416983</v>
      </c>
      <c r="V128" s="10" t="n">
        <v>1.967796498290104</v>
      </c>
      <c r="W128" s="10" t="n">
        <v>2.04240361732953</v>
      </c>
      <c r="X128" s="10" t="n">
        <v>2.114091836739387</v>
      </c>
      <c r="Y128" s="10" t="n">
        <v>2.183099302998964</v>
      </c>
      <c r="Z128" s="10" t="n">
        <v>2.249648914789602</v>
      </c>
      <c r="AA128" s="10" t="n">
        <v>2.313936806943677</v>
      </c>
      <c r="AB128" s="10" t="n">
        <v>2.376136298463824</v>
      </c>
      <c r="AC128" s="10" t="n">
        <v>2.436401695161228</v>
      </c>
      <c r="AD128" s="10" t="n">
        <v>2.494871109934676</v>
      </c>
      <c r="AE128" s="10" t="n">
        <v>2.55166168931182</v>
      </c>
      <c r="AF128" s="10" t="n">
        <v>2.60685898854271</v>
      </c>
      <c r="AG128" s="10" t="n">
        <v>3.186680763969285</v>
      </c>
      <c r="AH128" s="10" t="n">
        <v>3.220298846404005</v>
      </c>
      <c r="AI128" s="10" t="n">
        <v>3.252301005374403</v>
      </c>
      <c r="AJ128" s="10" t="n">
        <v>3.282695084066447</v>
      </c>
      <c r="AK128" s="10" t="n">
        <v>3.311493294745464</v>
      </c>
    </row>
    <row r="129">
      <c r="A129" s="9" t="n">
        <v>4</v>
      </c>
      <c r="B129" s="7" t="n">
        <v>41197</v>
      </c>
      <c r="C129" s="10" t="n">
        <v>0.2137220152643441</v>
      </c>
      <c r="D129" s="10" t="n">
        <v>0.2485144482258864</v>
      </c>
      <c r="E129" s="10" t="n">
        <v>0.3152206531668242</v>
      </c>
      <c r="F129" s="10" t="n">
        <v>0.4026448444162423</v>
      </c>
      <c r="G129" s="10" t="n">
        <v>0.5030340040078908</v>
      </c>
      <c r="H129" s="10" t="n">
        <v>0.6111339489171129</v>
      </c>
      <c r="I129" s="10" t="n">
        <v>0.723359751995019</v>
      </c>
      <c r="J129" s="10" t="n">
        <v>0.8372449996746553</v>
      </c>
      <c r="K129" s="10" t="n">
        <v>0.951048222489368</v>
      </c>
      <c r="L129" s="10" t="n">
        <v>1.063517858692808</v>
      </c>
      <c r="M129" s="10" t="n">
        <v>1.173725677387529</v>
      </c>
      <c r="N129" s="10" t="n">
        <v>1.280984509034206</v>
      </c>
      <c r="O129" s="10" t="n">
        <v>1.384802172571566</v>
      </c>
      <c r="P129" s="10" t="n">
        <v>1.4848588243765</v>
      </c>
      <c r="Q129" s="10" t="n">
        <v>1.580984048919039</v>
      </c>
      <c r="R129" s="10" t="n">
        <v>1.673129629667943</v>
      </c>
      <c r="S129" s="10" t="n">
        <v>1.76136038479311</v>
      </c>
      <c r="T129" s="10" t="n">
        <v>1.845809898815095</v>
      </c>
      <c r="U129" s="10" t="n">
        <v>1.926646291415471</v>
      </c>
      <c r="V129" s="10" t="n">
        <v>2.004063851085178</v>
      </c>
      <c r="W129" s="10" t="n">
        <v>2.078277583289239</v>
      </c>
      <c r="X129" s="10" t="n">
        <v>2.149519063791677</v>
      </c>
      <c r="Y129" s="10" t="n">
        <v>2.218029531537293</v>
      </c>
      <c r="Z129" s="10" t="n">
        <v>2.284035747384154</v>
      </c>
      <c r="AA129" s="10" t="n">
        <v>2.347738815249878</v>
      </c>
      <c r="AB129" s="10" t="n">
        <v>2.409317973604961</v>
      </c>
      <c r="AC129" s="10" t="n">
        <v>2.468934239713965</v>
      </c>
      <c r="AD129" s="10" t="n">
        <v>2.526733104328425</v>
      </c>
      <c r="AE129" s="10" t="n">
        <v>2.582839872926512</v>
      </c>
      <c r="AF129" s="10" t="n">
        <v>2.637349483111486</v>
      </c>
      <c r="AG129" s="10" t="n">
        <v>3.211335953904324</v>
      </c>
      <c r="AH129" s="10" t="n">
        <v>3.24485889053404</v>
      </c>
      <c r="AI129" s="10" t="n">
        <v>3.276813376132923</v>
      </c>
      <c r="AJ129" s="10" t="n">
        <v>3.307204421358218</v>
      </c>
      <c r="AK129" s="10" t="n">
        <v>3.336041315955592</v>
      </c>
    </row>
    <row r="130">
      <c r="A130" s="9" t="n">
        <v>5</v>
      </c>
      <c r="B130" s="7" t="n">
        <v>41198</v>
      </c>
      <c r="C130" s="10" t="n">
        <v>0.2472344001159089</v>
      </c>
      <c r="D130" s="10" t="n">
        <v>0.2896279772571116</v>
      </c>
      <c r="E130" s="10" t="n">
        <v>0.3616587229632672</v>
      </c>
      <c r="F130" s="10" t="n">
        <v>0.4528871804236959</v>
      </c>
      <c r="G130" s="10" t="n">
        <v>0.5560875558050268</v>
      </c>
      <c r="H130" s="10" t="n">
        <v>0.6663475384391926</v>
      </c>
      <c r="I130" s="10" t="n">
        <v>0.7803005005979919</v>
      </c>
      <c r="J130" s="10" t="n">
        <v>0.8956170303983868</v>
      </c>
      <c r="K130" s="10" t="n">
        <v>1.010643406077958</v>
      </c>
      <c r="L130" s="10" t="n">
        <v>1.124182612973196</v>
      </c>
      <c r="M130" s="10" t="n">
        <v>1.235342171025844</v>
      </c>
      <c r="N130" s="10" t="n">
        <v>1.34345615546906</v>
      </c>
      <c r="O130" s="10" t="n">
        <v>1.448044799862085</v>
      </c>
      <c r="P130" s="10" t="n">
        <v>1.548794743167374</v>
      </c>
      <c r="Q130" s="10" t="n">
        <v>1.645538733874516</v>
      </c>
      <c r="R130" s="10" t="n">
        <v>1.7382317340202</v>
      </c>
      <c r="S130" s="10" t="n">
        <v>1.826942517667657</v>
      </c>
      <c r="T130" s="10" t="n">
        <v>1.911807454441765</v>
      </c>
      <c r="U130" s="10" t="n">
        <v>1.992996098976306</v>
      </c>
      <c r="V130" s="10" t="n">
        <v>2.070703117852885</v>
      </c>
      <c r="W130" s="10" t="n">
        <v>2.145143057945123</v>
      </c>
      <c r="X130" s="10" t="n">
        <v>2.216546366854043</v>
      </c>
      <c r="Y130" s="10" t="n">
        <v>2.285152691506846</v>
      </c>
      <c r="Z130" s="10" t="n">
        <v>2.351187597045204</v>
      </c>
      <c r="AA130" s="10" t="n">
        <v>2.414851952412302</v>
      </c>
      <c r="AB130" s="10" t="n">
        <v>2.476325596773026</v>
      </c>
      <c r="AC130" s="10" t="n">
        <v>2.535770844477017</v>
      </c>
      <c r="AD130" s="10" t="n">
        <v>2.59333509145486</v>
      </c>
      <c r="AE130" s="10" t="n">
        <v>2.649146894079736</v>
      </c>
      <c r="AF130" s="10" t="n">
        <v>2.703307262572639</v>
      </c>
      <c r="AG130" s="10" t="n">
        <v>3.271488242352152</v>
      </c>
      <c r="AH130" s="10" t="n">
        <v>3.304679351097543</v>
      </c>
      <c r="AI130" s="10" t="n">
        <v>3.336334045046385</v>
      </c>
      <c r="AJ130" s="10" t="n">
        <v>3.366457830267021</v>
      </c>
      <c r="AK130" s="10" t="n">
        <v>3.395060084576011</v>
      </c>
    </row>
    <row r="131">
      <c r="A131" s="9" t="n">
        <v>6</v>
      </c>
      <c r="B131" s="7" t="n">
        <v>41199</v>
      </c>
      <c r="C131" s="10" t="n">
        <v>0.2735425209457205</v>
      </c>
      <c r="D131" s="10" t="n">
        <v>0.3302933211861656</v>
      </c>
      <c r="E131" s="10" t="n">
        <v>0.4148082166230219</v>
      </c>
      <c r="F131" s="10" t="n">
        <v>0.5165132905308008</v>
      </c>
      <c r="G131" s="10" t="n">
        <v>0.6282954583365278</v>
      </c>
      <c r="H131" s="10" t="n">
        <v>0.7454491613064932</v>
      </c>
      <c r="I131" s="10" t="n">
        <v>0.8648484564616975</v>
      </c>
      <c r="J131" s="10" t="n">
        <v>0.9844044290092586</v>
      </c>
      <c r="K131" s="10" t="n">
        <v>1.102689516964146</v>
      </c>
      <c r="L131" s="10" t="n">
        <v>1.218700599319046</v>
      </c>
      <c r="M131" s="10" t="n">
        <v>1.331708367971162</v>
      </c>
      <c r="N131" s="10" t="n">
        <v>1.441175956364601</v>
      </c>
      <c r="O131" s="10" t="n">
        <v>1.546721967174906</v>
      </c>
      <c r="P131" s="10" t="n">
        <v>1.648106086770575</v>
      </c>
      <c r="Q131" s="10" t="n">
        <v>1.745215390725404</v>
      </c>
      <c r="R131" s="10" t="n">
        <v>1.838048035615957</v>
      </c>
      <c r="S131" s="10" t="n">
        <v>1.926707844440271</v>
      </c>
      <c r="T131" s="10" t="n">
        <v>2.011358674776755</v>
      </c>
      <c r="U131" s="10" t="n">
        <v>2.092191924273811</v>
      </c>
      <c r="V131" s="10" t="n">
        <v>2.169419714060568</v>
      </c>
      <c r="W131" s="10" t="n">
        <v>2.243270571355064</v>
      </c>
      <c r="X131" s="10" t="n">
        <v>2.313986144455803</v>
      </c>
      <c r="Y131" s="10" t="n">
        <v>2.381815061001621</v>
      </c>
      <c r="Z131" s="10" t="n">
        <v>2.446990511271406</v>
      </c>
      <c r="AA131" s="10" t="n">
        <v>2.509720304956439</v>
      </c>
      <c r="AB131" s="10" t="n">
        <v>2.570190685801009</v>
      </c>
      <c r="AC131" s="10" t="n">
        <v>2.628569925926903</v>
      </c>
      <c r="AD131" s="10" t="n">
        <v>2.685011015228143</v>
      </c>
      <c r="AE131" s="10" t="n">
        <v>2.739648232727145</v>
      </c>
      <c r="AF131" s="10" t="n">
        <v>2.79258934404496</v>
      </c>
      <c r="AG131" s="10" t="n">
        <v>3.343837422887831</v>
      </c>
      <c r="AH131" s="10" t="n">
        <v>3.375814544414759</v>
      </c>
      <c r="AI131" s="10" t="n">
        <v>3.406285891149546</v>
      </c>
      <c r="AJ131" s="10" t="n">
        <v>3.435259756495167</v>
      </c>
      <c r="AK131" s="10" t="n">
        <v>3.462748054801644</v>
      </c>
    </row>
    <row r="132">
      <c r="A132" s="9" t="n">
        <v>7</v>
      </c>
      <c r="B132" s="7" t="n">
        <v>41200</v>
      </c>
      <c r="C132" s="10" t="n">
        <v>0.2773367654729801</v>
      </c>
      <c r="D132" s="10" t="n">
        <v>0.3337759691798431</v>
      </c>
      <c r="E132" s="10" t="n">
        <v>0.4182859153313093</v>
      </c>
      <c r="F132" s="10" t="n">
        <v>0.5202308638825285</v>
      </c>
      <c r="G132" s="10" t="n">
        <v>0.6323929604571732</v>
      </c>
      <c r="H132" s="10" t="n">
        <v>0.7499734797414097</v>
      </c>
      <c r="I132" s="10" t="n">
        <v>0.8697761154121254</v>
      </c>
      <c r="J132" s="10" t="n">
        <v>0.9896609468049433</v>
      </c>
      <c r="K132" s="10" t="n">
        <v>1.108167352731052</v>
      </c>
      <c r="L132" s="10" t="n">
        <v>1.224272931156555</v>
      </c>
      <c r="M132" s="10" t="n">
        <v>1.337243677399034</v>
      </c>
      <c r="N132" s="10" t="n">
        <v>1.44654841274867</v>
      </c>
      <c r="O132" s="10" t="n">
        <v>1.551818290429098</v>
      </c>
      <c r="P132" s="10" t="n">
        <v>1.652826734719204</v>
      </c>
      <c r="Q132" s="10" t="n">
        <v>1.749472496911029</v>
      </c>
      <c r="R132" s="10" t="n">
        <v>1.841763533754679</v>
      </c>
      <c r="S132" s="10" t="n">
        <v>1.929810130426427</v>
      </c>
      <c r="T132" s="10" t="n">
        <v>2.013780393490503</v>
      </c>
      <c r="U132" s="10" t="n">
        <v>2.093869752834631</v>
      </c>
      <c r="V132" s="10" t="n">
        <v>2.170294275557341</v>
      </c>
      <c r="W132" s="10" t="n">
        <v>2.243286366549056</v>
      </c>
      <c r="X132" s="10" t="n">
        <v>2.313091496817588</v>
      </c>
      <c r="Y132" s="10" t="n">
        <v>2.379962072630438</v>
      </c>
      <c r="Z132" s="10" t="n">
        <v>2.444135328238522</v>
      </c>
      <c r="AA132" s="10" t="n">
        <v>2.505823665758247</v>
      </c>
      <c r="AB132" s="10" t="n">
        <v>2.565218400328295</v>
      </c>
      <c r="AC132" s="10" t="n">
        <v>2.622493274605904</v>
      </c>
      <c r="AD132" s="10" t="n">
        <v>2.677807071856169</v>
      </c>
      <c r="AE132" s="10" t="n">
        <v>2.731299933884313</v>
      </c>
      <c r="AF132" s="10" t="n">
        <v>2.783085304055705</v>
      </c>
      <c r="AG132" s="10" t="n">
        <v>3.320033026050049</v>
      </c>
      <c r="AH132" s="10" t="n">
        <v>3.351044512718385</v>
      </c>
      <c r="AI132" s="10" t="n">
        <v>3.380577299485376</v>
      </c>
      <c r="AJ132" s="10" t="n">
        <v>3.408641303197195</v>
      </c>
      <c r="AK132" s="10" t="n">
        <v>3.435249926052376</v>
      </c>
    </row>
    <row r="133">
      <c r="A133" s="9" t="n">
        <v>8</v>
      </c>
      <c r="B133" s="7" t="n">
        <v>41201</v>
      </c>
      <c r="C133" s="10" t="n">
        <v>0.2565283977249088</v>
      </c>
      <c r="D133" s="10" t="n">
        <v>0.3081839650902687</v>
      </c>
      <c r="E133" s="10" t="n">
        <v>0.3892042321735927</v>
      </c>
      <c r="F133" s="10" t="n">
        <v>0.4886742933496869</v>
      </c>
      <c r="G133" s="10" t="n">
        <v>0.5991599791121175</v>
      </c>
      <c r="H133" s="10" t="n">
        <v>0.7156891110820164</v>
      </c>
      <c r="I133" s="10" t="n">
        <v>0.8349195994215057</v>
      </c>
      <c r="J133" s="10" t="n">
        <v>0.9545854738630855</v>
      </c>
      <c r="K133" s="10" t="n">
        <v>1.073128587407904</v>
      </c>
      <c r="L133" s="10" t="n">
        <v>1.189445058838538</v>
      </c>
      <c r="M133" s="10" t="n">
        <v>1.302739520560876</v>
      </c>
      <c r="N133" s="10" t="n">
        <v>1.41243494411441</v>
      </c>
      <c r="O133" s="10" t="n">
        <v>1.518132210514187</v>
      </c>
      <c r="P133" s="10" t="n">
        <v>1.619585631621103</v>
      </c>
      <c r="Q133" s="10" t="n">
        <v>1.716686342979194</v>
      </c>
      <c r="R133" s="10" t="n">
        <v>1.809443998986733</v>
      </c>
      <c r="S133" s="10" t="n">
        <v>1.897979135509286</v>
      </c>
      <c r="T133" s="10" t="n">
        <v>1.982473496935694</v>
      </c>
      <c r="U133" s="10" t="n">
        <v>2.063135455748313</v>
      </c>
      <c r="V133" s="10" t="n">
        <v>2.140193380688512</v>
      </c>
      <c r="W133" s="10" t="n">
        <v>2.213891470869376</v>
      </c>
      <c r="X133" s="10" t="n">
        <v>2.284486583413344</v>
      </c>
      <c r="Y133" s="10" t="n">
        <v>2.352241424334181</v>
      </c>
      <c r="Z133" s="10" t="n">
        <v>2.417399337523642</v>
      </c>
      <c r="AA133" s="10" t="n">
        <v>2.480173937052564</v>
      </c>
      <c r="AB133" s="10" t="n">
        <v>2.540753667859284</v>
      </c>
      <c r="AC133" s="10" t="n">
        <v>2.599306000605062</v>
      </c>
      <c r="AD133" s="10" t="n">
        <v>2.655980535737833</v>
      </c>
      <c r="AE133" s="10" t="n">
        <v>2.71090466532843</v>
      </c>
      <c r="AF133" s="10" t="n">
        <v>2.76417455650529</v>
      </c>
      <c r="AG133" s="10" t="n">
        <v>3.317438468974167</v>
      </c>
      <c r="AH133" s="10" t="n">
        <v>3.349129970820238</v>
      </c>
      <c r="AI133" s="10" t="n">
        <v>3.379251905198938</v>
      </c>
      <c r="AJ133" s="10" t="n">
        <v>3.407818255777822</v>
      </c>
      <c r="AK133" s="10" t="n">
        <v>3.434847034698139</v>
      </c>
    </row>
    <row r="134">
      <c r="A134" s="9" t="n">
        <v>9</v>
      </c>
      <c r="B134" s="7" t="n">
        <v>41204</v>
      </c>
      <c r="C134" s="10" t="n">
        <v>0.2667785695417169</v>
      </c>
      <c r="D134" s="10" t="n">
        <v>0.3229902327942614</v>
      </c>
      <c r="E134" s="10" t="n">
        <v>0.4071706605900962</v>
      </c>
      <c r="F134" s="10" t="n">
        <v>0.5088243781884626</v>
      </c>
      <c r="G134" s="10" t="n">
        <v>0.6208302495711463</v>
      </c>
      <c r="H134" s="10" t="n">
        <v>0.7384248155784735</v>
      </c>
      <c r="I134" s="10" t="n">
        <v>0.858402506421419</v>
      </c>
      <c r="J134" s="10" t="n">
        <v>0.9785829431547931</v>
      </c>
      <c r="K134" s="10" t="n">
        <v>1.097463869058457</v>
      </c>
      <c r="L134" s="10" t="n">
        <v>1.213978688823746</v>
      </c>
      <c r="M134" s="10" t="n">
        <v>1.327360568055038</v>
      </c>
      <c r="N134" s="10" t="n">
        <v>1.437055909954855</v>
      </c>
      <c r="O134" s="10" t="n">
        <v>1.542686648100993</v>
      </c>
      <c r="P134" s="10" t="n">
        <v>1.644025675537216</v>
      </c>
      <c r="Q134" s="10" t="n">
        <v>1.740981418487846</v>
      </c>
      <c r="R134" s="10" t="n">
        <v>1.833579712221246</v>
      </c>
      <c r="S134" s="10" t="n">
        <v>1.921956850409249</v>
      </c>
      <c r="T134" s="10" t="n">
        <v>2.006308595053679</v>
      </c>
      <c r="U134" s="10" t="n">
        <v>2.086854703045383</v>
      </c>
      <c r="V134" s="10" t="n">
        <v>2.163832830697838</v>
      </c>
      <c r="W134" s="10" t="n">
        <v>2.23749480470077</v>
      </c>
      <c r="X134" s="10" t="n">
        <v>2.308103780795763</v>
      </c>
      <c r="Y134" s="10" t="n">
        <v>2.375927380238574</v>
      </c>
      <c r="Z134" s="10" t="n">
        <v>2.441211387823424</v>
      </c>
      <c r="AA134" s="10" t="n">
        <v>2.504169228614883</v>
      </c>
      <c r="AB134" s="10" t="n">
        <v>2.564986969241986</v>
      </c>
      <c r="AC134" s="10" t="n">
        <v>2.623827877637492</v>
      </c>
      <c r="AD134" s="10" t="n">
        <v>2.680835792690621</v>
      </c>
      <c r="AE134" s="10" t="n">
        <v>2.736130456188518</v>
      </c>
      <c r="AF134" s="10" t="n">
        <v>2.789797973300985</v>
      </c>
      <c r="AG134" s="10" t="n">
        <v>3.346338396715139</v>
      </c>
      <c r="AH134" s="10" t="n">
        <v>3.377971498098479</v>
      </c>
      <c r="AI134" s="10" t="n">
        <v>3.407993923566279</v>
      </c>
      <c r="AJ134" s="10" t="n">
        <v>3.436423937300865</v>
      </c>
      <c r="AK134" s="10" t="n">
        <v>3.463284003189256</v>
      </c>
    </row>
    <row r="135">
      <c r="A135" s="9" t="n">
        <v>10</v>
      </c>
      <c r="B135" s="7" t="n">
        <v>41205</v>
      </c>
      <c r="C135" s="10" t="n">
        <v>0.2364276577848581</v>
      </c>
      <c r="D135" s="10" t="n">
        <v>0.2839383174257966</v>
      </c>
      <c r="E135" s="10" t="n">
        <v>0.3610123103203685</v>
      </c>
      <c r="F135" s="10" t="n">
        <v>0.4568258010787582</v>
      </c>
      <c r="G135" s="10" t="n">
        <v>0.5639468405757042</v>
      </c>
      <c r="H135" s="10" t="n">
        <v>0.6773820894445256</v>
      </c>
      <c r="I135" s="10" t="n">
        <v>0.7937662307846961</v>
      </c>
      <c r="J135" s="10" t="n">
        <v>0.910816170131353</v>
      </c>
      <c r="K135" s="10" t="n">
        <v>1.026967506621933</v>
      </c>
      <c r="L135" s="10" t="n">
        <v>1.141113582507179</v>
      </c>
      <c r="M135" s="10" t="n">
        <v>1.252460935482274</v>
      </c>
      <c r="N135" s="10" t="n">
        <v>1.360435550428359</v>
      </c>
      <c r="O135" s="10" t="n">
        <v>1.464642290533963</v>
      </c>
      <c r="P135" s="10" t="n">
        <v>1.564837812768273</v>
      </c>
      <c r="Q135" s="10" t="n">
        <v>1.660913380179962</v>
      </c>
      <c r="R135" s="10" t="n">
        <v>1.752875091860538</v>
      </c>
      <c r="S135" s="10" t="n">
        <v>1.840835909860307</v>
      </c>
      <c r="T135" s="10" t="n">
        <v>1.924966831906185</v>
      </c>
      <c r="U135" s="10" t="n">
        <v>2.005462755824648</v>
      </c>
      <c r="V135" s="10" t="n">
        <v>2.082536460616159</v>
      </c>
      <c r="W135" s="10" t="n">
        <v>2.156414881210597</v>
      </c>
      <c r="X135" s="10" t="n">
        <v>2.227336269886722</v>
      </c>
      <c r="Y135" s="10" t="n">
        <v>2.29554357231983</v>
      </c>
      <c r="Z135" s="10" t="n">
        <v>2.361259712365559</v>
      </c>
      <c r="AA135" s="10" t="n">
        <v>2.424677828449013</v>
      </c>
      <c r="AB135" s="10" t="n">
        <v>2.485965885026739</v>
      </c>
      <c r="AC135" s="10" t="n">
        <v>2.545270868248151</v>
      </c>
      <c r="AD135" s="10" t="n">
        <v>2.602721876127711</v>
      </c>
      <c r="AE135" s="10" t="n">
        <v>2.658425711790462</v>
      </c>
      <c r="AF135" s="10" t="n">
        <v>2.712458087080583</v>
      </c>
      <c r="AG135" s="10" t="n">
        <v>3.268331110770171</v>
      </c>
      <c r="AH135" s="10" t="n">
        <v>3.29956587348202</v>
      </c>
      <c r="AI135" s="10" t="n">
        <v>3.329164390935663</v>
      </c>
      <c r="AJ135" s="10" t="n">
        <v>3.357150340953192</v>
      </c>
      <c r="AK135" s="10" t="n">
        <v>3.383551202111081</v>
      </c>
    </row>
    <row r="138">
      <c r="A138" s="3" t="inlineStr">
        <is>
          <t>k</t>
        </is>
      </c>
      <c r="B138" s="3" t="inlineStr">
        <is>
          <t>Date</t>
        </is>
      </c>
      <c r="C138" s="3" t="inlineStr">
        <is>
          <t>Δz 2y (bp)</t>
        </is>
      </c>
      <c r="D138" s="3" t="inlineStr">
        <is>
          <t>Δz 2.5y (bp)</t>
        </is>
      </c>
      <c r="E138" s="3" t="inlineStr">
        <is>
          <t>Δz 3y (bp)</t>
        </is>
      </c>
      <c r="F138" s="3" t="inlineStr">
        <is>
          <t>Δz 3.5y (bp)</t>
        </is>
      </c>
      <c r="G138" s="3" t="inlineStr">
        <is>
          <t>Δz 4y (bp)</t>
        </is>
      </c>
      <c r="H138" s="3" t="inlineStr">
        <is>
          <t>Δz 4.5y (bp)</t>
        </is>
      </c>
      <c r="I138" s="3" t="inlineStr">
        <is>
          <t>Δz 5y (bp)</t>
        </is>
      </c>
      <c r="J138" s="3" t="inlineStr">
        <is>
          <t>Δz 5.5y (bp)</t>
        </is>
      </c>
      <c r="K138" s="3" t="inlineStr">
        <is>
          <t>Δz 6y (bp)</t>
        </is>
      </c>
      <c r="L138" s="3" t="inlineStr">
        <is>
          <t>Δz 6.5y (bp)</t>
        </is>
      </c>
      <c r="M138" s="3" t="inlineStr">
        <is>
          <t>Δz 7y (bp)</t>
        </is>
      </c>
      <c r="N138" s="3" t="inlineStr">
        <is>
          <t>Δz 7.5y (bp)</t>
        </is>
      </c>
      <c r="O138" s="3" t="inlineStr">
        <is>
          <t>Δz 8y (bp)</t>
        </is>
      </c>
      <c r="P138" s="3" t="inlineStr">
        <is>
          <t>Δz 8.5y (bp)</t>
        </is>
      </c>
      <c r="Q138" s="3" t="inlineStr">
        <is>
          <t>Δz 9y (bp)</t>
        </is>
      </c>
      <c r="R138" s="3" t="inlineStr">
        <is>
          <t>Δz 9.5y (bp)</t>
        </is>
      </c>
      <c r="S138" s="3" t="inlineStr">
        <is>
          <t>Δz 10y (bp)</t>
        </is>
      </c>
      <c r="T138" s="3" t="inlineStr">
        <is>
          <t>Δz 10.5y (bp)</t>
        </is>
      </c>
      <c r="U138" s="3" t="inlineStr">
        <is>
          <t>Δz 11y (bp)</t>
        </is>
      </c>
      <c r="V138" s="3" t="inlineStr">
        <is>
          <t>Δz 11.5y (bp)</t>
        </is>
      </c>
      <c r="W138" s="3" t="inlineStr">
        <is>
          <t>Δz 12y (bp)</t>
        </is>
      </c>
      <c r="X138" s="3" t="inlineStr">
        <is>
          <t>Δz 12.5y (bp)</t>
        </is>
      </c>
      <c r="Y138" s="3" t="inlineStr">
        <is>
          <t>Δz 13y (bp)</t>
        </is>
      </c>
      <c r="Z138" s="3" t="inlineStr">
        <is>
          <t>Δz 13.5y (bp)</t>
        </is>
      </c>
      <c r="AA138" s="3" t="inlineStr">
        <is>
          <t>Δz 14y (bp)</t>
        </is>
      </c>
      <c r="AB138" s="3" t="inlineStr">
        <is>
          <t>Δz 14.5y (bp)</t>
        </is>
      </c>
      <c r="AC138" s="3" t="inlineStr">
        <is>
          <t>Δz 15y (bp)</t>
        </is>
      </c>
      <c r="AD138" s="3" t="inlineStr">
        <is>
          <t>Δz 15.5y (bp)</t>
        </is>
      </c>
      <c r="AE138" s="3" t="inlineStr">
        <is>
          <t>Δz 16y (bp)</t>
        </is>
      </c>
      <c r="AF138" s="3" t="inlineStr">
        <is>
          <t>Δz 16.5y (bp)</t>
        </is>
      </c>
      <c r="AG138" s="3" t="inlineStr">
        <is>
          <t>Δz 23y (bp)</t>
        </is>
      </c>
      <c r="AH138" s="3" t="inlineStr">
        <is>
          <t>Δz 23.5y (bp)</t>
        </is>
      </c>
      <c r="AI138" s="3" t="inlineStr">
        <is>
          <t>Δz 24y (bp)</t>
        </is>
      </c>
      <c r="AJ138" s="3" t="inlineStr">
        <is>
          <t>Δz 24.5y (bp)</t>
        </is>
      </c>
      <c r="AK138" s="3" t="inlineStr">
        <is>
          <t>Δz 25y (bp)</t>
        </is>
      </c>
      <c r="AL138" s="3" t="inlineStr">
        <is>
          <t>Control Δc = average (bp)</t>
        </is>
      </c>
    </row>
    <row r="139">
      <c r="A139" s="19">
        <f>A5</f>
        <v/>
      </c>
      <c r="B139" s="20">
        <f>B5</f>
        <v/>
      </c>
      <c r="C139" s="21">
        <f>100*(C5-C4)</f>
        <v/>
      </c>
      <c r="D139" s="21">
        <f>100*(D5-D4)</f>
        <v/>
      </c>
      <c r="E139" s="21">
        <f>100*(E5-E4)</f>
        <v/>
      </c>
      <c r="F139" s="21">
        <f>100*(F5-F4)</f>
        <v/>
      </c>
      <c r="G139" s="21">
        <f>100*(G5-G4)</f>
        <v/>
      </c>
      <c r="H139" s="21">
        <f>100*(H5-H4)</f>
        <v/>
      </c>
      <c r="I139" s="21">
        <f>100*(I5-I4)</f>
        <v/>
      </c>
      <c r="J139" s="21">
        <f>100*(J5-J4)</f>
        <v/>
      </c>
      <c r="K139" s="21">
        <f>100*(K5-K4)</f>
        <v/>
      </c>
      <c r="L139" s="21">
        <f>100*(L5-L4)</f>
        <v/>
      </c>
      <c r="M139" s="21">
        <f>100*(M5-M4)</f>
        <v/>
      </c>
      <c r="N139" s="21">
        <f>100*(N5-N4)</f>
        <v/>
      </c>
      <c r="O139" s="21">
        <f>100*(O5-O4)</f>
        <v/>
      </c>
      <c r="P139" s="21">
        <f>100*(P5-P4)</f>
        <v/>
      </c>
      <c r="Q139" s="21">
        <f>100*(Q5-Q4)</f>
        <v/>
      </c>
      <c r="R139" s="21">
        <f>100*(R5-R4)</f>
        <v/>
      </c>
      <c r="S139" s="21">
        <f>100*(S5-S4)</f>
        <v/>
      </c>
      <c r="T139" s="21">
        <f>100*(T5-T4)</f>
        <v/>
      </c>
      <c r="U139" s="21">
        <f>100*(U5-U4)</f>
        <v/>
      </c>
      <c r="V139" s="21">
        <f>100*(V5-V4)</f>
        <v/>
      </c>
      <c r="W139" s="21">
        <f>100*(W5-W4)</f>
        <v/>
      </c>
      <c r="X139" s="21">
        <f>100*(X5-X4)</f>
        <v/>
      </c>
      <c r="Y139" s="21">
        <f>100*(Y5-Y4)</f>
        <v/>
      </c>
      <c r="Z139" s="21">
        <f>100*(Z5-Z4)</f>
        <v/>
      </c>
      <c r="AA139" s="21">
        <f>100*(AA5-AA4)</f>
        <v/>
      </c>
      <c r="AB139" s="21">
        <f>100*(AB5-AB4)</f>
        <v/>
      </c>
      <c r="AC139" s="21">
        <f>100*(AC5-AC4)</f>
        <v/>
      </c>
      <c r="AD139" s="21">
        <f>100*(AD5-AD4)</f>
        <v/>
      </c>
      <c r="AE139" s="21">
        <f>100*(AE5-AE4)</f>
        <v/>
      </c>
      <c r="AF139" s="21">
        <f>100*(AF5-AF4)</f>
        <v/>
      </c>
      <c r="AG139" s="21">
        <f>100*(AG5-AG4)</f>
        <v/>
      </c>
      <c r="AH139" s="21">
        <f>100*(AH5-AH4)</f>
        <v/>
      </c>
      <c r="AI139" s="21">
        <f>100*(AI5-AI4)</f>
        <v/>
      </c>
      <c r="AJ139" s="21">
        <f>100*(AJ5-AJ4)</f>
        <v/>
      </c>
      <c r="AK139" s="21">
        <f>100*(AK5-AK4)</f>
        <v/>
      </c>
      <c r="AL139" s="21">
        <f>AVERAGE(C139:AK139)</f>
        <v/>
      </c>
    </row>
    <row r="140">
      <c r="A140" s="19">
        <f>A6</f>
        <v/>
      </c>
      <c r="B140" s="20">
        <f>B6</f>
        <v/>
      </c>
      <c r="C140" s="21">
        <f>100*(C6-C5)</f>
        <v/>
      </c>
      <c r="D140" s="21">
        <f>100*(D6-D5)</f>
        <v/>
      </c>
      <c r="E140" s="21">
        <f>100*(E6-E5)</f>
        <v/>
      </c>
      <c r="F140" s="21">
        <f>100*(F6-F5)</f>
        <v/>
      </c>
      <c r="G140" s="21">
        <f>100*(G6-G5)</f>
        <v/>
      </c>
      <c r="H140" s="21">
        <f>100*(H6-H5)</f>
        <v/>
      </c>
      <c r="I140" s="21">
        <f>100*(I6-I5)</f>
        <v/>
      </c>
      <c r="J140" s="21">
        <f>100*(J6-J5)</f>
        <v/>
      </c>
      <c r="K140" s="21">
        <f>100*(K6-K5)</f>
        <v/>
      </c>
      <c r="L140" s="21">
        <f>100*(L6-L5)</f>
        <v/>
      </c>
      <c r="M140" s="21">
        <f>100*(M6-M5)</f>
        <v/>
      </c>
      <c r="N140" s="21">
        <f>100*(N6-N5)</f>
        <v/>
      </c>
      <c r="O140" s="21">
        <f>100*(O6-O5)</f>
        <v/>
      </c>
      <c r="P140" s="21">
        <f>100*(P6-P5)</f>
        <v/>
      </c>
      <c r="Q140" s="21">
        <f>100*(Q6-Q5)</f>
        <v/>
      </c>
      <c r="R140" s="21">
        <f>100*(R6-R5)</f>
        <v/>
      </c>
      <c r="S140" s="21">
        <f>100*(S6-S5)</f>
        <v/>
      </c>
      <c r="T140" s="21">
        <f>100*(T6-T5)</f>
        <v/>
      </c>
      <c r="U140" s="21">
        <f>100*(U6-U5)</f>
        <v/>
      </c>
      <c r="V140" s="21">
        <f>100*(V6-V5)</f>
        <v/>
      </c>
      <c r="W140" s="21">
        <f>100*(W6-W5)</f>
        <v/>
      </c>
      <c r="X140" s="21">
        <f>100*(X6-X5)</f>
        <v/>
      </c>
      <c r="Y140" s="21">
        <f>100*(Y6-Y5)</f>
        <v/>
      </c>
      <c r="Z140" s="21">
        <f>100*(Z6-Z5)</f>
        <v/>
      </c>
      <c r="AA140" s="21">
        <f>100*(AA6-AA5)</f>
        <v/>
      </c>
      <c r="AB140" s="21">
        <f>100*(AB6-AB5)</f>
        <v/>
      </c>
      <c r="AC140" s="21">
        <f>100*(AC6-AC5)</f>
        <v/>
      </c>
      <c r="AD140" s="21">
        <f>100*(AD6-AD5)</f>
        <v/>
      </c>
      <c r="AE140" s="21">
        <f>100*(AE6-AE5)</f>
        <v/>
      </c>
      <c r="AF140" s="21">
        <f>100*(AF6-AF5)</f>
        <v/>
      </c>
      <c r="AG140" s="21">
        <f>100*(AG6-AG5)</f>
        <v/>
      </c>
      <c r="AH140" s="21">
        <f>100*(AH6-AH5)</f>
        <v/>
      </c>
      <c r="AI140" s="21">
        <f>100*(AI6-AI5)</f>
        <v/>
      </c>
      <c r="AJ140" s="21">
        <f>100*(AJ6-AJ5)</f>
        <v/>
      </c>
      <c r="AK140" s="21">
        <f>100*(AK6-AK5)</f>
        <v/>
      </c>
      <c r="AL140" s="21">
        <f>AVERAGE(C140:AK140)</f>
        <v/>
      </c>
    </row>
    <row r="141">
      <c r="A141" s="19">
        <f>A7</f>
        <v/>
      </c>
      <c r="B141" s="20">
        <f>B7</f>
        <v/>
      </c>
      <c r="C141" s="21">
        <f>100*(C7-C6)</f>
        <v/>
      </c>
      <c r="D141" s="21">
        <f>100*(D7-D6)</f>
        <v/>
      </c>
      <c r="E141" s="21">
        <f>100*(E7-E6)</f>
        <v/>
      </c>
      <c r="F141" s="21">
        <f>100*(F7-F6)</f>
        <v/>
      </c>
      <c r="G141" s="21">
        <f>100*(G7-G6)</f>
        <v/>
      </c>
      <c r="H141" s="21">
        <f>100*(H7-H6)</f>
        <v/>
      </c>
      <c r="I141" s="21">
        <f>100*(I7-I6)</f>
        <v/>
      </c>
      <c r="J141" s="21">
        <f>100*(J7-J6)</f>
        <v/>
      </c>
      <c r="K141" s="21">
        <f>100*(K7-K6)</f>
        <v/>
      </c>
      <c r="L141" s="21">
        <f>100*(L7-L6)</f>
        <v/>
      </c>
      <c r="M141" s="21">
        <f>100*(M7-M6)</f>
        <v/>
      </c>
      <c r="N141" s="21">
        <f>100*(N7-N6)</f>
        <v/>
      </c>
      <c r="O141" s="21">
        <f>100*(O7-O6)</f>
        <v/>
      </c>
      <c r="P141" s="21">
        <f>100*(P7-P6)</f>
        <v/>
      </c>
      <c r="Q141" s="21">
        <f>100*(Q7-Q6)</f>
        <v/>
      </c>
      <c r="R141" s="21">
        <f>100*(R7-R6)</f>
        <v/>
      </c>
      <c r="S141" s="21">
        <f>100*(S7-S6)</f>
        <v/>
      </c>
      <c r="T141" s="21">
        <f>100*(T7-T6)</f>
        <v/>
      </c>
      <c r="U141" s="21">
        <f>100*(U7-U6)</f>
        <v/>
      </c>
      <c r="V141" s="21">
        <f>100*(V7-V6)</f>
        <v/>
      </c>
      <c r="W141" s="21">
        <f>100*(W7-W6)</f>
        <v/>
      </c>
      <c r="X141" s="21">
        <f>100*(X7-X6)</f>
        <v/>
      </c>
      <c r="Y141" s="21">
        <f>100*(Y7-Y6)</f>
        <v/>
      </c>
      <c r="Z141" s="21">
        <f>100*(Z7-Z6)</f>
        <v/>
      </c>
      <c r="AA141" s="21">
        <f>100*(AA7-AA6)</f>
        <v/>
      </c>
      <c r="AB141" s="21">
        <f>100*(AB7-AB6)</f>
        <v/>
      </c>
      <c r="AC141" s="21">
        <f>100*(AC7-AC6)</f>
        <v/>
      </c>
      <c r="AD141" s="21">
        <f>100*(AD7-AD6)</f>
        <v/>
      </c>
      <c r="AE141" s="21">
        <f>100*(AE7-AE6)</f>
        <v/>
      </c>
      <c r="AF141" s="21">
        <f>100*(AF7-AF6)</f>
        <v/>
      </c>
      <c r="AG141" s="21">
        <f>100*(AG7-AG6)</f>
        <v/>
      </c>
      <c r="AH141" s="21">
        <f>100*(AH7-AH6)</f>
        <v/>
      </c>
      <c r="AI141" s="21">
        <f>100*(AI7-AI6)</f>
        <v/>
      </c>
      <c r="AJ141" s="21">
        <f>100*(AJ7-AJ6)</f>
        <v/>
      </c>
      <c r="AK141" s="21">
        <f>100*(AK7-AK6)</f>
        <v/>
      </c>
      <c r="AL141" s="21">
        <f>AVERAGE(C141:AK141)</f>
        <v/>
      </c>
    </row>
    <row r="142">
      <c r="A142" s="19">
        <f>A8</f>
        <v/>
      </c>
      <c r="B142" s="20">
        <f>B8</f>
        <v/>
      </c>
      <c r="C142" s="21">
        <f>100*(C8-C7)</f>
        <v/>
      </c>
      <c r="D142" s="21">
        <f>100*(D8-D7)</f>
        <v/>
      </c>
      <c r="E142" s="21">
        <f>100*(E8-E7)</f>
        <v/>
      </c>
      <c r="F142" s="21">
        <f>100*(F8-F7)</f>
        <v/>
      </c>
      <c r="G142" s="21">
        <f>100*(G8-G7)</f>
        <v/>
      </c>
      <c r="H142" s="21">
        <f>100*(H8-H7)</f>
        <v/>
      </c>
      <c r="I142" s="21">
        <f>100*(I8-I7)</f>
        <v/>
      </c>
      <c r="J142" s="21">
        <f>100*(J8-J7)</f>
        <v/>
      </c>
      <c r="K142" s="21">
        <f>100*(K8-K7)</f>
        <v/>
      </c>
      <c r="L142" s="21">
        <f>100*(L8-L7)</f>
        <v/>
      </c>
      <c r="M142" s="21">
        <f>100*(M8-M7)</f>
        <v/>
      </c>
      <c r="N142" s="21">
        <f>100*(N8-N7)</f>
        <v/>
      </c>
      <c r="O142" s="21">
        <f>100*(O8-O7)</f>
        <v/>
      </c>
      <c r="P142" s="21">
        <f>100*(P8-P7)</f>
        <v/>
      </c>
      <c r="Q142" s="21">
        <f>100*(Q8-Q7)</f>
        <v/>
      </c>
      <c r="R142" s="21">
        <f>100*(R8-R7)</f>
        <v/>
      </c>
      <c r="S142" s="21">
        <f>100*(S8-S7)</f>
        <v/>
      </c>
      <c r="T142" s="21">
        <f>100*(T8-T7)</f>
        <v/>
      </c>
      <c r="U142" s="21">
        <f>100*(U8-U7)</f>
        <v/>
      </c>
      <c r="V142" s="21">
        <f>100*(V8-V7)</f>
        <v/>
      </c>
      <c r="W142" s="21">
        <f>100*(W8-W7)</f>
        <v/>
      </c>
      <c r="X142" s="21">
        <f>100*(X8-X7)</f>
        <v/>
      </c>
      <c r="Y142" s="21">
        <f>100*(Y8-Y7)</f>
        <v/>
      </c>
      <c r="Z142" s="21">
        <f>100*(Z8-Z7)</f>
        <v/>
      </c>
      <c r="AA142" s="21">
        <f>100*(AA8-AA7)</f>
        <v/>
      </c>
      <c r="AB142" s="21">
        <f>100*(AB8-AB7)</f>
        <v/>
      </c>
      <c r="AC142" s="21">
        <f>100*(AC8-AC7)</f>
        <v/>
      </c>
      <c r="AD142" s="21">
        <f>100*(AD8-AD7)</f>
        <v/>
      </c>
      <c r="AE142" s="21">
        <f>100*(AE8-AE7)</f>
        <v/>
      </c>
      <c r="AF142" s="21">
        <f>100*(AF8-AF7)</f>
        <v/>
      </c>
      <c r="AG142" s="21">
        <f>100*(AG8-AG7)</f>
        <v/>
      </c>
      <c r="AH142" s="21">
        <f>100*(AH8-AH7)</f>
        <v/>
      </c>
      <c r="AI142" s="21">
        <f>100*(AI8-AI7)</f>
        <v/>
      </c>
      <c r="AJ142" s="21">
        <f>100*(AJ8-AJ7)</f>
        <v/>
      </c>
      <c r="AK142" s="21">
        <f>100*(AK8-AK7)</f>
        <v/>
      </c>
      <c r="AL142" s="21">
        <f>AVERAGE(C142:AK142)</f>
        <v/>
      </c>
    </row>
    <row r="143">
      <c r="A143" s="19">
        <f>A9</f>
        <v/>
      </c>
      <c r="B143" s="20">
        <f>B9</f>
        <v/>
      </c>
      <c r="C143" s="21">
        <f>100*(C9-C8)</f>
        <v/>
      </c>
      <c r="D143" s="21">
        <f>100*(D9-D8)</f>
        <v/>
      </c>
      <c r="E143" s="21">
        <f>100*(E9-E8)</f>
        <v/>
      </c>
      <c r="F143" s="21">
        <f>100*(F9-F8)</f>
        <v/>
      </c>
      <c r="G143" s="21">
        <f>100*(G9-G8)</f>
        <v/>
      </c>
      <c r="H143" s="21">
        <f>100*(H9-H8)</f>
        <v/>
      </c>
      <c r="I143" s="21">
        <f>100*(I9-I8)</f>
        <v/>
      </c>
      <c r="J143" s="21">
        <f>100*(J9-J8)</f>
        <v/>
      </c>
      <c r="K143" s="21">
        <f>100*(K9-K8)</f>
        <v/>
      </c>
      <c r="L143" s="21">
        <f>100*(L9-L8)</f>
        <v/>
      </c>
      <c r="M143" s="21">
        <f>100*(M9-M8)</f>
        <v/>
      </c>
      <c r="N143" s="21">
        <f>100*(N9-N8)</f>
        <v/>
      </c>
      <c r="O143" s="21">
        <f>100*(O9-O8)</f>
        <v/>
      </c>
      <c r="P143" s="21">
        <f>100*(P9-P8)</f>
        <v/>
      </c>
      <c r="Q143" s="21">
        <f>100*(Q9-Q8)</f>
        <v/>
      </c>
      <c r="R143" s="21">
        <f>100*(R9-R8)</f>
        <v/>
      </c>
      <c r="S143" s="21">
        <f>100*(S9-S8)</f>
        <v/>
      </c>
      <c r="T143" s="21">
        <f>100*(T9-T8)</f>
        <v/>
      </c>
      <c r="U143" s="21">
        <f>100*(U9-U8)</f>
        <v/>
      </c>
      <c r="V143" s="21">
        <f>100*(V9-V8)</f>
        <v/>
      </c>
      <c r="W143" s="21">
        <f>100*(W9-W8)</f>
        <v/>
      </c>
      <c r="X143" s="21">
        <f>100*(X9-X8)</f>
        <v/>
      </c>
      <c r="Y143" s="21">
        <f>100*(Y9-Y8)</f>
        <v/>
      </c>
      <c r="Z143" s="21">
        <f>100*(Z9-Z8)</f>
        <v/>
      </c>
      <c r="AA143" s="21">
        <f>100*(AA9-AA8)</f>
        <v/>
      </c>
      <c r="AB143" s="21">
        <f>100*(AB9-AB8)</f>
        <v/>
      </c>
      <c r="AC143" s="21">
        <f>100*(AC9-AC8)</f>
        <v/>
      </c>
      <c r="AD143" s="21">
        <f>100*(AD9-AD8)</f>
        <v/>
      </c>
      <c r="AE143" s="21">
        <f>100*(AE9-AE8)</f>
        <v/>
      </c>
      <c r="AF143" s="21">
        <f>100*(AF9-AF8)</f>
        <v/>
      </c>
      <c r="AG143" s="21">
        <f>100*(AG9-AG8)</f>
        <v/>
      </c>
      <c r="AH143" s="21">
        <f>100*(AH9-AH8)</f>
        <v/>
      </c>
      <c r="AI143" s="21">
        <f>100*(AI9-AI8)</f>
        <v/>
      </c>
      <c r="AJ143" s="21">
        <f>100*(AJ9-AJ8)</f>
        <v/>
      </c>
      <c r="AK143" s="21">
        <f>100*(AK9-AK8)</f>
        <v/>
      </c>
      <c r="AL143" s="21">
        <f>AVERAGE(C143:AK143)</f>
        <v/>
      </c>
    </row>
    <row r="144">
      <c r="A144" s="19">
        <f>A10</f>
        <v/>
      </c>
      <c r="B144" s="20">
        <f>B10</f>
        <v/>
      </c>
      <c r="C144" s="21">
        <f>100*(C10-C9)</f>
        <v/>
      </c>
      <c r="D144" s="21">
        <f>100*(D10-D9)</f>
        <v/>
      </c>
      <c r="E144" s="21">
        <f>100*(E10-E9)</f>
        <v/>
      </c>
      <c r="F144" s="21">
        <f>100*(F10-F9)</f>
        <v/>
      </c>
      <c r="G144" s="21">
        <f>100*(G10-G9)</f>
        <v/>
      </c>
      <c r="H144" s="21">
        <f>100*(H10-H9)</f>
        <v/>
      </c>
      <c r="I144" s="21">
        <f>100*(I10-I9)</f>
        <v/>
      </c>
      <c r="J144" s="21">
        <f>100*(J10-J9)</f>
        <v/>
      </c>
      <c r="K144" s="21">
        <f>100*(K10-K9)</f>
        <v/>
      </c>
      <c r="L144" s="21">
        <f>100*(L10-L9)</f>
        <v/>
      </c>
      <c r="M144" s="21">
        <f>100*(M10-M9)</f>
        <v/>
      </c>
      <c r="N144" s="21">
        <f>100*(N10-N9)</f>
        <v/>
      </c>
      <c r="O144" s="21">
        <f>100*(O10-O9)</f>
        <v/>
      </c>
      <c r="P144" s="21">
        <f>100*(P10-P9)</f>
        <v/>
      </c>
      <c r="Q144" s="21">
        <f>100*(Q10-Q9)</f>
        <v/>
      </c>
      <c r="R144" s="21">
        <f>100*(R10-R9)</f>
        <v/>
      </c>
      <c r="S144" s="21">
        <f>100*(S10-S9)</f>
        <v/>
      </c>
      <c r="T144" s="21">
        <f>100*(T10-T9)</f>
        <v/>
      </c>
      <c r="U144" s="21">
        <f>100*(U10-U9)</f>
        <v/>
      </c>
      <c r="V144" s="21">
        <f>100*(V10-V9)</f>
        <v/>
      </c>
      <c r="W144" s="21">
        <f>100*(W10-W9)</f>
        <v/>
      </c>
      <c r="X144" s="21">
        <f>100*(X10-X9)</f>
        <v/>
      </c>
      <c r="Y144" s="21">
        <f>100*(Y10-Y9)</f>
        <v/>
      </c>
      <c r="Z144" s="21">
        <f>100*(Z10-Z9)</f>
        <v/>
      </c>
      <c r="AA144" s="21">
        <f>100*(AA10-AA9)</f>
        <v/>
      </c>
      <c r="AB144" s="21">
        <f>100*(AB10-AB9)</f>
        <v/>
      </c>
      <c r="AC144" s="21">
        <f>100*(AC10-AC9)</f>
        <v/>
      </c>
      <c r="AD144" s="21">
        <f>100*(AD10-AD9)</f>
        <v/>
      </c>
      <c r="AE144" s="21">
        <f>100*(AE10-AE9)</f>
        <v/>
      </c>
      <c r="AF144" s="21">
        <f>100*(AF10-AF9)</f>
        <v/>
      </c>
      <c r="AG144" s="21">
        <f>100*(AG10-AG9)</f>
        <v/>
      </c>
      <c r="AH144" s="21">
        <f>100*(AH10-AH9)</f>
        <v/>
      </c>
      <c r="AI144" s="21">
        <f>100*(AI10-AI9)</f>
        <v/>
      </c>
      <c r="AJ144" s="21">
        <f>100*(AJ10-AJ9)</f>
        <v/>
      </c>
      <c r="AK144" s="21">
        <f>100*(AK10-AK9)</f>
        <v/>
      </c>
      <c r="AL144" s="21">
        <f>AVERAGE(C144:AK144)</f>
        <v/>
      </c>
    </row>
    <row r="145">
      <c r="A145" s="19">
        <f>A11</f>
        <v/>
      </c>
      <c r="B145" s="20">
        <f>B11</f>
        <v/>
      </c>
      <c r="C145" s="21">
        <f>100*(C11-C10)</f>
        <v/>
      </c>
      <c r="D145" s="21">
        <f>100*(D11-D10)</f>
        <v/>
      </c>
      <c r="E145" s="21">
        <f>100*(E11-E10)</f>
        <v/>
      </c>
      <c r="F145" s="21">
        <f>100*(F11-F10)</f>
        <v/>
      </c>
      <c r="G145" s="21">
        <f>100*(G11-G10)</f>
        <v/>
      </c>
      <c r="H145" s="21">
        <f>100*(H11-H10)</f>
        <v/>
      </c>
      <c r="I145" s="21">
        <f>100*(I11-I10)</f>
        <v/>
      </c>
      <c r="J145" s="21">
        <f>100*(J11-J10)</f>
        <v/>
      </c>
      <c r="K145" s="21">
        <f>100*(K11-K10)</f>
        <v/>
      </c>
      <c r="L145" s="21">
        <f>100*(L11-L10)</f>
        <v/>
      </c>
      <c r="M145" s="21">
        <f>100*(M11-M10)</f>
        <v/>
      </c>
      <c r="N145" s="21">
        <f>100*(N11-N10)</f>
        <v/>
      </c>
      <c r="O145" s="21">
        <f>100*(O11-O10)</f>
        <v/>
      </c>
      <c r="P145" s="21">
        <f>100*(P11-P10)</f>
        <v/>
      </c>
      <c r="Q145" s="21">
        <f>100*(Q11-Q10)</f>
        <v/>
      </c>
      <c r="R145" s="21">
        <f>100*(R11-R10)</f>
        <v/>
      </c>
      <c r="S145" s="21">
        <f>100*(S11-S10)</f>
        <v/>
      </c>
      <c r="T145" s="21">
        <f>100*(T11-T10)</f>
        <v/>
      </c>
      <c r="U145" s="21">
        <f>100*(U11-U10)</f>
        <v/>
      </c>
      <c r="V145" s="21">
        <f>100*(V11-V10)</f>
        <v/>
      </c>
      <c r="W145" s="21">
        <f>100*(W11-W10)</f>
        <v/>
      </c>
      <c r="X145" s="21">
        <f>100*(X11-X10)</f>
        <v/>
      </c>
      <c r="Y145" s="21">
        <f>100*(Y11-Y10)</f>
        <v/>
      </c>
      <c r="Z145" s="21">
        <f>100*(Z11-Z10)</f>
        <v/>
      </c>
      <c r="AA145" s="21">
        <f>100*(AA11-AA10)</f>
        <v/>
      </c>
      <c r="AB145" s="21">
        <f>100*(AB11-AB10)</f>
        <v/>
      </c>
      <c r="AC145" s="21">
        <f>100*(AC11-AC10)</f>
        <v/>
      </c>
      <c r="AD145" s="21">
        <f>100*(AD11-AD10)</f>
        <v/>
      </c>
      <c r="AE145" s="21">
        <f>100*(AE11-AE10)</f>
        <v/>
      </c>
      <c r="AF145" s="21">
        <f>100*(AF11-AF10)</f>
        <v/>
      </c>
      <c r="AG145" s="21">
        <f>100*(AG11-AG10)</f>
        <v/>
      </c>
      <c r="AH145" s="21">
        <f>100*(AH11-AH10)</f>
        <v/>
      </c>
      <c r="AI145" s="21">
        <f>100*(AI11-AI10)</f>
        <v/>
      </c>
      <c r="AJ145" s="21">
        <f>100*(AJ11-AJ10)</f>
        <v/>
      </c>
      <c r="AK145" s="21">
        <f>100*(AK11-AK10)</f>
        <v/>
      </c>
      <c r="AL145" s="21">
        <f>AVERAGE(C145:AK145)</f>
        <v/>
      </c>
    </row>
    <row r="146">
      <c r="A146" s="19">
        <f>A12</f>
        <v/>
      </c>
      <c r="B146" s="20">
        <f>B12</f>
        <v/>
      </c>
      <c r="C146" s="21">
        <f>100*(C12-C11)</f>
        <v/>
      </c>
      <c r="D146" s="21">
        <f>100*(D12-D11)</f>
        <v/>
      </c>
      <c r="E146" s="21">
        <f>100*(E12-E11)</f>
        <v/>
      </c>
      <c r="F146" s="21">
        <f>100*(F12-F11)</f>
        <v/>
      </c>
      <c r="G146" s="21">
        <f>100*(G12-G11)</f>
        <v/>
      </c>
      <c r="H146" s="21">
        <f>100*(H12-H11)</f>
        <v/>
      </c>
      <c r="I146" s="21">
        <f>100*(I12-I11)</f>
        <v/>
      </c>
      <c r="J146" s="21">
        <f>100*(J12-J11)</f>
        <v/>
      </c>
      <c r="K146" s="21">
        <f>100*(K12-K11)</f>
        <v/>
      </c>
      <c r="L146" s="21">
        <f>100*(L12-L11)</f>
        <v/>
      </c>
      <c r="M146" s="21">
        <f>100*(M12-M11)</f>
        <v/>
      </c>
      <c r="N146" s="21">
        <f>100*(N12-N11)</f>
        <v/>
      </c>
      <c r="O146" s="21">
        <f>100*(O12-O11)</f>
        <v/>
      </c>
      <c r="P146" s="21">
        <f>100*(P12-P11)</f>
        <v/>
      </c>
      <c r="Q146" s="21">
        <f>100*(Q12-Q11)</f>
        <v/>
      </c>
      <c r="R146" s="21">
        <f>100*(R12-R11)</f>
        <v/>
      </c>
      <c r="S146" s="21">
        <f>100*(S12-S11)</f>
        <v/>
      </c>
      <c r="T146" s="21">
        <f>100*(T12-T11)</f>
        <v/>
      </c>
      <c r="U146" s="21">
        <f>100*(U12-U11)</f>
        <v/>
      </c>
      <c r="V146" s="21">
        <f>100*(V12-V11)</f>
        <v/>
      </c>
      <c r="W146" s="21">
        <f>100*(W12-W11)</f>
        <v/>
      </c>
      <c r="X146" s="21">
        <f>100*(X12-X11)</f>
        <v/>
      </c>
      <c r="Y146" s="21">
        <f>100*(Y12-Y11)</f>
        <v/>
      </c>
      <c r="Z146" s="21">
        <f>100*(Z12-Z11)</f>
        <v/>
      </c>
      <c r="AA146" s="21">
        <f>100*(AA12-AA11)</f>
        <v/>
      </c>
      <c r="AB146" s="21">
        <f>100*(AB12-AB11)</f>
        <v/>
      </c>
      <c r="AC146" s="21">
        <f>100*(AC12-AC11)</f>
        <v/>
      </c>
      <c r="AD146" s="21">
        <f>100*(AD12-AD11)</f>
        <v/>
      </c>
      <c r="AE146" s="21">
        <f>100*(AE12-AE11)</f>
        <v/>
      </c>
      <c r="AF146" s="21">
        <f>100*(AF12-AF11)</f>
        <v/>
      </c>
      <c r="AG146" s="21">
        <f>100*(AG12-AG11)</f>
        <v/>
      </c>
      <c r="AH146" s="21">
        <f>100*(AH12-AH11)</f>
        <v/>
      </c>
      <c r="AI146" s="21">
        <f>100*(AI12-AI11)</f>
        <v/>
      </c>
      <c r="AJ146" s="21">
        <f>100*(AJ12-AJ11)</f>
        <v/>
      </c>
      <c r="AK146" s="21">
        <f>100*(AK12-AK11)</f>
        <v/>
      </c>
      <c r="AL146" s="21">
        <f>AVERAGE(C146:AK146)</f>
        <v/>
      </c>
    </row>
    <row r="147">
      <c r="A147" s="19">
        <f>A13</f>
        <v/>
      </c>
      <c r="B147" s="20">
        <f>B13</f>
        <v/>
      </c>
      <c r="C147" s="21">
        <f>100*(C13-C12)</f>
        <v/>
      </c>
      <c r="D147" s="21">
        <f>100*(D13-D12)</f>
        <v/>
      </c>
      <c r="E147" s="21">
        <f>100*(E13-E12)</f>
        <v/>
      </c>
      <c r="F147" s="21">
        <f>100*(F13-F12)</f>
        <v/>
      </c>
      <c r="G147" s="21">
        <f>100*(G13-G12)</f>
        <v/>
      </c>
      <c r="H147" s="21">
        <f>100*(H13-H12)</f>
        <v/>
      </c>
      <c r="I147" s="21">
        <f>100*(I13-I12)</f>
        <v/>
      </c>
      <c r="J147" s="21">
        <f>100*(J13-J12)</f>
        <v/>
      </c>
      <c r="K147" s="21">
        <f>100*(K13-K12)</f>
        <v/>
      </c>
      <c r="L147" s="21">
        <f>100*(L13-L12)</f>
        <v/>
      </c>
      <c r="M147" s="21">
        <f>100*(M13-M12)</f>
        <v/>
      </c>
      <c r="N147" s="21">
        <f>100*(N13-N12)</f>
        <v/>
      </c>
      <c r="O147" s="21">
        <f>100*(O13-O12)</f>
        <v/>
      </c>
      <c r="P147" s="21">
        <f>100*(P13-P12)</f>
        <v/>
      </c>
      <c r="Q147" s="21">
        <f>100*(Q13-Q12)</f>
        <v/>
      </c>
      <c r="R147" s="21">
        <f>100*(R13-R12)</f>
        <v/>
      </c>
      <c r="S147" s="21">
        <f>100*(S13-S12)</f>
        <v/>
      </c>
      <c r="T147" s="21">
        <f>100*(T13-T12)</f>
        <v/>
      </c>
      <c r="U147" s="21">
        <f>100*(U13-U12)</f>
        <v/>
      </c>
      <c r="V147" s="21">
        <f>100*(V13-V12)</f>
        <v/>
      </c>
      <c r="W147" s="21">
        <f>100*(W13-W12)</f>
        <v/>
      </c>
      <c r="X147" s="21">
        <f>100*(X13-X12)</f>
        <v/>
      </c>
      <c r="Y147" s="21">
        <f>100*(Y13-Y12)</f>
        <v/>
      </c>
      <c r="Z147" s="21">
        <f>100*(Z13-Z12)</f>
        <v/>
      </c>
      <c r="AA147" s="21">
        <f>100*(AA13-AA12)</f>
        <v/>
      </c>
      <c r="AB147" s="21">
        <f>100*(AB13-AB12)</f>
        <v/>
      </c>
      <c r="AC147" s="21">
        <f>100*(AC13-AC12)</f>
        <v/>
      </c>
      <c r="AD147" s="21">
        <f>100*(AD13-AD12)</f>
        <v/>
      </c>
      <c r="AE147" s="21">
        <f>100*(AE13-AE12)</f>
        <v/>
      </c>
      <c r="AF147" s="21">
        <f>100*(AF13-AF12)</f>
        <v/>
      </c>
      <c r="AG147" s="21">
        <f>100*(AG13-AG12)</f>
        <v/>
      </c>
      <c r="AH147" s="21">
        <f>100*(AH13-AH12)</f>
        <v/>
      </c>
      <c r="AI147" s="21">
        <f>100*(AI13-AI12)</f>
        <v/>
      </c>
      <c r="AJ147" s="21">
        <f>100*(AJ13-AJ12)</f>
        <v/>
      </c>
      <c r="AK147" s="21">
        <f>100*(AK13-AK12)</f>
        <v/>
      </c>
      <c r="AL147" s="21">
        <f>AVERAGE(C147:AK147)</f>
        <v/>
      </c>
    </row>
    <row r="148">
      <c r="A148" s="19">
        <f>A14</f>
        <v/>
      </c>
      <c r="B148" s="20">
        <f>B14</f>
        <v/>
      </c>
      <c r="C148" s="21">
        <f>100*(C14-C13)</f>
        <v/>
      </c>
      <c r="D148" s="21">
        <f>100*(D14-D13)</f>
        <v/>
      </c>
      <c r="E148" s="21">
        <f>100*(E14-E13)</f>
        <v/>
      </c>
      <c r="F148" s="21">
        <f>100*(F14-F13)</f>
        <v/>
      </c>
      <c r="G148" s="21">
        <f>100*(G14-G13)</f>
        <v/>
      </c>
      <c r="H148" s="21">
        <f>100*(H14-H13)</f>
        <v/>
      </c>
      <c r="I148" s="21">
        <f>100*(I14-I13)</f>
        <v/>
      </c>
      <c r="J148" s="21">
        <f>100*(J14-J13)</f>
        <v/>
      </c>
      <c r="K148" s="21">
        <f>100*(K14-K13)</f>
        <v/>
      </c>
      <c r="L148" s="21">
        <f>100*(L14-L13)</f>
        <v/>
      </c>
      <c r="M148" s="21">
        <f>100*(M14-M13)</f>
        <v/>
      </c>
      <c r="N148" s="21">
        <f>100*(N14-N13)</f>
        <v/>
      </c>
      <c r="O148" s="21">
        <f>100*(O14-O13)</f>
        <v/>
      </c>
      <c r="P148" s="21">
        <f>100*(P14-P13)</f>
        <v/>
      </c>
      <c r="Q148" s="21">
        <f>100*(Q14-Q13)</f>
        <v/>
      </c>
      <c r="R148" s="21">
        <f>100*(R14-R13)</f>
        <v/>
      </c>
      <c r="S148" s="21">
        <f>100*(S14-S13)</f>
        <v/>
      </c>
      <c r="T148" s="21">
        <f>100*(T14-T13)</f>
        <v/>
      </c>
      <c r="U148" s="21">
        <f>100*(U14-U13)</f>
        <v/>
      </c>
      <c r="V148" s="21">
        <f>100*(V14-V13)</f>
        <v/>
      </c>
      <c r="W148" s="21">
        <f>100*(W14-W13)</f>
        <v/>
      </c>
      <c r="X148" s="21">
        <f>100*(X14-X13)</f>
        <v/>
      </c>
      <c r="Y148" s="21">
        <f>100*(Y14-Y13)</f>
        <v/>
      </c>
      <c r="Z148" s="21">
        <f>100*(Z14-Z13)</f>
        <v/>
      </c>
      <c r="AA148" s="21">
        <f>100*(AA14-AA13)</f>
        <v/>
      </c>
      <c r="AB148" s="21">
        <f>100*(AB14-AB13)</f>
        <v/>
      </c>
      <c r="AC148" s="21">
        <f>100*(AC14-AC13)</f>
        <v/>
      </c>
      <c r="AD148" s="21">
        <f>100*(AD14-AD13)</f>
        <v/>
      </c>
      <c r="AE148" s="21">
        <f>100*(AE14-AE13)</f>
        <v/>
      </c>
      <c r="AF148" s="21">
        <f>100*(AF14-AF13)</f>
        <v/>
      </c>
      <c r="AG148" s="21">
        <f>100*(AG14-AG13)</f>
        <v/>
      </c>
      <c r="AH148" s="21">
        <f>100*(AH14-AH13)</f>
        <v/>
      </c>
      <c r="AI148" s="21">
        <f>100*(AI14-AI13)</f>
        <v/>
      </c>
      <c r="AJ148" s="21">
        <f>100*(AJ14-AJ13)</f>
        <v/>
      </c>
      <c r="AK148" s="21">
        <f>100*(AK14-AK13)</f>
        <v/>
      </c>
      <c r="AL148" s="21">
        <f>AVERAGE(C148:AK148)</f>
        <v/>
      </c>
    </row>
    <row r="149">
      <c r="A149" s="19">
        <f>A15</f>
        <v/>
      </c>
      <c r="B149" s="20">
        <f>B15</f>
        <v/>
      </c>
      <c r="C149" s="21">
        <f>100*(C15-C14)</f>
        <v/>
      </c>
      <c r="D149" s="21">
        <f>100*(D15-D14)</f>
        <v/>
      </c>
      <c r="E149" s="21">
        <f>100*(E15-E14)</f>
        <v/>
      </c>
      <c r="F149" s="21">
        <f>100*(F15-F14)</f>
        <v/>
      </c>
      <c r="G149" s="21">
        <f>100*(G15-G14)</f>
        <v/>
      </c>
      <c r="H149" s="21">
        <f>100*(H15-H14)</f>
        <v/>
      </c>
      <c r="I149" s="21">
        <f>100*(I15-I14)</f>
        <v/>
      </c>
      <c r="J149" s="21">
        <f>100*(J15-J14)</f>
        <v/>
      </c>
      <c r="K149" s="21">
        <f>100*(K15-K14)</f>
        <v/>
      </c>
      <c r="L149" s="21">
        <f>100*(L15-L14)</f>
        <v/>
      </c>
      <c r="M149" s="21">
        <f>100*(M15-M14)</f>
        <v/>
      </c>
      <c r="N149" s="21">
        <f>100*(N15-N14)</f>
        <v/>
      </c>
      <c r="O149" s="21">
        <f>100*(O15-O14)</f>
        <v/>
      </c>
      <c r="P149" s="21">
        <f>100*(P15-P14)</f>
        <v/>
      </c>
      <c r="Q149" s="21">
        <f>100*(Q15-Q14)</f>
        <v/>
      </c>
      <c r="R149" s="21">
        <f>100*(R15-R14)</f>
        <v/>
      </c>
      <c r="S149" s="21">
        <f>100*(S15-S14)</f>
        <v/>
      </c>
      <c r="T149" s="21">
        <f>100*(T15-T14)</f>
        <v/>
      </c>
      <c r="U149" s="21">
        <f>100*(U15-U14)</f>
        <v/>
      </c>
      <c r="V149" s="21">
        <f>100*(V15-V14)</f>
        <v/>
      </c>
      <c r="W149" s="21">
        <f>100*(W15-W14)</f>
        <v/>
      </c>
      <c r="X149" s="21">
        <f>100*(X15-X14)</f>
        <v/>
      </c>
      <c r="Y149" s="21">
        <f>100*(Y15-Y14)</f>
        <v/>
      </c>
      <c r="Z149" s="21">
        <f>100*(Z15-Z14)</f>
        <v/>
      </c>
      <c r="AA149" s="21">
        <f>100*(AA15-AA14)</f>
        <v/>
      </c>
      <c r="AB149" s="21">
        <f>100*(AB15-AB14)</f>
        <v/>
      </c>
      <c r="AC149" s="21">
        <f>100*(AC15-AC14)</f>
        <v/>
      </c>
      <c r="AD149" s="21">
        <f>100*(AD15-AD14)</f>
        <v/>
      </c>
      <c r="AE149" s="21">
        <f>100*(AE15-AE14)</f>
        <v/>
      </c>
      <c r="AF149" s="21">
        <f>100*(AF15-AF14)</f>
        <v/>
      </c>
      <c r="AG149" s="21">
        <f>100*(AG15-AG14)</f>
        <v/>
      </c>
      <c r="AH149" s="21">
        <f>100*(AH15-AH14)</f>
        <v/>
      </c>
      <c r="AI149" s="21">
        <f>100*(AI15-AI14)</f>
        <v/>
      </c>
      <c r="AJ149" s="21">
        <f>100*(AJ15-AJ14)</f>
        <v/>
      </c>
      <c r="AK149" s="21">
        <f>100*(AK15-AK14)</f>
        <v/>
      </c>
      <c r="AL149" s="21">
        <f>AVERAGE(C149:AK149)</f>
        <v/>
      </c>
    </row>
    <row r="150">
      <c r="A150" s="19">
        <f>A16</f>
        <v/>
      </c>
      <c r="B150" s="20">
        <f>B16</f>
        <v/>
      </c>
      <c r="C150" s="21">
        <f>100*(C16-C15)</f>
        <v/>
      </c>
      <c r="D150" s="21">
        <f>100*(D16-D15)</f>
        <v/>
      </c>
      <c r="E150" s="21">
        <f>100*(E16-E15)</f>
        <v/>
      </c>
      <c r="F150" s="21">
        <f>100*(F16-F15)</f>
        <v/>
      </c>
      <c r="G150" s="21">
        <f>100*(G16-G15)</f>
        <v/>
      </c>
      <c r="H150" s="21">
        <f>100*(H16-H15)</f>
        <v/>
      </c>
      <c r="I150" s="21">
        <f>100*(I16-I15)</f>
        <v/>
      </c>
      <c r="J150" s="21">
        <f>100*(J16-J15)</f>
        <v/>
      </c>
      <c r="K150" s="21">
        <f>100*(K16-K15)</f>
        <v/>
      </c>
      <c r="L150" s="21">
        <f>100*(L16-L15)</f>
        <v/>
      </c>
      <c r="M150" s="21">
        <f>100*(M16-M15)</f>
        <v/>
      </c>
      <c r="N150" s="21">
        <f>100*(N16-N15)</f>
        <v/>
      </c>
      <c r="O150" s="21">
        <f>100*(O16-O15)</f>
        <v/>
      </c>
      <c r="P150" s="21">
        <f>100*(P16-P15)</f>
        <v/>
      </c>
      <c r="Q150" s="21">
        <f>100*(Q16-Q15)</f>
        <v/>
      </c>
      <c r="R150" s="21">
        <f>100*(R16-R15)</f>
        <v/>
      </c>
      <c r="S150" s="21">
        <f>100*(S16-S15)</f>
        <v/>
      </c>
      <c r="T150" s="21">
        <f>100*(T16-T15)</f>
        <v/>
      </c>
      <c r="U150" s="21">
        <f>100*(U16-U15)</f>
        <v/>
      </c>
      <c r="V150" s="21">
        <f>100*(V16-V15)</f>
        <v/>
      </c>
      <c r="W150" s="21">
        <f>100*(W16-W15)</f>
        <v/>
      </c>
      <c r="X150" s="21">
        <f>100*(X16-X15)</f>
        <v/>
      </c>
      <c r="Y150" s="21">
        <f>100*(Y16-Y15)</f>
        <v/>
      </c>
      <c r="Z150" s="21">
        <f>100*(Z16-Z15)</f>
        <v/>
      </c>
      <c r="AA150" s="21">
        <f>100*(AA16-AA15)</f>
        <v/>
      </c>
      <c r="AB150" s="21">
        <f>100*(AB16-AB15)</f>
        <v/>
      </c>
      <c r="AC150" s="21">
        <f>100*(AC16-AC15)</f>
        <v/>
      </c>
      <c r="AD150" s="21">
        <f>100*(AD16-AD15)</f>
        <v/>
      </c>
      <c r="AE150" s="21">
        <f>100*(AE16-AE15)</f>
        <v/>
      </c>
      <c r="AF150" s="21">
        <f>100*(AF16-AF15)</f>
        <v/>
      </c>
      <c r="AG150" s="21">
        <f>100*(AG16-AG15)</f>
        <v/>
      </c>
      <c r="AH150" s="21">
        <f>100*(AH16-AH15)</f>
        <v/>
      </c>
      <c r="AI150" s="21">
        <f>100*(AI16-AI15)</f>
        <v/>
      </c>
      <c r="AJ150" s="21">
        <f>100*(AJ16-AJ15)</f>
        <v/>
      </c>
      <c r="AK150" s="21">
        <f>100*(AK16-AK15)</f>
        <v/>
      </c>
      <c r="AL150" s="21">
        <f>AVERAGE(C150:AK150)</f>
        <v/>
      </c>
    </row>
    <row r="151">
      <c r="A151" s="19">
        <f>A17</f>
        <v/>
      </c>
      <c r="B151" s="20">
        <f>B17</f>
        <v/>
      </c>
      <c r="C151" s="21">
        <f>100*(C17-C16)</f>
        <v/>
      </c>
      <c r="D151" s="21">
        <f>100*(D17-D16)</f>
        <v/>
      </c>
      <c r="E151" s="21">
        <f>100*(E17-E16)</f>
        <v/>
      </c>
      <c r="F151" s="21">
        <f>100*(F17-F16)</f>
        <v/>
      </c>
      <c r="G151" s="21">
        <f>100*(G17-G16)</f>
        <v/>
      </c>
      <c r="H151" s="21">
        <f>100*(H17-H16)</f>
        <v/>
      </c>
      <c r="I151" s="21">
        <f>100*(I17-I16)</f>
        <v/>
      </c>
      <c r="J151" s="21">
        <f>100*(J17-J16)</f>
        <v/>
      </c>
      <c r="K151" s="21">
        <f>100*(K17-K16)</f>
        <v/>
      </c>
      <c r="L151" s="21">
        <f>100*(L17-L16)</f>
        <v/>
      </c>
      <c r="M151" s="21">
        <f>100*(M17-M16)</f>
        <v/>
      </c>
      <c r="N151" s="21">
        <f>100*(N17-N16)</f>
        <v/>
      </c>
      <c r="O151" s="21">
        <f>100*(O17-O16)</f>
        <v/>
      </c>
      <c r="P151" s="21">
        <f>100*(P17-P16)</f>
        <v/>
      </c>
      <c r="Q151" s="21">
        <f>100*(Q17-Q16)</f>
        <v/>
      </c>
      <c r="R151" s="21">
        <f>100*(R17-R16)</f>
        <v/>
      </c>
      <c r="S151" s="21">
        <f>100*(S17-S16)</f>
        <v/>
      </c>
      <c r="T151" s="21">
        <f>100*(T17-T16)</f>
        <v/>
      </c>
      <c r="U151" s="21">
        <f>100*(U17-U16)</f>
        <v/>
      </c>
      <c r="V151" s="21">
        <f>100*(V17-V16)</f>
        <v/>
      </c>
      <c r="W151" s="21">
        <f>100*(W17-W16)</f>
        <v/>
      </c>
      <c r="X151" s="21">
        <f>100*(X17-X16)</f>
        <v/>
      </c>
      <c r="Y151" s="21">
        <f>100*(Y17-Y16)</f>
        <v/>
      </c>
      <c r="Z151" s="21">
        <f>100*(Z17-Z16)</f>
        <v/>
      </c>
      <c r="AA151" s="21">
        <f>100*(AA17-AA16)</f>
        <v/>
      </c>
      <c r="AB151" s="21">
        <f>100*(AB17-AB16)</f>
        <v/>
      </c>
      <c r="AC151" s="21">
        <f>100*(AC17-AC16)</f>
        <v/>
      </c>
      <c r="AD151" s="21">
        <f>100*(AD17-AD16)</f>
        <v/>
      </c>
      <c r="AE151" s="21">
        <f>100*(AE17-AE16)</f>
        <v/>
      </c>
      <c r="AF151" s="21">
        <f>100*(AF17-AF16)</f>
        <v/>
      </c>
      <c r="AG151" s="21">
        <f>100*(AG17-AG16)</f>
        <v/>
      </c>
      <c r="AH151" s="21">
        <f>100*(AH17-AH16)</f>
        <v/>
      </c>
      <c r="AI151" s="21">
        <f>100*(AI17-AI16)</f>
        <v/>
      </c>
      <c r="AJ151" s="21">
        <f>100*(AJ17-AJ16)</f>
        <v/>
      </c>
      <c r="AK151" s="21">
        <f>100*(AK17-AK16)</f>
        <v/>
      </c>
      <c r="AL151" s="21">
        <f>AVERAGE(C151:AK151)</f>
        <v/>
      </c>
    </row>
    <row r="152">
      <c r="A152" s="19">
        <f>A18</f>
        <v/>
      </c>
      <c r="B152" s="20">
        <f>B18</f>
        <v/>
      </c>
      <c r="C152" s="21">
        <f>100*(C18-C17)</f>
        <v/>
      </c>
      <c r="D152" s="21">
        <f>100*(D18-D17)</f>
        <v/>
      </c>
      <c r="E152" s="21">
        <f>100*(E18-E17)</f>
        <v/>
      </c>
      <c r="F152" s="21">
        <f>100*(F18-F17)</f>
        <v/>
      </c>
      <c r="G152" s="21">
        <f>100*(G18-G17)</f>
        <v/>
      </c>
      <c r="H152" s="21">
        <f>100*(H18-H17)</f>
        <v/>
      </c>
      <c r="I152" s="21">
        <f>100*(I18-I17)</f>
        <v/>
      </c>
      <c r="J152" s="21">
        <f>100*(J18-J17)</f>
        <v/>
      </c>
      <c r="K152" s="21">
        <f>100*(K18-K17)</f>
        <v/>
      </c>
      <c r="L152" s="21">
        <f>100*(L18-L17)</f>
        <v/>
      </c>
      <c r="M152" s="21">
        <f>100*(M18-M17)</f>
        <v/>
      </c>
      <c r="N152" s="21">
        <f>100*(N18-N17)</f>
        <v/>
      </c>
      <c r="O152" s="21">
        <f>100*(O18-O17)</f>
        <v/>
      </c>
      <c r="P152" s="21">
        <f>100*(P18-P17)</f>
        <v/>
      </c>
      <c r="Q152" s="21">
        <f>100*(Q18-Q17)</f>
        <v/>
      </c>
      <c r="R152" s="21">
        <f>100*(R18-R17)</f>
        <v/>
      </c>
      <c r="S152" s="21">
        <f>100*(S18-S17)</f>
        <v/>
      </c>
      <c r="T152" s="21">
        <f>100*(T18-T17)</f>
        <v/>
      </c>
      <c r="U152" s="21">
        <f>100*(U18-U17)</f>
        <v/>
      </c>
      <c r="V152" s="21">
        <f>100*(V18-V17)</f>
        <v/>
      </c>
      <c r="W152" s="21">
        <f>100*(W18-W17)</f>
        <v/>
      </c>
      <c r="X152" s="21">
        <f>100*(X18-X17)</f>
        <v/>
      </c>
      <c r="Y152" s="21">
        <f>100*(Y18-Y17)</f>
        <v/>
      </c>
      <c r="Z152" s="21">
        <f>100*(Z18-Z17)</f>
        <v/>
      </c>
      <c r="AA152" s="21">
        <f>100*(AA18-AA17)</f>
        <v/>
      </c>
      <c r="AB152" s="21">
        <f>100*(AB18-AB17)</f>
        <v/>
      </c>
      <c r="AC152" s="21">
        <f>100*(AC18-AC17)</f>
        <v/>
      </c>
      <c r="AD152" s="21">
        <f>100*(AD18-AD17)</f>
        <v/>
      </c>
      <c r="AE152" s="21">
        <f>100*(AE18-AE17)</f>
        <v/>
      </c>
      <c r="AF152" s="21">
        <f>100*(AF18-AF17)</f>
        <v/>
      </c>
      <c r="AG152" s="21">
        <f>100*(AG18-AG17)</f>
        <v/>
      </c>
      <c r="AH152" s="21">
        <f>100*(AH18-AH17)</f>
        <v/>
      </c>
      <c r="AI152" s="21">
        <f>100*(AI18-AI17)</f>
        <v/>
      </c>
      <c r="AJ152" s="21">
        <f>100*(AJ18-AJ17)</f>
        <v/>
      </c>
      <c r="AK152" s="21">
        <f>100*(AK18-AK17)</f>
        <v/>
      </c>
      <c r="AL152" s="21">
        <f>AVERAGE(C152:AK152)</f>
        <v/>
      </c>
    </row>
    <row r="153">
      <c r="A153" s="19">
        <f>A19</f>
        <v/>
      </c>
      <c r="B153" s="20">
        <f>B19</f>
        <v/>
      </c>
      <c r="C153" s="21">
        <f>100*(C19-C18)</f>
        <v/>
      </c>
      <c r="D153" s="21">
        <f>100*(D19-D18)</f>
        <v/>
      </c>
      <c r="E153" s="21">
        <f>100*(E19-E18)</f>
        <v/>
      </c>
      <c r="F153" s="21">
        <f>100*(F19-F18)</f>
        <v/>
      </c>
      <c r="G153" s="21">
        <f>100*(G19-G18)</f>
        <v/>
      </c>
      <c r="H153" s="21">
        <f>100*(H19-H18)</f>
        <v/>
      </c>
      <c r="I153" s="21">
        <f>100*(I19-I18)</f>
        <v/>
      </c>
      <c r="J153" s="21">
        <f>100*(J19-J18)</f>
        <v/>
      </c>
      <c r="K153" s="21">
        <f>100*(K19-K18)</f>
        <v/>
      </c>
      <c r="L153" s="21">
        <f>100*(L19-L18)</f>
        <v/>
      </c>
      <c r="M153" s="21">
        <f>100*(M19-M18)</f>
        <v/>
      </c>
      <c r="N153" s="21">
        <f>100*(N19-N18)</f>
        <v/>
      </c>
      <c r="O153" s="21">
        <f>100*(O19-O18)</f>
        <v/>
      </c>
      <c r="P153" s="21">
        <f>100*(P19-P18)</f>
        <v/>
      </c>
      <c r="Q153" s="21">
        <f>100*(Q19-Q18)</f>
        <v/>
      </c>
      <c r="R153" s="21">
        <f>100*(R19-R18)</f>
        <v/>
      </c>
      <c r="S153" s="21">
        <f>100*(S19-S18)</f>
        <v/>
      </c>
      <c r="T153" s="21">
        <f>100*(T19-T18)</f>
        <v/>
      </c>
      <c r="U153" s="21">
        <f>100*(U19-U18)</f>
        <v/>
      </c>
      <c r="V153" s="21">
        <f>100*(V19-V18)</f>
        <v/>
      </c>
      <c r="W153" s="21">
        <f>100*(W19-W18)</f>
        <v/>
      </c>
      <c r="X153" s="21">
        <f>100*(X19-X18)</f>
        <v/>
      </c>
      <c r="Y153" s="21">
        <f>100*(Y19-Y18)</f>
        <v/>
      </c>
      <c r="Z153" s="21">
        <f>100*(Z19-Z18)</f>
        <v/>
      </c>
      <c r="AA153" s="21">
        <f>100*(AA19-AA18)</f>
        <v/>
      </c>
      <c r="AB153" s="21">
        <f>100*(AB19-AB18)</f>
        <v/>
      </c>
      <c r="AC153" s="21">
        <f>100*(AC19-AC18)</f>
        <v/>
      </c>
      <c r="AD153" s="21">
        <f>100*(AD19-AD18)</f>
        <v/>
      </c>
      <c r="AE153" s="21">
        <f>100*(AE19-AE18)</f>
        <v/>
      </c>
      <c r="AF153" s="21">
        <f>100*(AF19-AF18)</f>
        <v/>
      </c>
      <c r="AG153" s="21">
        <f>100*(AG19-AG18)</f>
        <v/>
      </c>
      <c r="AH153" s="21">
        <f>100*(AH19-AH18)</f>
        <v/>
      </c>
      <c r="AI153" s="21">
        <f>100*(AI19-AI18)</f>
        <v/>
      </c>
      <c r="AJ153" s="21">
        <f>100*(AJ19-AJ18)</f>
        <v/>
      </c>
      <c r="AK153" s="21">
        <f>100*(AK19-AK18)</f>
        <v/>
      </c>
      <c r="AL153" s="21">
        <f>AVERAGE(C153:AK153)</f>
        <v/>
      </c>
    </row>
    <row r="154">
      <c r="A154" s="19">
        <f>A20</f>
        <v/>
      </c>
      <c r="B154" s="20">
        <f>B20</f>
        <v/>
      </c>
      <c r="C154" s="21">
        <f>100*(C20-C19)</f>
        <v/>
      </c>
      <c r="D154" s="21">
        <f>100*(D20-D19)</f>
        <v/>
      </c>
      <c r="E154" s="21">
        <f>100*(E20-E19)</f>
        <v/>
      </c>
      <c r="F154" s="21">
        <f>100*(F20-F19)</f>
        <v/>
      </c>
      <c r="G154" s="21">
        <f>100*(G20-G19)</f>
        <v/>
      </c>
      <c r="H154" s="21">
        <f>100*(H20-H19)</f>
        <v/>
      </c>
      <c r="I154" s="21">
        <f>100*(I20-I19)</f>
        <v/>
      </c>
      <c r="J154" s="21">
        <f>100*(J20-J19)</f>
        <v/>
      </c>
      <c r="K154" s="21">
        <f>100*(K20-K19)</f>
        <v/>
      </c>
      <c r="L154" s="21">
        <f>100*(L20-L19)</f>
        <v/>
      </c>
      <c r="M154" s="21">
        <f>100*(M20-M19)</f>
        <v/>
      </c>
      <c r="N154" s="21">
        <f>100*(N20-N19)</f>
        <v/>
      </c>
      <c r="O154" s="21">
        <f>100*(O20-O19)</f>
        <v/>
      </c>
      <c r="P154" s="21">
        <f>100*(P20-P19)</f>
        <v/>
      </c>
      <c r="Q154" s="21">
        <f>100*(Q20-Q19)</f>
        <v/>
      </c>
      <c r="R154" s="21">
        <f>100*(R20-R19)</f>
        <v/>
      </c>
      <c r="S154" s="21">
        <f>100*(S20-S19)</f>
        <v/>
      </c>
      <c r="T154" s="21">
        <f>100*(T20-T19)</f>
        <v/>
      </c>
      <c r="U154" s="21">
        <f>100*(U20-U19)</f>
        <v/>
      </c>
      <c r="V154" s="21">
        <f>100*(V20-V19)</f>
        <v/>
      </c>
      <c r="W154" s="21">
        <f>100*(W20-W19)</f>
        <v/>
      </c>
      <c r="X154" s="21">
        <f>100*(X20-X19)</f>
        <v/>
      </c>
      <c r="Y154" s="21">
        <f>100*(Y20-Y19)</f>
        <v/>
      </c>
      <c r="Z154" s="21">
        <f>100*(Z20-Z19)</f>
        <v/>
      </c>
      <c r="AA154" s="21">
        <f>100*(AA20-AA19)</f>
        <v/>
      </c>
      <c r="AB154" s="21">
        <f>100*(AB20-AB19)</f>
        <v/>
      </c>
      <c r="AC154" s="21">
        <f>100*(AC20-AC19)</f>
        <v/>
      </c>
      <c r="AD154" s="21">
        <f>100*(AD20-AD19)</f>
        <v/>
      </c>
      <c r="AE154" s="21">
        <f>100*(AE20-AE19)</f>
        <v/>
      </c>
      <c r="AF154" s="21">
        <f>100*(AF20-AF19)</f>
        <v/>
      </c>
      <c r="AG154" s="21">
        <f>100*(AG20-AG19)</f>
        <v/>
      </c>
      <c r="AH154" s="21">
        <f>100*(AH20-AH19)</f>
        <v/>
      </c>
      <c r="AI154" s="21">
        <f>100*(AI20-AI19)</f>
        <v/>
      </c>
      <c r="AJ154" s="21">
        <f>100*(AJ20-AJ19)</f>
        <v/>
      </c>
      <c r="AK154" s="21">
        <f>100*(AK20-AK19)</f>
        <v/>
      </c>
      <c r="AL154" s="21">
        <f>AVERAGE(C154:AK154)</f>
        <v/>
      </c>
    </row>
    <row r="155">
      <c r="A155" s="19">
        <f>A21</f>
        <v/>
      </c>
      <c r="B155" s="20">
        <f>B21</f>
        <v/>
      </c>
      <c r="C155" s="21">
        <f>100*(C21-C20)</f>
        <v/>
      </c>
      <c r="D155" s="21">
        <f>100*(D21-D20)</f>
        <v/>
      </c>
      <c r="E155" s="21">
        <f>100*(E21-E20)</f>
        <v/>
      </c>
      <c r="F155" s="21">
        <f>100*(F21-F20)</f>
        <v/>
      </c>
      <c r="G155" s="21">
        <f>100*(G21-G20)</f>
        <v/>
      </c>
      <c r="H155" s="21">
        <f>100*(H21-H20)</f>
        <v/>
      </c>
      <c r="I155" s="21">
        <f>100*(I21-I20)</f>
        <v/>
      </c>
      <c r="J155" s="21">
        <f>100*(J21-J20)</f>
        <v/>
      </c>
      <c r="K155" s="21">
        <f>100*(K21-K20)</f>
        <v/>
      </c>
      <c r="L155" s="21">
        <f>100*(L21-L20)</f>
        <v/>
      </c>
      <c r="M155" s="21">
        <f>100*(M21-M20)</f>
        <v/>
      </c>
      <c r="N155" s="21">
        <f>100*(N21-N20)</f>
        <v/>
      </c>
      <c r="O155" s="21">
        <f>100*(O21-O20)</f>
        <v/>
      </c>
      <c r="P155" s="21">
        <f>100*(P21-P20)</f>
        <v/>
      </c>
      <c r="Q155" s="21">
        <f>100*(Q21-Q20)</f>
        <v/>
      </c>
      <c r="R155" s="21">
        <f>100*(R21-R20)</f>
        <v/>
      </c>
      <c r="S155" s="21">
        <f>100*(S21-S20)</f>
        <v/>
      </c>
      <c r="T155" s="21">
        <f>100*(T21-T20)</f>
        <v/>
      </c>
      <c r="U155" s="21">
        <f>100*(U21-U20)</f>
        <v/>
      </c>
      <c r="V155" s="21">
        <f>100*(V21-V20)</f>
        <v/>
      </c>
      <c r="W155" s="21">
        <f>100*(W21-W20)</f>
        <v/>
      </c>
      <c r="X155" s="21">
        <f>100*(X21-X20)</f>
        <v/>
      </c>
      <c r="Y155" s="21">
        <f>100*(Y21-Y20)</f>
        <v/>
      </c>
      <c r="Z155" s="21">
        <f>100*(Z21-Z20)</f>
        <v/>
      </c>
      <c r="AA155" s="21">
        <f>100*(AA21-AA20)</f>
        <v/>
      </c>
      <c r="AB155" s="21">
        <f>100*(AB21-AB20)</f>
        <v/>
      </c>
      <c r="AC155" s="21">
        <f>100*(AC21-AC20)</f>
        <v/>
      </c>
      <c r="AD155" s="21">
        <f>100*(AD21-AD20)</f>
        <v/>
      </c>
      <c r="AE155" s="21">
        <f>100*(AE21-AE20)</f>
        <v/>
      </c>
      <c r="AF155" s="21">
        <f>100*(AF21-AF20)</f>
        <v/>
      </c>
      <c r="AG155" s="21">
        <f>100*(AG21-AG20)</f>
        <v/>
      </c>
      <c r="AH155" s="21">
        <f>100*(AH21-AH20)</f>
        <v/>
      </c>
      <c r="AI155" s="21">
        <f>100*(AI21-AI20)</f>
        <v/>
      </c>
      <c r="AJ155" s="21">
        <f>100*(AJ21-AJ20)</f>
        <v/>
      </c>
      <c r="AK155" s="21">
        <f>100*(AK21-AK20)</f>
        <v/>
      </c>
      <c r="AL155" s="21">
        <f>AVERAGE(C155:AK155)</f>
        <v/>
      </c>
    </row>
    <row r="156">
      <c r="A156" s="19">
        <f>A22</f>
        <v/>
      </c>
      <c r="B156" s="20">
        <f>B22</f>
        <v/>
      </c>
      <c r="C156" s="21">
        <f>100*(C22-C21)</f>
        <v/>
      </c>
      <c r="D156" s="21">
        <f>100*(D22-D21)</f>
        <v/>
      </c>
      <c r="E156" s="21">
        <f>100*(E22-E21)</f>
        <v/>
      </c>
      <c r="F156" s="21">
        <f>100*(F22-F21)</f>
        <v/>
      </c>
      <c r="G156" s="21">
        <f>100*(G22-G21)</f>
        <v/>
      </c>
      <c r="H156" s="21">
        <f>100*(H22-H21)</f>
        <v/>
      </c>
      <c r="I156" s="21">
        <f>100*(I22-I21)</f>
        <v/>
      </c>
      <c r="J156" s="21">
        <f>100*(J22-J21)</f>
        <v/>
      </c>
      <c r="K156" s="21">
        <f>100*(K22-K21)</f>
        <v/>
      </c>
      <c r="L156" s="21">
        <f>100*(L22-L21)</f>
        <v/>
      </c>
      <c r="M156" s="21">
        <f>100*(M22-M21)</f>
        <v/>
      </c>
      <c r="N156" s="21">
        <f>100*(N22-N21)</f>
        <v/>
      </c>
      <c r="O156" s="21">
        <f>100*(O22-O21)</f>
        <v/>
      </c>
      <c r="P156" s="21">
        <f>100*(P22-P21)</f>
        <v/>
      </c>
      <c r="Q156" s="21">
        <f>100*(Q22-Q21)</f>
        <v/>
      </c>
      <c r="R156" s="21">
        <f>100*(R22-R21)</f>
        <v/>
      </c>
      <c r="S156" s="21">
        <f>100*(S22-S21)</f>
        <v/>
      </c>
      <c r="T156" s="21">
        <f>100*(T22-T21)</f>
        <v/>
      </c>
      <c r="U156" s="21">
        <f>100*(U22-U21)</f>
        <v/>
      </c>
      <c r="V156" s="21">
        <f>100*(V22-V21)</f>
        <v/>
      </c>
      <c r="W156" s="21">
        <f>100*(W22-W21)</f>
        <v/>
      </c>
      <c r="X156" s="21">
        <f>100*(X22-X21)</f>
        <v/>
      </c>
      <c r="Y156" s="21">
        <f>100*(Y22-Y21)</f>
        <v/>
      </c>
      <c r="Z156" s="21">
        <f>100*(Z22-Z21)</f>
        <v/>
      </c>
      <c r="AA156" s="21">
        <f>100*(AA22-AA21)</f>
        <v/>
      </c>
      <c r="AB156" s="21">
        <f>100*(AB22-AB21)</f>
        <v/>
      </c>
      <c r="AC156" s="21">
        <f>100*(AC22-AC21)</f>
        <v/>
      </c>
      <c r="AD156" s="21">
        <f>100*(AD22-AD21)</f>
        <v/>
      </c>
      <c r="AE156" s="21">
        <f>100*(AE22-AE21)</f>
        <v/>
      </c>
      <c r="AF156" s="21">
        <f>100*(AF22-AF21)</f>
        <v/>
      </c>
      <c r="AG156" s="21">
        <f>100*(AG22-AG21)</f>
        <v/>
      </c>
      <c r="AH156" s="21">
        <f>100*(AH22-AH21)</f>
        <v/>
      </c>
      <c r="AI156" s="21">
        <f>100*(AI22-AI21)</f>
        <v/>
      </c>
      <c r="AJ156" s="21">
        <f>100*(AJ22-AJ21)</f>
        <v/>
      </c>
      <c r="AK156" s="21">
        <f>100*(AK22-AK21)</f>
        <v/>
      </c>
      <c r="AL156" s="21">
        <f>AVERAGE(C156:AK156)</f>
        <v/>
      </c>
    </row>
    <row r="157">
      <c r="A157" s="19">
        <f>A23</f>
        <v/>
      </c>
      <c r="B157" s="20">
        <f>B23</f>
        <v/>
      </c>
      <c r="C157" s="21">
        <f>100*(C23-C22)</f>
        <v/>
      </c>
      <c r="D157" s="21">
        <f>100*(D23-D22)</f>
        <v/>
      </c>
      <c r="E157" s="21">
        <f>100*(E23-E22)</f>
        <v/>
      </c>
      <c r="F157" s="21">
        <f>100*(F23-F22)</f>
        <v/>
      </c>
      <c r="G157" s="21">
        <f>100*(G23-G22)</f>
        <v/>
      </c>
      <c r="H157" s="21">
        <f>100*(H23-H22)</f>
        <v/>
      </c>
      <c r="I157" s="21">
        <f>100*(I23-I22)</f>
        <v/>
      </c>
      <c r="J157" s="21">
        <f>100*(J23-J22)</f>
        <v/>
      </c>
      <c r="K157" s="21">
        <f>100*(K23-K22)</f>
        <v/>
      </c>
      <c r="L157" s="21">
        <f>100*(L23-L22)</f>
        <v/>
      </c>
      <c r="M157" s="21">
        <f>100*(M23-M22)</f>
        <v/>
      </c>
      <c r="N157" s="21">
        <f>100*(N23-N22)</f>
        <v/>
      </c>
      <c r="O157" s="21">
        <f>100*(O23-O22)</f>
        <v/>
      </c>
      <c r="P157" s="21">
        <f>100*(P23-P22)</f>
        <v/>
      </c>
      <c r="Q157" s="21">
        <f>100*(Q23-Q22)</f>
        <v/>
      </c>
      <c r="R157" s="21">
        <f>100*(R23-R22)</f>
        <v/>
      </c>
      <c r="S157" s="21">
        <f>100*(S23-S22)</f>
        <v/>
      </c>
      <c r="T157" s="21">
        <f>100*(T23-T22)</f>
        <v/>
      </c>
      <c r="U157" s="21">
        <f>100*(U23-U22)</f>
        <v/>
      </c>
      <c r="V157" s="21">
        <f>100*(V23-V22)</f>
        <v/>
      </c>
      <c r="W157" s="21">
        <f>100*(W23-W22)</f>
        <v/>
      </c>
      <c r="X157" s="21">
        <f>100*(X23-X22)</f>
        <v/>
      </c>
      <c r="Y157" s="21">
        <f>100*(Y23-Y22)</f>
        <v/>
      </c>
      <c r="Z157" s="21">
        <f>100*(Z23-Z22)</f>
        <v/>
      </c>
      <c r="AA157" s="21">
        <f>100*(AA23-AA22)</f>
        <v/>
      </c>
      <c r="AB157" s="21">
        <f>100*(AB23-AB22)</f>
        <v/>
      </c>
      <c r="AC157" s="21">
        <f>100*(AC23-AC22)</f>
        <v/>
      </c>
      <c r="AD157" s="21">
        <f>100*(AD23-AD22)</f>
        <v/>
      </c>
      <c r="AE157" s="21">
        <f>100*(AE23-AE22)</f>
        <v/>
      </c>
      <c r="AF157" s="21">
        <f>100*(AF23-AF22)</f>
        <v/>
      </c>
      <c r="AG157" s="21">
        <f>100*(AG23-AG22)</f>
        <v/>
      </c>
      <c r="AH157" s="21">
        <f>100*(AH23-AH22)</f>
        <v/>
      </c>
      <c r="AI157" s="21">
        <f>100*(AI23-AI22)</f>
        <v/>
      </c>
      <c r="AJ157" s="21">
        <f>100*(AJ23-AJ22)</f>
        <v/>
      </c>
      <c r="AK157" s="21">
        <f>100*(AK23-AK22)</f>
        <v/>
      </c>
      <c r="AL157" s="21">
        <f>AVERAGE(C157:AK157)</f>
        <v/>
      </c>
    </row>
    <row r="158">
      <c r="A158" s="19">
        <f>A24</f>
        <v/>
      </c>
      <c r="B158" s="20">
        <f>B24</f>
        <v/>
      </c>
      <c r="C158" s="21">
        <f>100*(C24-C23)</f>
        <v/>
      </c>
      <c r="D158" s="21">
        <f>100*(D24-D23)</f>
        <v/>
      </c>
      <c r="E158" s="21">
        <f>100*(E24-E23)</f>
        <v/>
      </c>
      <c r="F158" s="21">
        <f>100*(F24-F23)</f>
        <v/>
      </c>
      <c r="G158" s="21">
        <f>100*(G24-G23)</f>
        <v/>
      </c>
      <c r="H158" s="21">
        <f>100*(H24-H23)</f>
        <v/>
      </c>
      <c r="I158" s="21">
        <f>100*(I24-I23)</f>
        <v/>
      </c>
      <c r="J158" s="21">
        <f>100*(J24-J23)</f>
        <v/>
      </c>
      <c r="K158" s="21">
        <f>100*(K24-K23)</f>
        <v/>
      </c>
      <c r="L158" s="21">
        <f>100*(L24-L23)</f>
        <v/>
      </c>
      <c r="M158" s="21">
        <f>100*(M24-M23)</f>
        <v/>
      </c>
      <c r="N158" s="21">
        <f>100*(N24-N23)</f>
        <v/>
      </c>
      <c r="O158" s="21">
        <f>100*(O24-O23)</f>
        <v/>
      </c>
      <c r="P158" s="21">
        <f>100*(P24-P23)</f>
        <v/>
      </c>
      <c r="Q158" s="21">
        <f>100*(Q24-Q23)</f>
        <v/>
      </c>
      <c r="R158" s="21">
        <f>100*(R24-R23)</f>
        <v/>
      </c>
      <c r="S158" s="21">
        <f>100*(S24-S23)</f>
        <v/>
      </c>
      <c r="T158" s="21">
        <f>100*(T24-T23)</f>
        <v/>
      </c>
      <c r="U158" s="21">
        <f>100*(U24-U23)</f>
        <v/>
      </c>
      <c r="V158" s="21">
        <f>100*(V24-V23)</f>
        <v/>
      </c>
      <c r="W158" s="21">
        <f>100*(W24-W23)</f>
        <v/>
      </c>
      <c r="X158" s="21">
        <f>100*(X24-X23)</f>
        <v/>
      </c>
      <c r="Y158" s="21">
        <f>100*(Y24-Y23)</f>
        <v/>
      </c>
      <c r="Z158" s="21">
        <f>100*(Z24-Z23)</f>
        <v/>
      </c>
      <c r="AA158" s="21">
        <f>100*(AA24-AA23)</f>
        <v/>
      </c>
      <c r="AB158" s="21">
        <f>100*(AB24-AB23)</f>
        <v/>
      </c>
      <c r="AC158" s="21">
        <f>100*(AC24-AC23)</f>
        <v/>
      </c>
      <c r="AD158" s="21">
        <f>100*(AD24-AD23)</f>
        <v/>
      </c>
      <c r="AE158" s="21">
        <f>100*(AE24-AE23)</f>
        <v/>
      </c>
      <c r="AF158" s="21">
        <f>100*(AF24-AF23)</f>
        <v/>
      </c>
      <c r="AG158" s="21">
        <f>100*(AG24-AG23)</f>
        <v/>
      </c>
      <c r="AH158" s="21">
        <f>100*(AH24-AH23)</f>
        <v/>
      </c>
      <c r="AI158" s="21">
        <f>100*(AI24-AI23)</f>
        <v/>
      </c>
      <c r="AJ158" s="21">
        <f>100*(AJ24-AJ23)</f>
        <v/>
      </c>
      <c r="AK158" s="21">
        <f>100*(AK24-AK23)</f>
        <v/>
      </c>
      <c r="AL158" s="21">
        <f>AVERAGE(C158:AK158)</f>
        <v/>
      </c>
    </row>
    <row r="159">
      <c r="A159" s="19">
        <f>A25</f>
        <v/>
      </c>
      <c r="B159" s="20">
        <f>B25</f>
        <v/>
      </c>
      <c r="C159" s="21">
        <f>100*(C25-C24)</f>
        <v/>
      </c>
      <c r="D159" s="21">
        <f>100*(D25-D24)</f>
        <v/>
      </c>
      <c r="E159" s="21">
        <f>100*(E25-E24)</f>
        <v/>
      </c>
      <c r="F159" s="21">
        <f>100*(F25-F24)</f>
        <v/>
      </c>
      <c r="G159" s="21">
        <f>100*(G25-G24)</f>
        <v/>
      </c>
      <c r="H159" s="21">
        <f>100*(H25-H24)</f>
        <v/>
      </c>
      <c r="I159" s="21">
        <f>100*(I25-I24)</f>
        <v/>
      </c>
      <c r="J159" s="21">
        <f>100*(J25-J24)</f>
        <v/>
      </c>
      <c r="K159" s="21">
        <f>100*(K25-K24)</f>
        <v/>
      </c>
      <c r="L159" s="21">
        <f>100*(L25-L24)</f>
        <v/>
      </c>
      <c r="M159" s="21">
        <f>100*(M25-M24)</f>
        <v/>
      </c>
      <c r="N159" s="21">
        <f>100*(N25-N24)</f>
        <v/>
      </c>
      <c r="O159" s="21">
        <f>100*(O25-O24)</f>
        <v/>
      </c>
      <c r="P159" s="21">
        <f>100*(P25-P24)</f>
        <v/>
      </c>
      <c r="Q159" s="21">
        <f>100*(Q25-Q24)</f>
        <v/>
      </c>
      <c r="R159" s="21">
        <f>100*(R25-R24)</f>
        <v/>
      </c>
      <c r="S159" s="21">
        <f>100*(S25-S24)</f>
        <v/>
      </c>
      <c r="T159" s="21">
        <f>100*(T25-T24)</f>
        <v/>
      </c>
      <c r="U159" s="21">
        <f>100*(U25-U24)</f>
        <v/>
      </c>
      <c r="V159" s="21">
        <f>100*(V25-V24)</f>
        <v/>
      </c>
      <c r="W159" s="21">
        <f>100*(W25-W24)</f>
        <v/>
      </c>
      <c r="X159" s="21">
        <f>100*(X25-X24)</f>
        <v/>
      </c>
      <c r="Y159" s="21">
        <f>100*(Y25-Y24)</f>
        <v/>
      </c>
      <c r="Z159" s="21">
        <f>100*(Z25-Z24)</f>
        <v/>
      </c>
      <c r="AA159" s="21">
        <f>100*(AA25-AA24)</f>
        <v/>
      </c>
      <c r="AB159" s="21">
        <f>100*(AB25-AB24)</f>
        <v/>
      </c>
      <c r="AC159" s="21">
        <f>100*(AC25-AC24)</f>
        <v/>
      </c>
      <c r="AD159" s="21">
        <f>100*(AD25-AD24)</f>
        <v/>
      </c>
      <c r="AE159" s="21">
        <f>100*(AE25-AE24)</f>
        <v/>
      </c>
      <c r="AF159" s="21">
        <f>100*(AF25-AF24)</f>
        <v/>
      </c>
      <c r="AG159" s="21">
        <f>100*(AG25-AG24)</f>
        <v/>
      </c>
      <c r="AH159" s="21">
        <f>100*(AH25-AH24)</f>
        <v/>
      </c>
      <c r="AI159" s="21">
        <f>100*(AI25-AI24)</f>
        <v/>
      </c>
      <c r="AJ159" s="21">
        <f>100*(AJ25-AJ24)</f>
        <v/>
      </c>
      <c r="AK159" s="21">
        <f>100*(AK25-AK24)</f>
        <v/>
      </c>
      <c r="AL159" s="21">
        <f>AVERAGE(C159:AK159)</f>
        <v/>
      </c>
    </row>
    <row r="160">
      <c r="A160" s="19">
        <f>A26</f>
        <v/>
      </c>
      <c r="B160" s="20">
        <f>B26</f>
        <v/>
      </c>
      <c r="C160" s="21">
        <f>100*(C26-C25)</f>
        <v/>
      </c>
      <c r="D160" s="21">
        <f>100*(D26-D25)</f>
        <v/>
      </c>
      <c r="E160" s="21">
        <f>100*(E26-E25)</f>
        <v/>
      </c>
      <c r="F160" s="21">
        <f>100*(F26-F25)</f>
        <v/>
      </c>
      <c r="G160" s="21">
        <f>100*(G26-G25)</f>
        <v/>
      </c>
      <c r="H160" s="21">
        <f>100*(H26-H25)</f>
        <v/>
      </c>
      <c r="I160" s="21">
        <f>100*(I26-I25)</f>
        <v/>
      </c>
      <c r="J160" s="21">
        <f>100*(J26-J25)</f>
        <v/>
      </c>
      <c r="K160" s="21">
        <f>100*(K26-K25)</f>
        <v/>
      </c>
      <c r="L160" s="21">
        <f>100*(L26-L25)</f>
        <v/>
      </c>
      <c r="M160" s="21">
        <f>100*(M26-M25)</f>
        <v/>
      </c>
      <c r="N160" s="21">
        <f>100*(N26-N25)</f>
        <v/>
      </c>
      <c r="O160" s="21">
        <f>100*(O26-O25)</f>
        <v/>
      </c>
      <c r="P160" s="21">
        <f>100*(P26-P25)</f>
        <v/>
      </c>
      <c r="Q160" s="21">
        <f>100*(Q26-Q25)</f>
        <v/>
      </c>
      <c r="R160" s="21">
        <f>100*(R26-R25)</f>
        <v/>
      </c>
      <c r="S160" s="21">
        <f>100*(S26-S25)</f>
        <v/>
      </c>
      <c r="T160" s="21">
        <f>100*(T26-T25)</f>
        <v/>
      </c>
      <c r="U160" s="21">
        <f>100*(U26-U25)</f>
        <v/>
      </c>
      <c r="V160" s="21">
        <f>100*(V26-V25)</f>
        <v/>
      </c>
      <c r="W160" s="21">
        <f>100*(W26-W25)</f>
        <v/>
      </c>
      <c r="X160" s="21">
        <f>100*(X26-X25)</f>
        <v/>
      </c>
      <c r="Y160" s="21">
        <f>100*(Y26-Y25)</f>
        <v/>
      </c>
      <c r="Z160" s="21">
        <f>100*(Z26-Z25)</f>
        <v/>
      </c>
      <c r="AA160" s="21">
        <f>100*(AA26-AA25)</f>
        <v/>
      </c>
      <c r="AB160" s="21">
        <f>100*(AB26-AB25)</f>
        <v/>
      </c>
      <c r="AC160" s="21">
        <f>100*(AC26-AC25)</f>
        <v/>
      </c>
      <c r="AD160" s="21">
        <f>100*(AD26-AD25)</f>
        <v/>
      </c>
      <c r="AE160" s="21">
        <f>100*(AE26-AE25)</f>
        <v/>
      </c>
      <c r="AF160" s="21">
        <f>100*(AF26-AF25)</f>
        <v/>
      </c>
      <c r="AG160" s="21">
        <f>100*(AG26-AG25)</f>
        <v/>
      </c>
      <c r="AH160" s="21">
        <f>100*(AH26-AH25)</f>
        <v/>
      </c>
      <c r="AI160" s="21">
        <f>100*(AI26-AI25)</f>
        <v/>
      </c>
      <c r="AJ160" s="21">
        <f>100*(AJ26-AJ25)</f>
        <v/>
      </c>
      <c r="AK160" s="21">
        <f>100*(AK26-AK25)</f>
        <v/>
      </c>
      <c r="AL160" s="21">
        <f>AVERAGE(C160:AK160)</f>
        <v/>
      </c>
    </row>
    <row r="161">
      <c r="A161" s="19">
        <f>A27</f>
        <v/>
      </c>
      <c r="B161" s="20">
        <f>B27</f>
        <v/>
      </c>
      <c r="C161" s="21">
        <f>100*(C27-C26)</f>
        <v/>
      </c>
      <c r="D161" s="21">
        <f>100*(D27-D26)</f>
        <v/>
      </c>
      <c r="E161" s="21">
        <f>100*(E27-E26)</f>
        <v/>
      </c>
      <c r="F161" s="21">
        <f>100*(F27-F26)</f>
        <v/>
      </c>
      <c r="G161" s="21">
        <f>100*(G27-G26)</f>
        <v/>
      </c>
      <c r="H161" s="21">
        <f>100*(H27-H26)</f>
        <v/>
      </c>
      <c r="I161" s="21">
        <f>100*(I27-I26)</f>
        <v/>
      </c>
      <c r="J161" s="21">
        <f>100*(J27-J26)</f>
        <v/>
      </c>
      <c r="K161" s="21">
        <f>100*(K27-K26)</f>
        <v/>
      </c>
      <c r="L161" s="21">
        <f>100*(L27-L26)</f>
        <v/>
      </c>
      <c r="M161" s="21">
        <f>100*(M27-M26)</f>
        <v/>
      </c>
      <c r="N161" s="21">
        <f>100*(N27-N26)</f>
        <v/>
      </c>
      <c r="O161" s="21">
        <f>100*(O27-O26)</f>
        <v/>
      </c>
      <c r="P161" s="21">
        <f>100*(P27-P26)</f>
        <v/>
      </c>
      <c r="Q161" s="21">
        <f>100*(Q27-Q26)</f>
        <v/>
      </c>
      <c r="R161" s="21">
        <f>100*(R27-R26)</f>
        <v/>
      </c>
      <c r="S161" s="21">
        <f>100*(S27-S26)</f>
        <v/>
      </c>
      <c r="T161" s="21">
        <f>100*(T27-T26)</f>
        <v/>
      </c>
      <c r="U161" s="21">
        <f>100*(U27-U26)</f>
        <v/>
      </c>
      <c r="V161" s="21">
        <f>100*(V27-V26)</f>
        <v/>
      </c>
      <c r="W161" s="21">
        <f>100*(W27-W26)</f>
        <v/>
      </c>
      <c r="X161" s="21">
        <f>100*(X27-X26)</f>
        <v/>
      </c>
      <c r="Y161" s="21">
        <f>100*(Y27-Y26)</f>
        <v/>
      </c>
      <c r="Z161" s="21">
        <f>100*(Z27-Z26)</f>
        <v/>
      </c>
      <c r="AA161" s="21">
        <f>100*(AA27-AA26)</f>
        <v/>
      </c>
      <c r="AB161" s="21">
        <f>100*(AB27-AB26)</f>
        <v/>
      </c>
      <c r="AC161" s="21">
        <f>100*(AC27-AC26)</f>
        <v/>
      </c>
      <c r="AD161" s="21">
        <f>100*(AD27-AD26)</f>
        <v/>
      </c>
      <c r="AE161" s="21">
        <f>100*(AE27-AE26)</f>
        <v/>
      </c>
      <c r="AF161" s="21">
        <f>100*(AF27-AF26)</f>
        <v/>
      </c>
      <c r="AG161" s="21">
        <f>100*(AG27-AG26)</f>
        <v/>
      </c>
      <c r="AH161" s="21">
        <f>100*(AH27-AH26)</f>
        <v/>
      </c>
      <c r="AI161" s="21">
        <f>100*(AI27-AI26)</f>
        <v/>
      </c>
      <c r="AJ161" s="21">
        <f>100*(AJ27-AJ26)</f>
        <v/>
      </c>
      <c r="AK161" s="21">
        <f>100*(AK27-AK26)</f>
        <v/>
      </c>
      <c r="AL161" s="21">
        <f>AVERAGE(C161:AK161)</f>
        <v/>
      </c>
    </row>
    <row r="162">
      <c r="A162" s="19">
        <f>A28</f>
        <v/>
      </c>
      <c r="B162" s="20">
        <f>B28</f>
        <v/>
      </c>
      <c r="C162" s="21">
        <f>100*(C28-C27)</f>
        <v/>
      </c>
      <c r="D162" s="21">
        <f>100*(D28-D27)</f>
        <v/>
      </c>
      <c r="E162" s="21">
        <f>100*(E28-E27)</f>
        <v/>
      </c>
      <c r="F162" s="21">
        <f>100*(F28-F27)</f>
        <v/>
      </c>
      <c r="G162" s="21">
        <f>100*(G28-G27)</f>
        <v/>
      </c>
      <c r="H162" s="21">
        <f>100*(H28-H27)</f>
        <v/>
      </c>
      <c r="I162" s="21">
        <f>100*(I28-I27)</f>
        <v/>
      </c>
      <c r="J162" s="21">
        <f>100*(J28-J27)</f>
        <v/>
      </c>
      <c r="K162" s="21">
        <f>100*(K28-K27)</f>
        <v/>
      </c>
      <c r="L162" s="21">
        <f>100*(L28-L27)</f>
        <v/>
      </c>
      <c r="M162" s="21">
        <f>100*(M28-M27)</f>
        <v/>
      </c>
      <c r="N162" s="21">
        <f>100*(N28-N27)</f>
        <v/>
      </c>
      <c r="O162" s="21">
        <f>100*(O28-O27)</f>
        <v/>
      </c>
      <c r="P162" s="21">
        <f>100*(P28-P27)</f>
        <v/>
      </c>
      <c r="Q162" s="21">
        <f>100*(Q28-Q27)</f>
        <v/>
      </c>
      <c r="R162" s="21">
        <f>100*(R28-R27)</f>
        <v/>
      </c>
      <c r="S162" s="21">
        <f>100*(S28-S27)</f>
        <v/>
      </c>
      <c r="T162" s="21">
        <f>100*(T28-T27)</f>
        <v/>
      </c>
      <c r="U162" s="21">
        <f>100*(U28-U27)</f>
        <v/>
      </c>
      <c r="V162" s="21">
        <f>100*(V28-V27)</f>
        <v/>
      </c>
      <c r="W162" s="21">
        <f>100*(W28-W27)</f>
        <v/>
      </c>
      <c r="X162" s="21">
        <f>100*(X28-X27)</f>
        <v/>
      </c>
      <c r="Y162" s="21">
        <f>100*(Y28-Y27)</f>
        <v/>
      </c>
      <c r="Z162" s="21">
        <f>100*(Z28-Z27)</f>
        <v/>
      </c>
      <c r="AA162" s="21">
        <f>100*(AA28-AA27)</f>
        <v/>
      </c>
      <c r="AB162" s="21">
        <f>100*(AB28-AB27)</f>
        <v/>
      </c>
      <c r="AC162" s="21">
        <f>100*(AC28-AC27)</f>
        <v/>
      </c>
      <c r="AD162" s="21">
        <f>100*(AD28-AD27)</f>
        <v/>
      </c>
      <c r="AE162" s="21">
        <f>100*(AE28-AE27)</f>
        <v/>
      </c>
      <c r="AF162" s="21">
        <f>100*(AF28-AF27)</f>
        <v/>
      </c>
      <c r="AG162" s="21">
        <f>100*(AG28-AG27)</f>
        <v/>
      </c>
      <c r="AH162" s="21">
        <f>100*(AH28-AH27)</f>
        <v/>
      </c>
      <c r="AI162" s="21">
        <f>100*(AI28-AI27)</f>
        <v/>
      </c>
      <c r="AJ162" s="21">
        <f>100*(AJ28-AJ27)</f>
        <v/>
      </c>
      <c r="AK162" s="21">
        <f>100*(AK28-AK27)</f>
        <v/>
      </c>
      <c r="AL162" s="21">
        <f>AVERAGE(C162:AK162)</f>
        <v/>
      </c>
    </row>
    <row r="163">
      <c r="A163" s="19">
        <f>A29</f>
        <v/>
      </c>
      <c r="B163" s="20">
        <f>B29</f>
        <v/>
      </c>
      <c r="C163" s="21">
        <f>100*(C29-C28)</f>
        <v/>
      </c>
      <c r="D163" s="21">
        <f>100*(D29-D28)</f>
        <v/>
      </c>
      <c r="E163" s="21">
        <f>100*(E29-E28)</f>
        <v/>
      </c>
      <c r="F163" s="21">
        <f>100*(F29-F28)</f>
        <v/>
      </c>
      <c r="G163" s="21">
        <f>100*(G29-G28)</f>
        <v/>
      </c>
      <c r="H163" s="21">
        <f>100*(H29-H28)</f>
        <v/>
      </c>
      <c r="I163" s="21">
        <f>100*(I29-I28)</f>
        <v/>
      </c>
      <c r="J163" s="21">
        <f>100*(J29-J28)</f>
        <v/>
      </c>
      <c r="K163" s="21">
        <f>100*(K29-K28)</f>
        <v/>
      </c>
      <c r="L163" s="21">
        <f>100*(L29-L28)</f>
        <v/>
      </c>
      <c r="M163" s="21">
        <f>100*(M29-M28)</f>
        <v/>
      </c>
      <c r="N163" s="21">
        <f>100*(N29-N28)</f>
        <v/>
      </c>
      <c r="O163" s="21">
        <f>100*(O29-O28)</f>
        <v/>
      </c>
      <c r="P163" s="21">
        <f>100*(P29-P28)</f>
        <v/>
      </c>
      <c r="Q163" s="21">
        <f>100*(Q29-Q28)</f>
        <v/>
      </c>
      <c r="R163" s="21">
        <f>100*(R29-R28)</f>
        <v/>
      </c>
      <c r="S163" s="21">
        <f>100*(S29-S28)</f>
        <v/>
      </c>
      <c r="T163" s="21">
        <f>100*(T29-T28)</f>
        <v/>
      </c>
      <c r="U163" s="21">
        <f>100*(U29-U28)</f>
        <v/>
      </c>
      <c r="V163" s="21">
        <f>100*(V29-V28)</f>
        <v/>
      </c>
      <c r="W163" s="21">
        <f>100*(W29-W28)</f>
        <v/>
      </c>
      <c r="X163" s="21">
        <f>100*(X29-X28)</f>
        <v/>
      </c>
      <c r="Y163" s="21">
        <f>100*(Y29-Y28)</f>
        <v/>
      </c>
      <c r="Z163" s="21">
        <f>100*(Z29-Z28)</f>
        <v/>
      </c>
      <c r="AA163" s="21">
        <f>100*(AA29-AA28)</f>
        <v/>
      </c>
      <c r="AB163" s="21">
        <f>100*(AB29-AB28)</f>
        <v/>
      </c>
      <c r="AC163" s="21">
        <f>100*(AC29-AC28)</f>
        <v/>
      </c>
      <c r="AD163" s="21">
        <f>100*(AD29-AD28)</f>
        <v/>
      </c>
      <c r="AE163" s="21">
        <f>100*(AE29-AE28)</f>
        <v/>
      </c>
      <c r="AF163" s="21">
        <f>100*(AF29-AF28)</f>
        <v/>
      </c>
      <c r="AG163" s="21">
        <f>100*(AG29-AG28)</f>
        <v/>
      </c>
      <c r="AH163" s="21">
        <f>100*(AH29-AH28)</f>
        <v/>
      </c>
      <c r="AI163" s="21">
        <f>100*(AI29-AI28)</f>
        <v/>
      </c>
      <c r="AJ163" s="21">
        <f>100*(AJ29-AJ28)</f>
        <v/>
      </c>
      <c r="AK163" s="21">
        <f>100*(AK29-AK28)</f>
        <v/>
      </c>
      <c r="AL163" s="21">
        <f>AVERAGE(C163:AK163)</f>
        <v/>
      </c>
    </row>
    <row r="164">
      <c r="A164" s="19">
        <f>A30</f>
        <v/>
      </c>
      <c r="B164" s="20">
        <f>B30</f>
        <v/>
      </c>
      <c r="C164" s="21">
        <f>100*(C30-C29)</f>
        <v/>
      </c>
      <c r="D164" s="21">
        <f>100*(D30-D29)</f>
        <v/>
      </c>
      <c r="E164" s="21">
        <f>100*(E30-E29)</f>
        <v/>
      </c>
      <c r="F164" s="21">
        <f>100*(F30-F29)</f>
        <v/>
      </c>
      <c r="G164" s="21">
        <f>100*(G30-G29)</f>
        <v/>
      </c>
      <c r="H164" s="21">
        <f>100*(H30-H29)</f>
        <v/>
      </c>
      <c r="I164" s="21">
        <f>100*(I30-I29)</f>
        <v/>
      </c>
      <c r="J164" s="21">
        <f>100*(J30-J29)</f>
        <v/>
      </c>
      <c r="K164" s="21">
        <f>100*(K30-K29)</f>
        <v/>
      </c>
      <c r="L164" s="21">
        <f>100*(L30-L29)</f>
        <v/>
      </c>
      <c r="M164" s="21">
        <f>100*(M30-M29)</f>
        <v/>
      </c>
      <c r="N164" s="21">
        <f>100*(N30-N29)</f>
        <v/>
      </c>
      <c r="O164" s="21">
        <f>100*(O30-O29)</f>
        <v/>
      </c>
      <c r="P164" s="21">
        <f>100*(P30-P29)</f>
        <v/>
      </c>
      <c r="Q164" s="21">
        <f>100*(Q30-Q29)</f>
        <v/>
      </c>
      <c r="R164" s="21">
        <f>100*(R30-R29)</f>
        <v/>
      </c>
      <c r="S164" s="21">
        <f>100*(S30-S29)</f>
        <v/>
      </c>
      <c r="T164" s="21">
        <f>100*(T30-T29)</f>
        <v/>
      </c>
      <c r="U164" s="21">
        <f>100*(U30-U29)</f>
        <v/>
      </c>
      <c r="V164" s="21">
        <f>100*(V30-V29)</f>
        <v/>
      </c>
      <c r="W164" s="21">
        <f>100*(W30-W29)</f>
        <v/>
      </c>
      <c r="X164" s="21">
        <f>100*(X30-X29)</f>
        <v/>
      </c>
      <c r="Y164" s="21">
        <f>100*(Y30-Y29)</f>
        <v/>
      </c>
      <c r="Z164" s="21">
        <f>100*(Z30-Z29)</f>
        <v/>
      </c>
      <c r="AA164" s="21">
        <f>100*(AA30-AA29)</f>
        <v/>
      </c>
      <c r="AB164" s="21">
        <f>100*(AB30-AB29)</f>
        <v/>
      </c>
      <c r="AC164" s="21">
        <f>100*(AC30-AC29)</f>
        <v/>
      </c>
      <c r="AD164" s="21">
        <f>100*(AD30-AD29)</f>
        <v/>
      </c>
      <c r="AE164" s="21">
        <f>100*(AE30-AE29)</f>
        <v/>
      </c>
      <c r="AF164" s="21">
        <f>100*(AF30-AF29)</f>
        <v/>
      </c>
      <c r="AG164" s="21">
        <f>100*(AG30-AG29)</f>
        <v/>
      </c>
      <c r="AH164" s="21">
        <f>100*(AH30-AH29)</f>
        <v/>
      </c>
      <c r="AI164" s="21">
        <f>100*(AI30-AI29)</f>
        <v/>
      </c>
      <c r="AJ164" s="21">
        <f>100*(AJ30-AJ29)</f>
        <v/>
      </c>
      <c r="AK164" s="21">
        <f>100*(AK30-AK29)</f>
        <v/>
      </c>
      <c r="AL164" s="21">
        <f>AVERAGE(C164:AK164)</f>
        <v/>
      </c>
    </row>
    <row r="165">
      <c r="A165" s="19">
        <f>A31</f>
        <v/>
      </c>
      <c r="B165" s="20">
        <f>B31</f>
        <v/>
      </c>
      <c r="C165" s="21">
        <f>100*(C31-C30)</f>
        <v/>
      </c>
      <c r="D165" s="21">
        <f>100*(D31-D30)</f>
        <v/>
      </c>
      <c r="E165" s="21">
        <f>100*(E31-E30)</f>
        <v/>
      </c>
      <c r="F165" s="21">
        <f>100*(F31-F30)</f>
        <v/>
      </c>
      <c r="G165" s="21">
        <f>100*(G31-G30)</f>
        <v/>
      </c>
      <c r="H165" s="21">
        <f>100*(H31-H30)</f>
        <v/>
      </c>
      <c r="I165" s="21">
        <f>100*(I31-I30)</f>
        <v/>
      </c>
      <c r="J165" s="21">
        <f>100*(J31-J30)</f>
        <v/>
      </c>
      <c r="K165" s="21">
        <f>100*(K31-K30)</f>
        <v/>
      </c>
      <c r="L165" s="21">
        <f>100*(L31-L30)</f>
        <v/>
      </c>
      <c r="M165" s="21">
        <f>100*(M31-M30)</f>
        <v/>
      </c>
      <c r="N165" s="21">
        <f>100*(N31-N30)</f>
        <v/>
      </c>
      <c r="O165" s="21">
        <f>100*(O31-O30)</f>
        <v/>
      </c>
      <c r="P165" s="21">
        <f>100*(P31-P30)</f>
        <v/>
      </c>
      <c r="Q165" s="21">
        <f>100*(Q31-Q30)</f>
        <v/>
      </c>
      <c r="R165" s="21">
        <f>100*(R31-R30)</f>
        <v/>
      </c>
      <c r="S165" s="21">
        <f>100*(S31-S30)</f>
        <v/>
      </c>
      <c r="T165" s="21">
        <f>100*(T31-T30)</f>
        <v/>
      </c>
      <c r="U165" s="21">
        <f>100*(U31-U30)</f>
        <v/>
      </c>
      <c r="V165" s="21">
        <f>100*(V31-V30)</f>
        <v/>
      </c>
      <c r="W165" s="21">
        <f>100*(W31-W30)</f>
        <v/>
      </c>
      <c r="X165" s="21">
        <f>100*(X31-X30)</f>
        <v/>
      </c>
      <c r="Y165" s="21">
        <f>100*(Y31-Y30)</f>
        <v/>
      </c>
      <c r="Z165" s="21">
        <f>100*(Z31-Z30)</f>
        <v/>
      </c>
      <c r="AA165" s="21">
        <f>100*(AA31-AA30)</f>
        <v/>
      </c>
      <c r="AB165" s="21">
        <f>100*(AB31-AB30)</f>
        <v/>
      </c>
      <c r="AC165" s="21">
        <f>100*(AC31-AC30)</f>
        <v/>
      </c>
      <c r="AD165" s="21">
        <f>100*(AD31-AD30)</f>
        <v/>
      </c>
      <c r="AE165" s="21">
        <f>100*(AE31-AE30)</f>
        <v/>
      </c>
      <c r="AF165" s="21">
        <f>100*(AF31-AF30)</f>
        <v/>
      </c>
      <c r="AG165" s="21">
        <f>100*(AG31-AG30)</f>
        <v/>
      </c>
      <c r="AH165" s="21">
        <f>100*(AH31-AH30)</f>
        <v/>
      </c>
      <c r="AI165" s="21">
        <f>100*(AI31-AI30)</f>
        <v/>
      </c>
      <c r="AJ165" s="21">
        <f>100*(AJ31-AJ30)</f>
        <v/>
      </c>
      <c r="AK165" s="21">
        <f>100*(AK31-AK30)</f>
        <v/>
      </c>
      <c r="AL165" s="21">
        <f>AVERAGE(C165:AK165)</f>
        <v/>
      </c>
    </row>
    <row r="166">
      <c r="A166" s="19">
        <f>A32</f>
        <v/>
      </c>
      <c r="B166" s="20">
        <f>B32</f>
        <v/>
      </c>
      <c r="C166" s="21">
        <f>100*(C32-C31)</f>
        <v/>
      </c>
      <c r="D166" s="21">
        <f>100*(D32-D31)</f>
        <v/>
      </c>
      <c r="E166" s="21">
        <f>100*(E32-E31)</f>
        <v/>
      </c>
      <c r="F166" s="21">
        <f>100*(F32-F31)</f>
        <v/>
      </c>
      <c r="G166" s="21">
        <f>100*(G32-G31)</f>
        <v/>
      </c>
      <c r="H166" s="21">
        <f>100*(H32-H31)</f>
        <v/>
      </c>
      <c r="I166" s="21">
        <f>100*(I32-I31)</f>
        <v/>
      </c>
      <c r="J166" s="21">
        <f>100*(J32-J31)</f>
        <v/>
      </c>
      <c r="K166" s="21">
        <f>100*(K32-K31)</f>
        <v/>
      </c>
      <c r="L166" s="21">
        <f>100*(L32-L31)</f>
        <v/>
      </c>
      <c r="M166" s="21">
        <f>100*(M32-M31)</f>
        <v/>
      </c>
      <c r="N166" s="21">
        <f>100*(N32-N31)</f>
        <v/>
      </c>
      <c r="O166" s="21">
        <f>100*(O32-O31)</f>
        <v/>
      </c>
      <c r="P166" s="21">
        <f>100*(P32-P31)</f>
        <v/>
      </c>
      <c r="Q166" s="21">
        <f>100*(Q32-Q31)</f>
        <v/>
      </c>
      <c r="R166" s="21">
        <f>100*(R32-R31)</f>
        <v/>
      </c>
      <c r="S166" s="21">
        <f>100*(S32-S31)</f>
        <v/>
      </c>
      <c r="T166" s="21">
        <f>100*(T32-T31)</f>
        <v/>
      </c>
      <c r="U166" s="21">
        <f>100*(U32-U31)</f>
        <v/>
      </c>
      <c r="V166" s="21">
        <f>100*(V32-V31)</f>
        <v/>
      </c>
      <c r="W166" s="21">
        <f>100*(W32-W31)</f>
        <v/>
      </c>
      <c r="X166" s="21">
        <f>100*(X32-X31)</f>
        <v/>
      </c>
      <c r="Y166" s="21">
        <f>100*(Y32-Y31)</f>
        <v/>
      </c>
      <c r="Z166" s="21">
        <f>100*(Z32-Z31)</f>
        <v/>
      </c>
      <c r="AA166" s="21">
        <f>100*(AA32-AA31)</f>
        <v/>
      </c>
      <c r="AB166" s="21">
        <f>100*(AB32-AB31)</f>
        <v/>
      </c>
      <c r="AC166" s="21">
        <f>100*(AC32-AC31)</f>
        <v/>
      </c>
      <c r="AD166" s="21">
        <f>100*(AD32-AD31)</f>
        <v/>
      </c>
      <c r="AE166" s="21">
        <f>100*(AE32-AE31)</f>
        <v/>
      </c>
      <c r="AF166" s="21">
        <f>100*(AF32-AF31)</f>
        <v/>
      </c>
      <c r="AG166" s="21">
        <f>100*(AG32-AG31)</f>
        <v/>
      </c>
      <c r="AH166" s="21">
        <f>100*(AH32-AH31)</f>
        <v/>
      </c>
      <c r="AI166" s="21">
        <f>100*(AI32-AI31)</f>
        <v/>
      </c>
      <c r="AJ166" s="21">
        <f>100*(AJ32-AJ31)</f>
        <v/>
      </c>
      <c r="AK166" s="21">
        <f>100*(AK32-AK31)</f>
        <v/>
      </c>
      <c r="AL166" s="21">
        <f>AVERAGE(C166:AK166)</f>
        <v/>
      </c>
    </row>
    <row r="167">
      <c r="A167" s="19">
        <f>A33</f>
        <v/>
      </c>
      <c r="B167" s="20">
        <f>B33</f>
        <v/>
      </c>
      <c r="C167" s="21">
        <f>100*(C33-C32)</f>
        <v/>
      </c>
      <c r="D167" s="21">
        <f>100*(D33-D32)</f>
        <v/>
      </c>
      <c r="E167" s="21">
        <f>100*(E33-E32)</f>
        <v/>
      </c>
      <c r="F167" s="21">
        <f>100*(F33-F32)</f>
        <v/>
      </c>
      <c r="G167" s="21">
        <f>100*(G33-G32)</f>
        <v/>
      </c>
      <c r="H167" s="21">
        <f>100*(H33-H32)</f>
        <v/>
      </c>
      <c r="I167" s="21">
        <f>100*(I33-I32)</f>
        <v/>
      </c>
      <c r="J167" s="21">
        <f>100*(J33-J32)</f>
        <v/>
      </c>
      <c r="K167" s="21">
        <f>100*(K33-K32)</f>
        <v/>
      </c>
      <c r="L167" s="21">
        <f>100*(L33-L32)</f>
        <v/>
      </c>
      <c r="M167" s="21">
        <f>100*(M33-M32)</f>
        <v/>
      </c>
      <c r="N167" s="21">
        <f>100*(N33-N32)</f>
        <v/>
      </c>
      <c r="O167" s="21">
        <f>100*(O33-O32)</f>
        <v/>
      </c>
      <c r="P167" s="21">
        <f>100*(P33-P32)</f>
        <v/>
      </c>
      <c r="Q167" s="21">
        <f>100*(Q33-Q32)</f>
        <v/>
      </c>
      <c r="R167" s="21">
        <f>100*(R33-R32)</f>
        <v/>
      </c>
      <c r="S167" s="21">
        <f>100*(S33-S32)</f>
        <v/>
      </c>
      <c r="T167" s="21">
        <f>100*(T33-T32)</f>
        <v/>
      </c>
      <c r="U167" s="21">
        <f>100*(U33-U32)</f>
        <v/>
      </c>
      <c r="V167" s="21">
        <f>100*(V33-V32)</f>
        <v/>
      </c>
      <c r="W167" s="21">
        <f>100*(W33-W32)</f>
        <v/>
      </c>
      <c r="X167" s="21">
        <f>100*(X33-X32)</f>
        <v/>
      </c>
      <c r="Y167" s="21">
        <f>100*(Y33-Y32)</f>
        <v/>
      </c>
      <c r="Z167" s="21">
        <f>100*(Z33-Z32)</f>
        <v/>
      </c>
      <c r="AA167" s="21">
        <f>100*(AA33-AA32)</f>
        <v/>
      </c>
      <c r="AB167" s="21">
        <f>100*(AB33-AB32)</f>
        <v/>
      </c>
      <c r="AC167" s="21">
        <f>100*(AC33-AC32)</f>
        <v/>
      </c>
      <c r="AD167" s="21">
        <f>100*(AD33-AD32)</f>
        <v/>
      </c>
      <c r="AE167" s="21">
        <f>100*(AE33-AE32)</f>
        <v/>
      </c>
      <c r="AF167" s="21">
        <f>100*(AF33-AF32)</f>
        <v/>
      </c>
      <c r="AG167" s="21">
        <f>100*(AG33-AG32)</f>
        <v/>
      </c>
      <c r="AH167" s="21">
        <f>100*(AH33-AH32)</f>
        <v/>
      </c>
      <c r="AI167" s="21">
        <f>100*(AI33-AI32)</f>
        <v/>
      </c>
      <c r="AJ167" s="21">
        <f>100*(AJ33-AJ32)</f>
        <v/>
      </c>
      <c r="AK167" s="21">
        <f>100*(AK33-AK32)</f>
        <v/>
      </c>
      <c r="AL167" s="21">
        <f>AVERAGE(C167:AK167)</f>
        <v/>
      </c>
    </row>
    <row r="168">
      <c r="A168" s="19">
        <f>A34</f>
        <v/>
      </c>
      <c r="B168" s="20">
        <f>B34</f>
        <v/>
      </c>
      <c r="C168" s="21">
        <f>100*(C34-C33)</f>
        <v/>
      </c>
      <c r="D168" s="21">
        <f>100*(D34-D33)</f>
        <v/>
      </c>
      <c r="E168" s="21">
        <f>100*(E34-E33)</f>
        <v/>
      </c>
      <c r="F168" s="21">
        <f>100*(F34-F33)</f>
        <v/>
      </c>
      <c r="G168" s="21">
        <f>100*(G34-G33)</f>
        <v/>
      </c>
      <c r="H168" s="21">
        <f>100*(H34-H33)</f>
        <v/>
      </c>
      <c r="I168" s="21">
        <f>100*(I34-I33)</f>
        <v/>
      </c>
      <c r="J168" s="21">
        <f>100*(J34-J33)</f>
        <v/>
      </c>
      <c r="K168" s="21">
        <f>100*(K34-K33)</f>
        <v/>
      </c>
      <c r="L168" s="21">
        <f>100*(L34-L33)</f>
        <v/>
      </c>
      <c r="M168" s="21">
        <f>100*(M34-M33)</f>
        <v/>
      </c>
      <c r="N168" s="21">
        <f>100*(N34-N33)</f>
        <v/>
      </c>
      <c r="O168" s="21">
        <f>100*(O34-O33)</f>
        <v/>
      </c>
      <c r="P168" s="21">
        <f>100*(P34-P33)</f>
        <v/>
      </c>
      <c r="Q168" s="21">
        <f>100*(Q34-Q33)</f>
        <v/>
      </c>
      <c r="R168" s="21">
        <f>100*(R34-R33)</f>
        <v/>
      </c>
      <c r="S168" s="21">
        <f>100*(S34-S33)</f>
        <v/>
      </c>
      <c r="T168" s="21">
        <f>100*(T34-T33)</f>
        <v/>
      </c>
      <c r="U168" s="21">
        <f>100*(U34-U33)</f>
        <v/>
      </c>
      <c r="V168" s="21">
        <f>100*(V34-V33)</f>
        <v/>
      </c>
      <c r="W168" s="21">
        <f>100*(W34-W33)</f>
        <v/>
      </c>
      <c r="X168" s="21">
        <f>100*(X34-X33)</f>
        <v/>
      </c>
      <c r="Y168" s="21">
        <f>100*(Y34-Y33)</f>
        <v/>
      </c>
      <c r="Z168" s="21">
        <f>100*(Z34-Z33)</f>
        <v/>
      </c>
      <c r="AA168" s="21">
        <f>100*(AA34-AA33)</f>
        <v/>
      </c>
      <c r="AB168" s="21">
        <f>100*(AB34-AB33)</f>
        <v/>
      </c>
      <c r="AC168" s="21">
        <f>100*(AC34-AC33)</f>
        <v/>
      </c>
      <c r="AD168" s="21">
        <f>100*(AD34-AD33)</f>
        <v/>
      </c>
      <c r="AE168" s="21">
        <f>100*(AE34-AE33)</f>
        <v/>
      </c>
      <c r="AF168" s="21">
        <f>100*(AF34-AF33)</f>
        <v/>
      </c>
      <c r="AG168" s="21">
        <f>100*(AG34-AG33)</f>
        <v/>
      </c>
      <c r="AH168" s="21">
        <f>100*(AH34-AH33)</f>
        <v/>
      </c>
      <c r="AI168" s="21">
        <f>100*(AI34-AI33)</f>
        <v/>
      </c>
      <c r="AJ168" s="21">
        <f>100*(AJ34-AJ33)</f>
        <v/>
      </c>
      <c r="AK168" s="21">
        <f>100*(AK34-AK33)</f>
        <v/>
      </c>
      <c r="AL168" s="21">
        <f>AVERAGE(C168:AK168)</f>
        <v/>
      </c>
    </row>
    <row r="169">
      <c r="A169" s="19">
        <f>A35</f>
        <v/>
      </c>
      <c r="B169" s="20">
        <f>B35</f>
        <v/>
      </c>
      <c r="C169" s="21">
        <f>100*(C35-C34)</f>
        <v/>
      </c>
      <c r="D169" s="21">
        <f>100*(D35-D34)</f>
        <v/>
      </c>
      <c r="E169" s="21">
        <f>100*(E35-E34)</f>
        <v/>
      </c>
      <c r="F169" s="21">
        <f>100*(F35-F34)</f>
        <v/>
      </c>
      <c r="G169" s="21">
        <f>100*(G35-G34)</f>
        <v/>
      </c>
      <c r="H169" s="21">
        <f>100*(H35-H34)</f>
        <v/>
      </c>
      <c r="I169" s="21">
        <f>100*(I35-I34)</f>
        <v/>
      </c>
      <c r="J169" s="21">
        <f>100*(J35-J34)</f>
        <v/>
      </c>
      <c r="K169" s="21">
        <f>100*(K35-K34)</f>
        <v/>
      </c>
      <c r="L169" s="21">
        <f>100*(L35-L34)</f>
        <v/>
      </c>
      <c r="M169" s="21">
        <f>100*(M35-M34)</f>
        <v/>
      </c>
      <c r="N169" s="21">
        <f>100*(N35-N34)</f>
        <v/>
      </c>
      <c r="O169" s="21">
        <f>100*(O35-O34)</f>
        <v/>
      </c>
      <c r="P169" s="21">
        <f>100*(P35-P34)</f>
        <v/>
      </c>
      <c r="Q169" s="21">
        <f>100*(Q35-Q34)</f>
        <v/>
      </c>
      <c r="R169" s="21">
        <f>100*(R35-R34)</f>
        <v/>
      </c>
      <c r="S169" s="21">
        <f>100*(S35-S34)</f>
        <v/>
      </c>
      <c r="T169" s="21">
        <f>100*(T35-T34)</f>
        <v/>
      </c>
      <c r="U169" s="21">
        <f>100*(U35-U34)</f>
        <v/>
      </c>
      <c r="V169" s="21">
        <f>100*(V35-V34)</f>
        <v/>
      </c>
      <c r="W169" s="21">
        <f>100*(W35-W34)</f>
        <v/>
      </c>
      <c r="X169" s="21">
        <f>100*(X35-X34)</f>
        <v/>
      </c>
      <c r="Y169" s="21">
        <f>100*(Y35-Y34)</f>
        <v/>
      </c>
      <c r="Z169" s="21">
        <f>100*(Z35-Z34)</f>
        <v/>
      </c>
      <c r="AA169" s="21">
        <f>100*(AA35-AA34)</f>
        <v/>
      </c>
      <c r="AB169" s="21">
        <f>100*(AB35-AB34)</f>
        <v/>
      </c>
      <c r="AC169" s="21">
        <f>100*(AC35-AC34)</f>
        <v/>
      </c>
      <c r="AD169" s="21">
        <f>100*(AD35-AD34)</f>
        <v/>
      </c>
      <c r="AE169" s="21">
        <f>100*(AE35-AE34)</f>
        <v/>
      </c>
      <c r="AF169" s="21">
        <f>100*(AF35-AF34)</f>
        <v/>
      </c>
      <c r="AG169" s="21">
        <f>100*(AG35-AG34)</f>
        <v/>
      </c>
      <c r="AH169" s="21">
        <f>100*(AH35-AH34)</f>
        <v/>
      </c>
      <c r="AI169" s="21">
        <f>100*(AI35-AI34)</f>
        <v/>
      </c>
      <c r="AJ169" s="21">
        <f>100*(AJ35-AJ34)</f>
        <v/>
      </c>
      <c r="AK169" s="21">
        <f>100*(AK35-AK34)</f>
        <v/>
      </c>
      <c r="AL169" s="21">
        <f>AVERAGE(C169:AK169)</f>
        <v/>
      </c>
    </row>
    <row r="170">
      <c r="A170" s="19">
        <f>A36</f>
        <v/>
      </c>
      <c r="B170" s="20">
        <f>B36</f>
        <v/>
      </c>
      <c r="C170" s="21">
        <f>100*(C36-C35)</f>
        <v/>
      </c>
      <c r="D170" s="21">
        <f>100*(D36-D35)</f>
        <v/>
      </c>
      <c r="E170" s="21">
        <f>100*(E36-E35)</f>
        <v/>
      </c>
      <c r="F170" s="21">
        <f>100*(F36-F35)</f>
        <v/>
      </c>
      <c r="G170" s="21">
        <f>100*(G36-G35)</f>
        <v/>
      </c>
      <c r="H170" s="21">
        <f>100*(H36-H35)</f>
        <v/>
      </c>
      <c r="I170" s="21">
        <f>100*(I36-I35)</f>
        <v/>
      </c>
      <c r="J170" s="21">
        <f>100*(J36-J35)</f>
        <v/>
      </c>
      <c r="K170" s="21">
        <f>100*(K36-K35)</f>
        <v/>
      </c>
      <c r="L170" s="21">
        <f>100*(L36-L35)</f>
        <v/>
      </c>
      <c r="M170" s="21">
        <f>100*(M36-M35)</f>
        <v/>
      </c>
      <c r="N170" s="21">
        <f>100*(N36-N35)</f>
        <v/>
      </c>
      <c r="O170" s="21">
        <f>100*(O36-O35)</f>
        <v/>
      </c>
      <c r="P170" s="21">
        <f>100*(P36-P35)</f>
        <v/>
      </c>
      <c r="Q170" s="21">
        <f>100*(Q36-Q35)</f>
        <v/>
      </c>
      <c r="R170" s="21">
        <f>100*(R36-R35)</f>
        <v/>
      </c>
      <c r="S170" s="21">
        <f>100*(S36-S35)</f>
        <v/>
      </c>
      <c r="T170" s="21">
        <f>100*(T36-T35)</f>
        <v/>
      </c>
      <c r="U170" s="21">
        <f>100*(U36-U35)</f>
        <v/>
      </c>
      <c r="V170" s="21">
        <f>100*(V36-V35)</f>
        <v/>
      </c>
      <c r="W170" s="21">
        <f>100*(W36-W35)</f>
        <v/>
      </c>
      <c r="X170" s="21">
        <f>100*(X36-X35)</f>
        <v/>
      </c>
      <c r="Y170" s="21">
        <f>100*(Y36-Y35)</f>
        <v/>
      </c>
      <c r="Z170" s="21">
        <f>100*(Z36-Z35)</f>
        <v/>
      </c>
      <c r="AA170" s="21">
        <f>100*(AA36-AA35)</f>
        <v/>
      </c>
      <c r="AB170" s="21">
        <f>100*(AB36-AB35)</f>
        <v/>
      </c>
      <c r="AC170" s="21">
        <f>100*(AC36-AC35)</f>
        <v/>
      </c>
      <c r="AD170" s="21">
        <f>100*(AD36-AD35)</f>
        <v/>
      </c>
      <c r="AE170" s="21">
        <f>100*(AE36-AE35)</f>
        <v/>
      </c>
      <c r="AF170" s="21">
        <f>100*(AF36-AF35)</f>
        <v/>
      </c>
      <c r="AG170" s="21">
        <f>100*(AG36-AG35)</f>
        <v/>
      </c>
      <c r="AH170" s="21">
        <f>100*(AH36-AH35)</f>
        <v/>
      </c>
      <c r="AI170" s="21">
        <f>100*(AI36-AI35)</f>
        <v/>
      </c>
      <c r="AJ170" s="21">
        <f>100*(AJ36-AJ35)</f>
        <v/>
      </c>
      <c r="AK170" s="21">
        <f>100*(AK36-AK35)</f>
        <v/>
      </c>
      <c r="AL170" s="21">
        <f>AVERAGE(C170:AK170)</f>
        <v/>
      </c>
    </row>
    <row r="171">
      <c r="A171" s="19">
        <f>A37</f>
        <v/>
      </c>
      <c r="B171" s="20">
        <f>B37</f>
        <v/>
      </c>
      <c r="C171" s="21">
        <f>100*(C37-C36)</f>
        <v/>
      </c>
      <c r="D171" s="21">
        <f>100*(D37-D36)</f>
        <v/>
      </c>
      <c r="E171" s="21">
        <f>100*(E37-E36)</f>
        <v/>
      </c>
      <c r="F171" s="21">
        <f>100*(F37-F36)</f>
        <v/>
      </c>
      <c r="G171" s="21">
        <f>100*(G37-G36)</f>
        <v/>
      </c>
      <c r="H171" s="21">
        <f>100*(H37-H36)</f>
        <v/>
      </c>
      <c r="I171" s="21">
        <f>100*(I37-I36)</f>
        <v/>
      </c>
      <c r="J171" s="21">
        <f>100*(J37-J36)</f>
        <v/>
      </c>
      <c r="K171" s="21">
        <f>100*(K37-K36)</f>
        <v/>
      </c>
      <c r="L171" s="21">
        <f>100*(L37-L36)</f>
        <v/>
      </c>
      <c r="M171" s="21">
        <f>100*(M37-M36)</f>
        <v/>
      </c>
      <c r="N171" s="21">
        <f>100*(N37-N36)</f>
        <v/>
      </c>
      <c r="O171" s="21">
        <f>100*(O37-O36)</f>
        <v/>
      </c>
      <c r="P171" s="21">
        <f>100*(P37-P36)</f>
        <v/>
      </c>
      <c r="Q171" s="21">
        <f>100*(Q37-Q36)</f>
        <v/>
      </c>
      <c r="R171" s="21">
        <f>100*(R37-R36)</f>
        <v/>
      </c>
      <c r="S171" s="21">
        <f>100*(S37-S36)</f>
        <v/>
      </c>
      <c r="T171" s="21">
        <f>100*(T37-T36)</f>
        <v/>
      </c>
      <c r="U171" s="21">
        <f>100*(U37-U36)</f>
        <v/>
      </c>
      <c r="V171" s="21">
        <f>100*(V37-V36)</f>
        <v/>
      </c>
      <c r="W171" s="21">
        <f>100*(W37-W36)</f>
        <v/>
      </c>
      <c r="X171" s="21">
        <f>100*(X37-X36)</f>
        <v/>
      </c>
      <c r="Y171" s="21">
        <f>100*(Y37-Y36)</f>
        <v/>
      </c>
      <c r="Z171" s="21">
        <f>100*(Z37-Z36)</f>
        <v/>
      </c>
      <c r="AA171" s="21">
        <f>100*(AA37-AA36)</f>
        <v/>
      </c>
      <c r="AB171" s="21">
        <f>100*(AB37-AB36)</f>
        <v/>
      </c>
      <c r="AC171" s="21">
        <f>100*(AC37-AC36)</f>
        <v/>
      </c>
      <c r="AD171" s="21">
        <f>100*(AD37-AD36)</f>
        <v/>
      </c>
      <c r="AE171" s="21">
        <f>100*(AE37-AE36)</f>
        <v/>
      </c>
      <c r="AF171" s="21">
        <f>100*(AF37-AF36)</f>
        <v/>
      </c>
      <c r="AG171" s="21">
        <f>100*(AG37-AG36)</f>
        <v/>
      </c>
      <c r="AH171" s="21">
        <f>100*(AH37-AH36)</f>
        <v/>
      </c>
      <c r="AI171" s="21">
        <f>100*(AI37-AI36)</f>
        <v/>
      </c>
      <c r="AJ171" s="21">
        <f>100*(AJ37-AJ36)</f>
        <v/>
      </c>
      <c r="AK171" s="21">
        <f>100*(AK37-AK36)</f>
        <v/>
      </c>
      <c r="AL171" s="21">
        <f>AVERAGE(C171:AK171)</f>
        <v/>
      </c>
    </row>
    <row r="172">
      <c r="A172" s="19">
        <f>A38</f>
        <v/>
      </c>
      <c r="B172" s="20">
        <f>B38</f>
        <v/>
      </c>
      <c r="C172" s="21">
        <f>100*(C38-C37)</f>
        <v/>
      </c>
      <c r="D172" s="21">
        <f>100*(D38-D37)</f>
        <v/>
      </c>
      <c r="E172" s="21">
        <f>100*(E38-E37)</f>
        <v/>
      </c>
      <c r="F172" s="21">
        <f>100*(F38-F37)</f>
        <v/>
      </c>
      <c r="G172" s="21">
        <f>100*(G38-G37)</f>
        <v/>
      </c>
      <c r="H172" s="21">
        <f>100*(H38-H37)</f>
        <v/>
      </c>
      <c r="I172" s="21">
        <f>100*(I38-I37)</f>
        <v/>
      </c>
      <c r="J172" s="21">
        <f>100*(J38-J37)</f>
        <v/>
      </c>
      <c r="K172" s="21">
        <f>100*(K38-K37)</f>
        <v/>
      </c>
      <c r="L172" s="21">
        <f>100*(L38-L37)</f>
        <v/>
      </c>
      <c r="M172" s="21">
        <f>100*(M38-M37)</f>
        <v/>
      </c>
      <c r="N172" s="21">
        <f>100*(N38-N37)</f>
        <v/>
      </c>
      <c r="O172" s="21">
        <f>100*(O38-O37)</f>
        <v/>
      </c>
      <c r="P172" s="21">
        <f>100*(P38-P37)</f>
        <v/>
      </c>
      <c r="Q172" s="21">
        <f>100*(Q38-Q37)</f>
        <v/>
      </c>
      <c r="R172" s="21">
        <f>100*(R38-R37)</f>
        <v/>
      </c>
      <c r="S172" s="21">
        <f>100*(S38-S37)</f>
        <v/>
      </c>
      <c r="T172" s="21">
        <f>100*(T38-T37)</f>
        <v/>
      </c>
      <c r="U172" s="21">
        <f>100*(U38-U37)</f>
        <v/>
      </c>
      <c r="V172" s="21">
        <f>100*(V38-V37)</f>
        <v/>
      </c>
      <c r="W172" s="21">
        <f>100*(W38-W37)</f>
        <v/>
      </c>
      <c r="X172" s="21">
        <f>100*(X38-X37)</f>
        <v/>
      </c>
      <c r="Y172" s="21">
        <f>100*(Y38-Y37)</f>
        <v/>
      </c>
      <c r="Z172" s="21">
        <f>100*(Z38-Z37)</f>
        <v/>
      </c>
      <c r="AA172" s="21">
        <f>100*(AA38-AA37)</f>
        <v/>
      </c>
      <c r="AB172" s="21">
        <f>100*(AB38-AB37)</f>
        <v/>
      </c>
      <c r="AC172" s="21">
        <f>100*(AC38-AC37)</f>
        <v/>
      </c>
      <c r="AD172" s="21">
        <f>100*(AD38-AD37)</f>
        <v/>
      </c>
      <c r="AE172" s="21">
        <f>100*(AE38-AE37)</f>
        <v/>
      </c>
      <c r="AF172" s="21">
        <f>100*(AF38-AF37)</f>
        <v/>
      </c>
      <c r="AG172" s="21">
        <f>100*(AG38-AG37)</f>
        <v/>
      </c>
      <c r="AH172" s="21">
        <f>100*(AH38-AH37)</f>
        <v/>
      </c>
      <c r="AI172" s="21">
        <f>100*(AI38-AI37)</f>
        <v/>
      </c>
      <c r="AJ172" s="21">
        <f>100*(AJ38-AJ37)</f>
        <v/>
      </c>
      <c r="AK172" s="21">
        <f>100*(AK38-AK37)</f>
        <v/>
      </c>
      <c r="AL172" s="21">
        <f>AVERAGE(C172:AK172)</f>
        <v/>
      </c>
    </row>
    <row r="173">
      <c r="A173" s="19">
        <f>A39</f>
        <v/>
      </c>
      <c r="B173" s="20">
        <f>B39</f>
        <v/>
      </c>
      <c r="C173" s="21">
        <f>100*(C39-C38)</f>
        <v/>
      </c>
      <c r="D173" s="21">
        <f>100*(D39-D38)</f>
        <v/>
      </c>
      <c r="E173" s="21">
        <f>100*(E39-E38)</f>
        <v/>
      </c>
      <c r="F173" s="21">
        <f>100*(F39-F38)</f>
        <v/>
      </c>
      <c r="G173" s="21">
        <f>100*(G39-G38)</f>
        <v/>
      </c>
      <c r="H173" s="21">
        <f>100*(H39-H38)</f>
        <v/>
      </c>
      <c r="I173" s="21">
        <f>100*(I39-I38)</f>
        <v/>
      </c>
      <c r="J173" s="21">
        <f>100*(J39-J38)</f>
        <v/>
      </c>
      <c r="K173" s="21">
        <f>100*(K39-K38)</f>
        <v/>
      </c>
      <c r="L173" s="21">
        <f>100*(L39-L38)</f>
        <v/>
      </c>
      <c r="M173" s="21">
        <f>100*(M39-M38)</f>
        <v/>
      </c>
      <c r="N173" s="21">
        <f>100*(N39-N38)</f>
        <v/>
      </c>
      <c r="O173" s="21">
        <f>100*(O39-O38)</f>
        <v/>
      </c>
      <c r="P173" s="21">
        <f>100*(P39-P38)</f>
        <v/>
      </c>
      <c r="Q173" s="21">
        <f>100*(Q39-Q38)</f>
        <v/>
      </c>
      <c r="R173" s="21">
        <f>100*(R39-R38)</f>
        <v/>
      </c>
      <c r="S173" s="21">
        <f>100*(S39-S38)</f>
        <v/>
      </c>
      <c r="T173" s="21">
        <f>100*(T39-T38)</f>
        <v/>
      </c>
      <c r="U173" s="21">
        <f>100*(U39-U38)</f>
        <v/>
      </c>
      <c r="V173" s="21">
        <f>100*(V39-V38)</f>
        <v/>
      </c>
      <c r="W173" s="21">
        <f>100*(W39-W38)</f>
        <v/>
      </c>
      <c r="X173" s="21">
        <f>100*(X39-X38)</f>
        <v/>
      </c>
      <c r="Y173" s="21">
        <f>100*(Y39-Y38)</f>
        <v/>
      </c>
      <c r="Z173" s="21">
        <f>100*(Z39-Z38)</f>
        <v/>
      </c>
      <c r="AA173" s="21">
        <f>100*(AA39-AA38)</f>
        <v/>
      </c>
      <c r="AB173" s="21">
        <f>100*(AB39-AB38)</f>
        <v/>
      </c>
      <c r="AC173" s="21">
        <f>100*(AC39-AC38)</f>
        <v/>
      </c>
      <c r="AD173" s="21">
        <f>100*(AD39-AD38)</f>
        <v/>
      </c>
      <c r="AE173" s="21">
        <f>100*(AE39-AE38)</f>
        <v/>
      </c>
      <c r="AF173" s="21">
        <f>100*(AF39-AF38)</f>
        <v/>
      </c>
      <c r="AG173" s="21">
        <f>100*(AG39-AG38)</f>
        <v/>
      </c>
      <c r="AH173" s="21">
        <f>100*(AH39-AH38)</f>
        <v/>
      </c>
      <c r="AI173" s="21">
        <f>100*(AI39-AI38)</f>
        <v/>
      </c>
      <c r="AJ173" s="21">
        <f>100*(AJ39-AJ38)</f>
        <v/>
      </c>
      <c r="AK173" s="21">
        <f>100*(AK39-AK38)</f>
        <v/>
      </c>
      <c r="AL173" s="21">
        <f>AVERAGE(C173:AK173)</f>
        <v/>
      </c>
    </row>
    <row r="174">
      <c r="A174" s="19">
        <f>A40</f>
        <v/>
      </c>
      <c r="B174" s="20">
        <f>B40</f>
        <v/>
      </c>
      <c r="C174" s="21">
        <f>100*(C40-C39)</f>
        <v/>
      </c>
      <c r="D174" s="21">
        <f>100*(D40-D39)</f>
        <v/>
      </c>
      <c r="E174" s="21">
        <f>100*(E40-E39)</f>
        <v/>
      </c>
      <c r="F174" s="21">
        <f>100*(F40-F39)</f>
        <v/>
      </c>
      <c r="G174" s="21">
        <f>100*(G40-G39)</f>
        <v/>
      </c>
      <c r="H174" s="21">
        <f>100*(H40-H39)</f>
        <v/>
      </c>
      <c r="I174" s="21">
        <f>100*(I40-I39)</f>
        <v/>
      </c>
      <c r="J174" s="21">
        <f>100*(J40-J39)</f>
        <v/>
      </c>
      <c r="K174" s="21">
        <f>100*(K40-K39)</f>
        <v/>
      </c>
      <c r="L174" s="21">
        <f>100*(L40-L39)</f>
        <v/>
      </c>
      <c r="M174" s="21">
        <f>100*(M40-M39)</f>
        <v/>
      </c>
      <c r="N174" s="21">
        <f>100*(N40-N39)</f>
        <v/>
      </c>
      <c r="O174" s="21">
        <f>100*(O40-O39)</f>
        <v/>
      </c>
      <c r="P174" s="21">
        <f>100*(P40-P39)</f>
        <v/>
      </c>
      <c r="Q174" s="21">
        <f>100*(Q40-Q39)</f>
        <v/>
      </c>
      <c r="R174" s="21">
        <f>100*(R40-R39)</f>
        <v/>
      </c>
      <c r="S174" s="21">
        <f>100*(S40-S39)</f>
        <v/>
      </c>
      <c r="T174" s="21">
        <f>100*(T40-T39)</f>
        <v/>
      </c>
      <c r="U174" s="21">
        <f>100*(U40-U39)</f>
        <v/>
      </c>
      <c r="V174" s="21">
        <f>100*(V40-V39)</f>
        <v/>
      </c>
      <c r="W174" s="21">
        <f>100*(W40-W39)</f>
        <v/>
      </c>
      <c r="X174" s="21">
        <f>100*(X40-X39)</f>
        <v/>
      </c>
      <c r="Y174" s="21">
        <f>100*(Y40-Y39)</f>
        <v/>
      </c>
      <c r="Z174" s="21">
        <f>100*(Z40-Z39)</f>
        <v/>
      </c>
      <c r="AA174" s="21">
        <f>100*(AA40-AA39)</f>
        <v/>
      </c>
      <c r="AB174" s="21">
        <f>100*(AB40-AB39)</f>
        <v/>
      </c>
      <c r="AC174" s="21">
        <f>100*(AC40-AC39)</f>
        <v/>
      </c>
      <c r="AD174" s="21">
        <f>100*(AD40-AD39)</f>
        <v/>
      </c>
      <c r="AE174" s="21">
        <f>100*(AE40-AE39)</f>
        <v/>
      </c>
      <c r="AF174" s="21">
        <f>100*(AF40-AF39)</f>
        <v/>
      </c>
      <c r="AG174" s="21">
        <f>100*(AG40-AG39)</f>
        <v/>
      </c>
      <c r="AH174" s="21">
        <f>100*(AH40-AH39)</f>
        <v/>
      </c>
      <c r="AI174" s="21">
        <f>100*(AI40-AI39)</f>
        <v/>
      </c>
      <c r="AJ174" s="21">
        <f>100*(AJ40-AJ39)</f>
        <v/>
      </c>
      <c r="AK174" s="21">
        <f>100*(AK40-AK39)</f>
        <v/>
      </c>
      <c r="AL174" s="21">
        <f>AVERAGE(C174:AK174)</f>
        <v/>
      </c>
    </row>
    <row r="175">
      <c r="A175" s="19">
        <f>A41</f>
        <v/>
      </c>
      <c r="B175" s="20">
        <f>B41</f>
        <v/>
      </c>
      <c r="C175" s="21">
        <f>100*(C41-C40)</f>
        <v/>
      </c>
      <c r="D175" s="21">
        <f>100*(D41-D40)</f>
        <v/>
      </c>
      <c r="E175" s="21">
        <f>100*(E41-E40)</f>
        <v/>
      </c>
      <c r="F175" s="21">
        <f>100*(F41-F40)</f>
        <v/>
      </c>
      <c r="G175" s="21">
        <f>100*(G41-G40)</f>
        <v/>
      </c>
      <c r="H175" s="21">
        <f>100*(H41-H40)</f>
        <v/>
      </c>
      <c r="I175" s="21">
        <f>100*(I41-I40)</f>
        <v/>
      </c>
      <c r="J175" s="21">
        <f>100*(J41-J40)</f>
        <v/>
      </c>
      <c r="K175" s="21">
        <f>100*(K41-K40)</f>
        <v/>
      </c>
      <c r="L175" s="21">
        <f>100*(L41-L40)</f>
        <v/>
      </c>
      <c r="M175" s="21">
        <f>100*(M41-M40)</f>
        <v/>
      </c>
      <c r="N175" s="21">
        <f>100*(N41-N40)</f>
        <v/>
      </c>
      <c r="O175" s="21">
        <f>100*(O41-O40)</f>
        <v/>
      </c>
      <c r="P175" s="21">
        <f>100*(P41-P40)</f>
        <v/>
      </c>
      <c r="Q175" s="21">
        <f>100*(Q41-Q40)</f>
        <v/>
      </c>
      <c r="R175" s="21">
        <f>100*(R41-R40)</f>
        <v/>
      </c>
      <c r="S175" s="21">
        <f>100*(S41-S40)</f>
        <v/>
      </c>
      <c r="T175" s="21">
        <f>100*(T41-T40)</f>
        <v/>
      </c>
      <c r="U175" s="21">
        <f>100*(U41-U40)</f>
        <v/>
      </c>
      <c r="V175" s="21">
        <f>100*(V41-V40)</f>
        <v/>
      </c>
      <c r="W175" s="21">
        <f>100*(W41-W40)</f>
        <v/>
      </c>
      <c r="X175" s="21">
        <f>100*(X41-X40)</f>
        <v/>
      </c>
      <c r="Y175" s="21">
        <f>100*(Y41-Y40)</f>
        <v/>
      </c>
      <c r="Z175" s="21">
        <f>100*(Z41-Z40)</f>
        <v/>
      </c>
      <c r="AA175" s="21">
        <f>100*(AA41-AA40)</f>
        <v/>
      </c>
      <c r="AB175" s="21">
        <f>100*(AB41-AB40)</f>
        <v/>
      </c>
      <c r="AC175" s="21">
        <f>100*(AC41-AC40)</f>
        <v/>
      </c>
      <c r="AD175" s="21">
        <f>100*(AD41-AD40)</f>
        <v/>
      </c>
      <c r="AE175" s="21">
        <f>100*(AE41-AE40)</f>
        <v/>
      </c>
      <c r="AF175" s="21">
        <f>100*(AF41-AF40)</f>
        <v/>
      </c>
      <c r="AG175" s="21">
        <f>100*(AG41-AG40)</f>
        <v/>
      </c>
      <c r="AH175" s="21">
        <f>100*(AH41-AH40)</f>
        <v/>
      </c>
      <c r="AI175" s="21">
        <f>100*(AI41-AI40)</f>
        <v/>
      </c>
      <c r="AJ175" s="21">
        <f>100*(AJ41-AJ40)</f>
        <v/>
      </c>
      <c r="AK175" s="21">
        <f>100*(AK41-AK40)</f>
        <v/>
      </c>
      <c r="AL175" s="21">
        <f>AVERAGE(C175:AK175)</f>
        <v/>
      </c>
    </row>
    <row r="176">
      <c r="A176" s="19">
        <f>A42</f>
        <v/>
      </c>
      <c r="B176" s="20">
        <f>B42</f>
        <v/>
      </c>
      <c r="C176" s="21">
        <f>100*(C42-C41)</f>
        <v/>
      </c>
      <c r="D176" s="21">
        <f>100*(D42-D41)</f>
        <v/>
      </c>
      <c r="E176" s="21">
        <f>100*(E42-E41)</f>
        <v/>
      </c>
      <c r="F176" s="21">
        <f>100*(F42-F41)</f>
        <v/>
      </c>
      <c r="G176" s="21">
        <f>100*(G42-G41)</f>
        <v/>
      </c>
      <c r="H176" s="21">
        <f>100*(H42-H41)</f>
        <v/>
      </c>
      <c r="I176" s="21">
        <f>100*(I42-I41)</f>
        <v/>
      </c>
      <c r="J176" s="21">
        <f>100*(J42-J41)</f>
        <v/>
      </c>
      <c r="K176" s="21">
        <f>100*(K42-K41)</f>
        <v/>
      </c>
      <c r="L176" s="21">
        <f>100*(L42-L41)</f>
        <v/>
      </c>
      <c r="M176" s="21">
        <f>100*(M42-M41)</f>
        <v/>
      </c>
      <c r="N176" s="21">
        <f>100*(N42-N41)</f>
        <v/>
      </c>
      <c r="O176" s="21">
        <f>100*(O42-O41)</f>
        <v/>
      </c>
      <c r="P176" s="21">
        <f>100*(P42-P41)</f>
        <v/>
      </c>
      <c r="Q176" s="21">
        <f>100*(Q42-Q41)</f>
        <v/>
      </c>
      <c r="R176" s="21">
        <f>100*(R42-R41)</f>
        <v/>
      </c>
      <c r="S176" s="21">
        <f>100*(S42-S41)</f>
        <v/>
      </c>
      <c r="T176" s="21">
        <f>100*(T42-T41)</f>
        <v/>
      </c>
      <c r="U176" s="21">
        <f>100*(U42-U41)</f>
        <v/>
      </c>
      <c r="V176" s="21">
        <f>100*(V42-V41)</f>
        <v/>
      </c>
      <c r="W176" s="21">
        <f>100*(W42-W41)</f>
        <v/>
      </c>
      <c r="X176" s="21">
        <f>100*(X42-X41)</f>
        <v/>
      </c>
      <c r="Y176" s="21">
        <f>100*(Y42-Y41)</f>
        <v/>
      </c>
      <c r="Z176" s="21">
        <f>100*(Z42-Z41)</f>
        <v/>
      </c>
      <c r="AA176" s="21">
        <f>100*(AA42-AA41)</f>
        <v/>
      </c>
      <c r="AB176" s="21">
        <f>100*(AB42-AB41)</f>
        <v/>
      </c>
      <c r="AC176" s="21">
        <f>100*(AC42-AC41)</f>
        <v/>
      </c>
      <c r="AD176" s="21">
        <f>100*(AD42-AD41)</f>
        <v/>
      </c>
      <c r="AE176" s="21">
        <f>100*(AE42-AE41)</f>
        <v/>
      </c>
      <c r="AF176" s="21">
        <f>100*(AF42-AF41)</f>
        <v/>
      </c>
      <c r="AG176" s="21">
        <f>100*(AG42-AG41)</f>
        <v/>
      </c>
      <c r="AH176" s="21">
        <f>100*(AH42-AH41)</f>
        <v/>
      </c>
      <c r="AI176" s="21">
        <f>100*(AI42-AI41)</f>
        <v/>
      </c>
      <c r="AJ176" s="21">
        <f>100*(AJ42-AJ41)</f>
        <v/>
      </c>
      <c r="AK176" s="21">
        <f>100*(AK42-AK41)</f>
        <v/>
      </c>
      <c r="AL176" s="21">
        <f>AVERAGE(C176:AK176)</f>
        <v/>
      </c>
    </row>
    <row r="177">
      <c r="A177" s="19">
        <f>A43</f>
        <v/>
      </c>
      <c r="B177" s="20">
        <f>B43</f>
        <v/>
      </c>
      <c r="C177" s="21">
        <f>100*(C43-C42)</f>
        <v/>
      </c>
      <c r="D177" s="21">
        <f>100*(D43-D42)</f>
        <v/>
      </c>
      <c r="E177" s="21">
        <f>100*(E43-E42)</f>
        <v/>
      </c>
      <c r="F177" s="21">
        <f>100*(F43-F42)</f>
        <v/>
      </c>
      <c r="G177" s="21">
        <f>100*(G43-G42)</f>
        <v/>
      </c>
      <c r="H177" s="21">
        <f>100*(H43-H42)</f>
        <v/>
      </c>
      <c r="I177" s="21">
        <f>100*(I43-I42)</f>
        <v/>
      </c>
      <c r="J177" s="21">
        <f>100*(J43-J42)</f>
        <v/>
      </c>
      <c r="K177" s="21">
        <f>100*(K43-K42)</f>
        <v/>
      </c>
      <c r="L177" s="21">
        <f>100*(L43-L42)</f>
        <v/>
      </c>
      <c r="M177" s="21">
        <f>100*(M43-M42)</f>
        <v/>
      </c>
      <c r="N177" s="21">
        <f>100*(N43-N42)</f>
        <v/>
      </c>
      <c r="O177" s="21">
        <f>100*(O43-O42)</f>
        <v/>
      </c>
      <c r="P177" s="21">
        <f>100*(P43-P42)</f>
        <v/>
      </c>
      <c r="Q177" s="21">
        <f>100*(Q43-Q42)</f>
        <v/>
      </c>
      <c r="R177" s="21">
        <f>100*(R43-R42)</f>
        <v/>
      </c>
      <c r="S177" s="21">
        <f>100*(S43-S42)</f>
        <v/>
      </c>
      <c r="T177" s="21">
        <f>100*(T43-T42)</f>
        <v/>
      </c>
      <c r="U177" s="21">
        <f>100*(U43-U42)</f>
        <v/>
      </c>
      <c r="V177" s="21">
        <f>100*(V43-V42)</f>
        <v/>
      </c>
      <c r="W177" s="21">
        <f>100*(W43-W42)</f>
        <v/>
      </c>
      <c r="X177" s="21">
        <f>100*(X43-X42)</f>
        <v/>
      </c>
      <c r="Y177" s="21">
        <f>100*(Y43-Y42)</f>
        <v/>
      </c>
      <c r="Z177" s="21">
        <f>100*(Z43-Z42)</f>
        <v/>
      </c>
      <c r="AA177" s="21">
        <f>100*(AA43-AA42)</f>
        <v/>
      </c>
      <c r="AB177" s="21">
        <f>100*(AB43-AB42)</f>
        <v/>
      </c>
      <c r="AC177" s="21">
        <f>100*(AC43-AC42)</f>
        <v/>
      </c>
      <c r="AD177" s="21">
        <f>100*(AD43-AD42)</f>
        <v/>
      </c>
      <c r="AE177" s="21">
        <f>100*(AE43-AE42)</f>
        <v/>
      </c>
      <c r="AF177" s="21">
        <f>100*(AF43-AF42)</f>
        <v/>
      </c>
      <c r="AG177" s="21">
        <f>100*(AG43-AG42)</f>
        <v/>
      </c>
      <c r="AH177" s="21">
        <f>100*(AH43-AH42)</f>
        <v/>
      </c>
      <c r="AI177" s="21">
        <f>100*(AI43-AI42)</f>
        <v/>
      </c>
      <c r="AJ177" s="21">
        <f>100*(AJ43-AJ42)</f>
        <v/>
      </c>
      <c r="AK177" s="21">
        <f>100*(AK43-AK42)</f>
        <v/>
      </c>
      <c r="AL177" s="21">
        <f>AVERAGE(C177:AK177)</f>
        <v/>
      </c>
    </row>
    <row r="178">
      <c r="A178" s="19">
        <f>A44</f>
        <v/>
      </c>
      <c r="B178" s="20">
        <f>B44</f>
        <v/>
      </c>
      <c r="C178" s="21">
        <f>100*(C44-C43)</f>
        <v/>
      </c>
      <c r="D178" s="21">
        <f>100*(D44-D43)</f>
        <v/>
      </c>
      <c r="E178" s="21">
        <f>100*(E44-E43)</f>
        <v/>
      </c>
      <c r="F178" s="21">
        <f>100*(F44-F43)</f>
        <v/>
      </c>
      <c r="G178" s="21">
        <f>100*(G44-G43)</f>
        <v/>
      </c>
      <c r="H178" s="21">
        <f>100*(H44-H43)</f>
        <v/>
      </c>
      <c r="I178" s="21">
        <f>100*(I44-I43)</f>
        <v/>
      </c>
      <c r="J178" s="21">
        <f>100*(J44-J43)</f>
        <v/>
      </c>
      <c r="K178" s="21">
        <f>100*(K44-K43)</f>
        <v/>
      </c>
      <c r="L178" s="21">
        <f>100*(L44-L43)</f>
        <v/>
      </c>
      <c r="M178" s="21">
        <f>100*(M44-M43)</f>
        <v/>
      </c>
      <c r="N178" s="21">
        <f>100*(N44-N43)</f>
        <v/>
      </c>
      <c r="O178" s="21">
        <f>100*(O44-O43)</f>
        <v/>
      </c>
      <c r="P178" s="21">
        <f>100*(P44-P43)</f>
        <v/>
      </c>
      <c r="Q178" s="21">
        <f>100*(Q44-Q43)</f>
        <v/>
      </c>
      <c r="R178" s="21">
        <f>100*(R44-R43)</f>
        <v/>
      </c>
      <c r="S178" s="21">
        <f>100*(S44-S43)</f>
        <v/>
      </c>
      <c r="T178" s="21">
        <f>100*(T44-T43)</f>
        <v/>
      </c>
      <c r="U178" s="21">
        <f>100*(U44-U43)</f>
        <v/>
      </c>
      <c r="V178" s="21">
        <f>100*(V44-V43)</f>
        <v/>
      </c>
      <c r="W178" s="21">
        <f>100*(W44-W43)</f>
        <v/>
      </c>
      <c r="X178" s="21">
        <f>100*(X44-X43)</f>
        <v/>
      </c>
      <c r="Y178" s="21">
        <f>100*(Y44-Y43)</f>
        <v/>
      </c>
      <c r="Z178" s="21">
        <f>100*(Z44-Z43)</f>
        <v/>
      </c>
      <c r="AA178" s="21">
        <f>100*(AA44-AA43)</f>
        <v/>
      </c>
      <c r="AB178" s="21">
        <f>100*(AB44-AB43)</f>
        <v/>
      </c>
      <c r="AC178" s="21">
        <f>100*(AC44-AC43)</f>
        <v/>
      </c>
      <c r="AD178" s="21">
        <f>100*(AD44-AD43)</f>
        <v/>
      </c>
      <c r="AE178" s="21">
        <f>100*(AE44-AE43)</f>
        <v/>
      </c>
      <c r="AF178" s="21">
        <f>100*(AF44-AF43)</f>
        <v/>
      </c>
      <c r="AG178" s="21">
        <f>100*(AG44-AG43)</f>
        <v/>
      </c>
      <c r="AH178" s="21">
        <f>100*(AH44-AH43)</f>
        <v/>
      </c>
      <c r="AI178" s="21">
        <f>100*(AI44-AI43)</f>
        <v/>
      </c>
      <c r="AJ178" s="21">
        <f>100*(AJ44-AJ43)</f>
        <v/>
      </c>
      <c r="AK178" s="21">
        <f>100*(AK44-AK43)</f>
        <v/>
      </c>
      <c r="AL178" s="21">
        <f>AVERAGE(C178:AK178)</f>
        <v/>
      </c>
    </row>
    <row r="179">
      <c r="A179" s="19">
        <f>A45</f>
        <v/>
      </c>
      <c r="B179" s="20">
        <f>B45</f>
        <v/>
      </c>
      <c r="C179" s="21">
        <f>100*(C45-C44)</f>
        <v/>
      </c>
      <c r="D179" s="21">
        <f>100*(D45-D44)</f>
        <v/>
      </c>
      <c r="E179" s="21">
        <f>100*(E45-E44)</f>
        <v/>
      </c>
      <c r="F179" s="21">
        <f>100*(F45-F44)</f>
        <v/>
      </c>
      <c r="G179" s="21">
        <f>100*(G45-G44)</f>
        <v/>
      </c>
      <c r="H179" s="21">
        <f>100*(H45-H44)</f>
        <v/>
      </c>
      <c r="I179" s="21">
        <f>100*(I45-I44)</f>
        <v/>
      </c>
      <c r="J179" s="21">
        <f>100*(J45-J44)</f>
        <v/>
      </c>
      <c r="K179" s="21">
        <f>100*(K45-K44)</f>
        <v/>
      </c>
      <c r="L179" s="21">
        <f>100*(L45-L44)</f>
        <v/>
      </c>
      <c r="M179" s="21">
        <f>100*(M45-M44)</f>
        <v/>
      </c>
      <c r="N179" s="21">
        <f>100*(N45-N44)</f>
        <v/>
      </c>
      <c r="O179" s="21">
        <f>100*(O45-O44)</f>
        <v/>
      </c>
      <c r="P179" s="21">
        <f>100*(P45-P44)</f>
        <v/>
      </c>
      <c r="Q179" s="21">
        <f>100*(Q45-Q44)</f>
        <v/>
      </c>
      <c r="R179" s="21">
        <f>100*(R45-R44)</f>
        <v/>
      </c>
      <c r="S179" s="21">
        <f>100*(S45-S44)</f>
        <v/>
      </c>
      <c r="T179" s="21">
        <f>100*(T45-T44)</f>
        <v/>
      </c>
      <c r="U179" s="21">
        <f>100*(U45-U44)</f>
        <v/>
      </c>
      <c r="V179" s="21">
        <f>100*(V45-V44)</f>
        <v/>
      </c>
      <c r="W179" s="21">
        <f>100*(W45-W44)</f>
        <v/>
      </c>
      <c r="X179" s="21">
        <f>100*(X45-X44)</f>
        <v/>
      </c>
      <c r="Y179" s="21">
        <f>100*(Y45-Y44)</f>
        <v/>
      </c>
      <c r="Z179" s="21">
        <f>100*(Z45-Z44)</f>
        <v/>
      </c>
      <c r="AA179" s="21">
        <f>100*(AA45-AA44)</f>
        <v/>
      </c>
      <c r="AB179" s="21">
        <f>100*(AB45-AB44)</f>
        <v/>
      </c>
      <c r="AC179" s="21">
        <f>100*(AC45-AC44)</f>
        <v/>
      </c>
      <c r="AD179" s="21">
        <f>100*(AD45-AD44)</f>
        <v/>
      </c>
      <c r="AE179" s="21">
        <f>100*(AE45-AE44)</f>
        <v/>
      </c>
      <c r="AF179" s="21">
        <f>100*(AF45-AF44)</f>
        <v/>
      </c>
      <c r="AG179" s="21">
        <f>100*(AG45-AG44)</f>
        <v/>
      </c>
      <c r="AH179" s="21">
        <f>100*(AH45-AH44)</f>
        <v/>
      </c>
      <c r="AI179" s="21">
        <f>100*(AI45-AI44)</f>
        <v/>
      </c>
      <c r="AJ179" s="21">
        <f>100*(AJ45-AJ44)</f>
        <v/>
      </c>
      <c r="AK179" s="21">
        <f>100*(AK45-AK44)</f>
        <v/>
      </c>
      <c r="AL179" s="21">
        <f>AVERAGE(C179:AK179)</f>
        <v/>
      </c>
    </row>
    <row r="180">
      <c r="A180" s="19">
        <f>A46</f>
        <v/>
      </c>
      <c r="B180" s="20">
        <f>B46</f>
        <v/>
      </c>
      <c r="C180" s="21">
        <f>100*(C46-C45)</f>
        <v/>
      </c>
      <c r="D180" s="21">
        <f>100*(D46-D45)</f>
        <v/>
      </c>
      <c r="E180" s="21">
        <f>100*(E46-E45)</f>
        <v/>
      </c>
      <c r="F180" s="21">
        <f>100*(F46-F45)</f>
        <v/>
      </c>
      <c r="G180" s="21">
        <f>100*(G46-G45)</f>
        <v/>
      </c>
      <c r="H180" s="21">
        <f>100*(H46-H45)</f>
        <v/>
      </c>
      <c r="I180" s="21">
        <f>100*(I46-I45)</f>
        <v/>
      </c>
      <c r="J180" s="21">
        <f>100*(J46-J45)</f>
        <v/>
      </c>
      <c r="K180" s="21">
        <f>100*(K46-K45)</f>
        <v/>
      </c>
      <c r="L180" s="21">
        <f>100*(L46-L45)</f>
        <v/>
      </c>
      <c r="M180" s="21">
        <f>100*(M46-M45)</f>
        <v/>
      </c>
      <c r="N180" s="21">
        <f>100*(N46-N45)</f>
        <v/>
      </c>
      <c r="O180" s="21">
        <f>100*(O46-O45)</f>
        <v/>
      </c>
      <c r="P180" s="21">
        <f>100*(P46-P45)</f>
        <v/>
      </c>
      <c r="Q180" s="21">
        <f>100*(Q46-Q45)</f>
        <v/>
      </c>
      <c r="R180" s="21">
        <f>100*(R46-R45)</f>
        <v/>
      </c>
      <c r="S180" s="21">
        <f>100*(S46-S45)</f>
        <v/>
      </c>
      <c r="T180" s="21">
        <f>100*(T46-T45)</f>
        <v/>
      </c>
      <c r="U180" s="21">
        <f>100*(U46-U45)</f>
        <v/>
      </c>
      <c r="V180" s="21">
        <f>100*(V46-V45)</f>
        <v/>
      </c>
      <c r="W180" s="21">
        <f>100*(W46-W45)</f>
        <v/>
      </c>
      <c r="X180" s="21">
        <f>100*(X46-X45)</f>
        <v/>
      </c>
      <c r="Y180" s="21">
        <f>100*(Y46-Y45)</f>
        <v/>
      </c>
      <c r="Z180" s="21">
        <f>100*(Z46-Z45)</f>
        <v/>
      </c>
      <c r="AA180" s="21">
        <f>100*(AA46-AA45)</f>
        <v/>
      </c>
      <c r="AB180" s="21">
        <f>100*(AB46-AB45)</f>
        <v/>
      </c>
      <c r="AC180" s="21">
        <f>100*(AC46-AC45)</f>
        <v/>
      </c>
      <c r="AD180" s="21">
        <f>100*(AD46-AD45)</f>
        <v/>
      </c>
      <c r="AE180" s="21">
        <f>100*(AE46-AE45)</f>
        <v/>
      </c>
      <c r="AF180" s="21">
        <f>100*(AF46-AF45)</f>
        <v/>
      </c>
      <c r="AG180" s="21">
        <f>100*(AG46-AG45)</f>
        <v/>
      </c>
      <c r="AH180" s="21">
        <f>100*(AH46-AH45)</f>
        <v/>
      </c>
      <c r="AI180" s="21">
        <f>100*(AI46-AI45)</f>
        <v/>
      </c>
      <c r="AJ180" s="21">
        <f>100*(AJ46-AJ45)</f>
        <v/>
      </c>
      <c r="AK180" s="21">
        <f>100*(AK46-AK45)</f>
        <v/>
      </c>
      <c r="AL180" s="21">
        <f>AVERAGE(C180:AK180)</f>
        <v/>
      </c>
    </row>
    <row r="181">
      <c r="A181" s="19">
        <f>A47</f>
        <v/>
      </c>
      <c r="B181" s="20">
        <f>B47</f>
        <v/>
      </c>
      <c r="C181" s="21">
        <f>100*(C47-C46)</f>
        <v/>
      </c>
      <c r="D181" s="21">
        <f>100*(D47-D46)</f>
        <v/>
      </c>
      <c r="E181" s="21">
        <f>100*(E47-E46)</f>
        <v/>
      </c>
      <c r="F181" s="21">
        <f>100*(F47-F46)</f>
        <v/>
      </c>
      <c r="G181" s="21">
        <f>100*(G47-G46)</f>
        <v/>
      </c>
      <c r="H181" s="21">
        <f>100*(H47-H46)</f>
        <v/>
      </c>
      <c r="I181" s="21">
        <f>100*(I47-I46)</f>
        <v/>
      </c>
      <c r="J181" s="21">
        <f>100*(J47-J46)</f>
        <v/>
      </c>
      <c r="K181" s="21">
        <f>100*(K47-K46)</f>
        <v/>
      </c>
      <c r="L181" s="21">
        <f>100*(L47-L46)</f>
        <v/>
      </c>
      <c r="M181" s="21">
        <f>100*(M47-M46)</f>
        <v/>
      </c>
      <c r="N181" s="21">
        <f>100*(N47-N46)</f>
        <v/>
      </c>
      <c r="O181" s="21">
        <f>100*(O47-O46)</f>
        <v/>
      </c>
      <c r="P181" s="21">
        <f>100*(P47-P46)</f>
        <v/>
      </c>
      <c r="Q181" s="21">
        <f>100*(Q47-Q46)</f>
        <v/>
      </c>
      <c r="R181" s="21">
        <f>100*(R47-R46)</f>
        <v/>
      </c>
      <c r="S181" s="21">
        <f>100*(S47-S46)</f>
        <v/>
      </c>
      <c r="T181" s="21">
        <f>100*(T47-T46)</f>
        <v/>
      </c>
      <c r="U181" s="21">
        <f>100*(U47-U46)</f>
        <v/>
      </c>
      <c r="V181" s="21">
        <f>100*(V47-V46)</f>
        <v/>
      </c>
      <c r="W181" s="21">
        <f>100*(W47-W46)</f>
        <v/>
      </c>
      <c r="X181" s="21">
        <f>100*(X47-X46)</f>
        <v/>
      </c>
      <c r="Y181" s="21">
        <f>100*(Y47-Y46)</f>
        <v/>
      </c>
      <c r="Z181" s="21">
        <f>100*(Z47-Z46)</f>
        <v/>
      </c>
      <c r="AA181" s="21">
        <f>100*(AA47-AA46)</f>
        <v/>
      </c>
      <c r="AB181" s="21">
        <f>100*(AB47-AB46)</f>
        <v/>
      </c>
      <c r="AC181" s="21">
        <f>100*(AC47-AC46)</f>
        <v/>
      </c>
      <c r="AD181" s="21">
        <f>100*(AD47-AD46)</f>
        <v/>
      </c>
      <c r="AE181" s="21">
        <f>100*(AE47-AE46)</f>
        <v/>
      </c>
      <c r="AF181" s="21">
        <f>100*(AF47-AF46)</f>
        <v/>
      </c>
      <c r="AG181" s="21">
        <f>100*(AG47-AG46)</f>
        <v/>
      </c>
      <c r="AH181" s="21">
        <f>100*(AH47-AH46)</f>
        <v/>
      </c>
      <c r="AI181" s="21">
        <f>100*(AI47-AI46)</f>
        <v/>
      </c>
      <c r="AJ181" s="21">
        <f>100*(AJ47-AJ46)</f>
        <v/>
      </c>
      <c r="AK181" s="21">
        <f>100*(AK47-AK46)</f>
        <v/>
      </c>
      <c r="AL181" s="21">
        <f>AVERAGE(C181:AK181)</f>
        <v/>
      </c>
    </row>
    <row r="182">
      <c r="A182" s="19">
        <f>A48</f>
        <v/>
      </c>
      <c r="B182" s="20">
        <f>B48</f>
        <v/>
      </c>
      <c r="C182" s="21">
        <f>100*(C48-C47)</f>
        <v/>
      </c>
      <c r="D182" s="21">
        <f>100*(D48-D47)</f>
        <v/>
      </c>
      <c r="E182" s="21">
        <f>100*(E48-E47)</f>
        <v/>
      </c>
      <c r="F182" s="21">
        <f>100*(F48-F47)</f>
        <v/>
      </c>
      <c r="G182" s="21">
        <f>100*(G48-G47)</f>
        <v/>
      </c>
      <c r="H182" s="21">
        <f>100*(H48-H47)</f>
        <v/>
      </c>
      <c r="I182" s="21">
        <f>100*(I48-I47)</f>
        <v/>
      </c>
      <c r="J182" s="21">
        <f>100*(J48-J47)</f>
        <v/>
      </c>
      <c r="K182" s="21">
        <f>100*(K48-K47)</f>
        <v/>
      </c>
      <c r="L182" s="21">
        <f>100*(L48-L47)</f>
        <v/>
      </c>
      <c r="M182" s="21">
        <f>100*(M48-M47)</f>
        <v/>
      </c>
      <c r="N182" s="21">
        <f>100*(N48-N47)</f>
        <v/>
      </c>
      <c r="O182" s="21">
        <f>100*(O48-O47)</f>
        <v/>
      </c>
      <c r="P182" s="21">
        <f>100*(P48-P47)</f>
        <v/>
      </c>
      <c r="Q182" s="21">
        <f>100*(Q48-Q47)</f>
        <v/>
      </c>
      <c r="R182" s="21">
        <f>100*(R48-R47)</f>
        <v/>
      </c>
      <c r="S182" s="21">
        <f>100*(S48-S47)</f>
        <v/>
      </c>
      <c r="T182" s="21">
        <f>100*(T48-T47)</f>
        <v/>
      </c>
      <c r="U182" s="21">
        <f>100*(U48-U47)</f>
        <v/>
      </c>
      <c r="V182" s="21">
        <f>100*(V48-V47)</f>
        <v/>
      </c>
      <c r="W182" s="21">
        <f>100*(W48-W47)</f>
        <v/>
      </c>
      <c r="X182" s="21">
        <f>100*(X48-X47)</f>
        <v/>
      </c>
      <c r="Y182" s="21">
        <f>100*(Y48-Y47)</f>
        <v/>
      </c>
      <c r="Z182" s="21">
        <f>100*(Z48-Z47)</f>
        <v/>
      </c>
      <c r="AA182" s="21">
        <f>100*(AA48-AA47)</f>
        <v/>
      </c>
      <c r="AB182" s="21">
        <f>100*(AB48-AB47)</f>
        <v/>
      </c>
      <c r="AC182" s="21">
        <f>100*(AC48-AC47)</f>
        <v/>
      </c>
      <c r="AD182" s="21">
        <f>100*(AD48-AD47)</f>
        <v/>
      </c>
      <c r="AE182" s="21">
        <f>100*(AE48-AE47)</f>
        <v/>
      </c>
      <c r="AF182" s="21">
        <f>100*(AF48-AF47)</f>
        <v/>
      </c>
      <c r="AG182" s="21">
        <f>100*(AG48-AG47)</f>
        <v/>
      </c>
      <c r="AH182" s="21">
        <f>100*(AH48-AH47)</f>
        <v/>
      </c>
      <c r="AI182" s="21">
        <f>100*(AI48-AI47)</f>
        <v/>
      </c>
      <c r="AJ182" s="21">
        <f>100*(AJ48-AJ47)</f>
        <v/>
      </c>
      <c r="AK182" s="21">
        <f>100*(AK48-AK47)</f>
        <v/>
      </c>
      <c r="AL182" s="21">
        <f>AVERAGE(C182:AK182)</f>
        <v/>
      </c>
    </row>
    <row r="183">
      <c r="A183" s="19">
        <f>A49</f>
        <v/>
      </c>
      <c r="B183" s="20">
        <f>B49</f>
        <v/>
      </c>
      <c r="C183" s="21">
        <f>100*(C49-C48)</f>
        <v/>
      </c>
      <c r="D183" s="21">
        <f>100*(D49-D48)</f>
        <v/>
      </c>
      <c r="E183" s="21">
        <f>100*(E49-E48)</f>
        <v/>
      </c>
      <c r="F183" s="21">
        <f>100*(F49-F48)</f>
        <v/>
      </c>
      <c r="G183" s="21">
        <f>100*(G49-G48)</f>
        <v/>
      </c>
      <c r="H183" s="21">
        <f>100*(H49-H48)</f>
        <v/>
      </c>
      <c r="I183" s="21">
        <f>100*(I49-I48)</f>
        <v/>
      </c>
      <c r="J183" s="21">
        <f>100*(J49-J48)</f>
        <v/>
      </c>
      <c r="K183" s="21">
        <f>100*(K49-K48)</f>
        <v/>
      </c>
      <c r="L183" s="21">
        <f>100*(L49-L48)</f>
        <v/>
      </c>
      <c r="M183" s="21">
        <f>100*(M49-M48)</f>
        <v/>
      </c>
      <c r="N183" s="21">
        <f>100*(N49-N48)</f>
        <v/>
      </c>
      <c r="O183" s="21">
        <f>100*(O49-O48)</f>
        <v/>
      </c>
      <c r="P183" s="21">
        <f>100*(P49-P48)</f>
        <v/>
      </c>
      <c r="Q183" s="21">
        <f>100*(Q49-Q48)</f>
        <v/>
      </c>
      <c r="R183" s="21">
        <f>100*(R49-R48)</f>
        <v/>
      </c>
      <c r="S183" s="21">
        <f>100*(S49-S48)</f>
        <v/>
      </c>
      <c r="T183" s="21">
        <f>100*(T49-T48)</f>
        <v/>
      </c>
      <c r="U183" s="21">
        <f>100*(U49-U48)</f>
        <v/>
      </c>
      <c r="V183" s="21">
        <f>100*(V49-V48)</f>
        <v/>
      </c>
      <c r="W183" s="21">
        <f>100*(W49-W48)</f>
        <v/>
      </c>
      <c r="X183" s="21">
        <f>100*(X49-X48)</f>
        <v/>
      </c>
      <c r="Y183" s="21">
        <f>100*(Y49-Y48)</f>
        <v/>
      </c>
      <c r="Z183" s="21">
        <f>100*(Z49-Z48)</f>
        <v/>
      </c>
      <c r="AA183" s="21">
        <f>100*(AA49-AA48)</f>
        <v/>
      </c>
      <c r="AB183" s="21">
        <f>100*(AB49-AB48)</f>
        <v/>
      </c>
      <c r="AC183" s="21">
        <f>100*(AC49-AC48)</f>
        <v/>
      </c>
      <c r="AD183" s="21">
        <f>100*(AD49-AD48)</f>
        <v/>
      </c>
      <c r="AE183" s="21">
        <f>100*(AE49-AE48)</f>
        <v/>
      </c>
      <c r="AF183" s="21">
        <f>100*(AF49-AF48)</f>
        <v/>
      </c>
      <c r="AG183" s="21">
        <f>100*(AG49-AG48)</f>
        <v/>
      </c>
      <c r="AH183" s="21">
        <f>100*(AH49-AH48)</f>
        <v/>
      </c>
      <c r="AI183" s="21">
        <f>100*(AI49-AI48)</f>
        <v/>
      </c>
      <c r="AJ183" s="21">
        <f>100*(AJ49-AJ48)</f>
        <v/>
      </c>
      <c r="AK183" s="21">
        <f>100*(AK49-AK48)</f>
        <v/>
      </c>
      <c r="AL183" s="21">
        <f>AVERAGE(C183:AK183)</f>
        <v/>
      </c>
    </row>
    <row r="184">
      <c r="A184" s="19">
        <f>A50</f>
        <v/>
      </c>
      <c r="B184" s="20">
        <f>B50</f>
        <v/>
      </c>
      <c r="C184" s="21">
        <f>100*(C50-C49)</f>
        <v/>
      </c>
      <c r="D184" s="21">
        <f>100*(D50-D49)</f>
        <v/>
      </c>
      <c r="E184" s="21">
        <f>100*(E50-E49)</f>
        <v/>
      </c>
      <c r="F184" s="21">
        <f>100*(F50-F49)</f>
        <v/>
      </c>
      <c r="G184" s="21">
        <f>100*(G50-G49)</f>
        <v/>
      </c>
      <c r="H184" s="21">
        <f>100*(H50-H49)</f>
        <v/>
      </c>
      <c r="I184" s="21">
        <f>100*(I50-I49)</f>
        <v/>
      </c>
      <c r="J184" s="21">
        <f>100*(J50-J49)</f>
        <v/>
      </c>
      <c r="K184" s="21">
        <f>100*(K50-K49)</f>
        <v/>
      </c>
      <c r="L184" s="21">
        <f>100*(L50-L49)</f>
        <v/>
      </c>
      <c r="M184" s="21">
        <f>100*(M50-M49)</f>
        <v/>
      </c>
      <c r="N184" s="21">
        <f>100*(N50-N49)</f>
        <v/>
      </c>
      <c r="O184" s="21">
        <f>100*(O50-O49)</f>
        <v/>
      </c>
      <c r="P184" s="21">
        <f>100*(P50-P49)</f>
        <v/>
      </c>
      <c r="Q184" s="21">
        <f>100*(Q50-Q49)</f>
        <v/>
      </c>
      <c r="R184" s="21">
        <f>100*(R50-R49)</f>
        <v/>
      </c>
      <c r="S184" s="21">
        <f>100*(S50-S49)</f>
        <v/>
      </c>
      <c r="T184" s="21">
        <f>100*(T50-T49)</f>
        <v/>
      </c>
      <c r="U184" s="21">
        <f>100*(U50-U49)</f>
        <v/>
      </c>
      <c r="V184" s="21">
        <f>100*(V50-V49)</f>
        <v/>
      </c>
      <c r="W184" s="21">
        <f>100*(W50-W49)</f>
        <v/>
      </c>
      <c r="X184" s="21">
        <f>100*(X50-X49)</f>
        <v/>
      </c>
      <c r="Y184" s="21">
        <f>100*(Y50-Y49)</f>
        <v/>
      </c>
      <c r="Z184" s="21">
        <f>100*(Z50-Z49)</f>
        <v/>
      </c>
      <c r="AA184" s="21">
        <f>100*(AA50-AA49)</f>
        <v/>
      </c>
      <c r="AB184" s="21">
        <f>100*(AB50-AB49)</f>
        <v/>
      </c>
      <c r="AC184" s="21">
        <f>100*(AC50-AC49)</f>
        <v/>
      </c>
      <c r="AD184" s="21">
        <f>100*(AD50-AD49)</f>
        <v/>
      </c>
      <c r="AE184" s="21">
        <f>100*(AE50-AE49)</f>
        <v/>
      </c>
      <c r="AF184" s="21">
        <f>100*(AF50-AF49)</f>
        <v/>
      </c>
      <c r="AG184" s="21">
        <f>100*(AG50-AG49)</f>
        <v/>
      </c>
      <c r="AH184" s="21">
        <f>100*(AH50-AH49)</f>
        <v/>
      </c>
      <c r="AI184" s="21">
        <f>100*(AI50-AI49)</f>
        <v/>
      </c>
      <c r="AJ184" s="21">
        <f>100*(AJ50-AJ49)</f>
        <v/>
      </c>
      <c r="AK184" s="21">
        <f>100*(AK50-AK49)</f>
        <v/>
      </c>
      <c r="AL184" s="21">
        <f>AVERAGE(C184:AK184)</f>
        <v/>
      </c>
    </row>
    <row r="185">
      <c r="A185" s="19">
        <f>A51</f>
        <v/>
      </c>
      <c r="B185" s="20">
        <f>B51</f>
        <v/>
      </c>
      <c r="C185" s="21">
        <f>100*(C51-C50)</f>
        <v/>
      </c>
      <c r="D185" s="21">
        <f>100*(D51-D50)</f>
        <v/>
      </c>
      <c r="E185" s="21">
        <f>100*(E51-E50)</f>
        <v/>
      </c>
      <c r="F185" s="21">
        <f>100*(F51-F50)</f>
        <v/>
      </c>
      <c r="G185" s="21">
        <f>100*(G51-G50)</f>
        <v/>
      </c>
      <c r="H185" s="21">
        <f>100*(H51-H50)</f>
        <v/>
      </c>
      <c r="I185" s="21">
        <f>100*(I51-I50)</f>
        <v/>
      </c>
      <c r="J185" s="21">
        <f>100*(J51-J50)</f>
        <v/>
      </c>
      <c r="K185" s="21">
        <f>100*(K51-K50)</f>
        <v/>
      </c>
      <c r="L185" s="21">
        <f>100*(L51-L50)</f>
        <v/>
      </c>
      <c r="M185" s="21">
        <f>100*(M51-M50)</f>
        <v/>
      </c>
      <c r="N185" s="21">
        <f>100*(N51-N50)</f>
        <v/>
      </c>
      <c r="O185" s="21">
        <f>100*(O51-O50)</f>
        <v/>
      </c>
      <c r="P185" s="21">
        <f>100*(P51-P50)</f>
        <v/>
      </c>
      <c r="Q185" s="21">
        <f>100*(Q51-Q50)</f>
        <v/>
      </c>
      <c r="R185" s="21">
        <f>100*(R51-R50)</f>
        <v/>
      </c>
      <c r="S185" s="21">
        <f>100*(S51-S50)</f>
        <v/>
      </c>
      <c r="T185" s="21">
        <f>100*(T51-T50)</f>
        <v/>
      </c>
      <c r="U185" s="21">
        <f>100*(U51-U50)</f>
        <v/>
      </c>
      <c r="V185" s="21">
        <f>100*(V51-V50)</f>
        <v/>
      </c>
      <c r="W185" s="21">
        <f>100*(W51-W50)</f>
        <v/>
      </c>
      <c r="X185" s="21">
        <f>100*(X51-X50)</f>
        <v/>
      </c>
      <c r="Y185" s="21">
        <f>100*(Y51-Y50)</f>
        <v/>
      </c>
      <c r="Z185" s="21">
        <f>100*(Z51-Z50)</f>
        <v/>
      </c>
      <c r="AA185" s="21">
        <f>100*(AA51-AA50)</f>
        <v/>
      </c>
      <c r="AB185" s="21">
        <f>100*(AB51-AB50)</f>
        <v/>
      </c>
      <c r="AC185" s="21">
        <f>100*(AC51-AC50)</f>
        <v/>
      </c>
      <c r="AD185" s="21">
        <f>100*(AD51-AD50)</f>
        <v/>
      </c>
      <c r="AE185" s="21">
        <f>100*(AE51-AE50)</f>
        <v/>
      </c>
      <c r="AF185" s="21">
        <f>100*(AF51-AF50)</f>
        <v/>
      </c>
      <c r="AG185" s="21">
        <f>100*(AG51-AG50)</f>
        <v/>
      </c>
      <c r="AH185" s="21">
        <f>100*(AH51-AH50)</f>
        <v/>
      </c>
      <c r="AI185" s="21">
        <f>100*(AI51-AI50)</f>
        <v/>
      </c>
      <c r="AJ185" s="21">
        <f>100*(AJ51-AJ50)</f>
        <v/>
      </c>
      <c r="AK185" s="21">
        <f>100*(AK51-AK50)</f>
        <v/>
      </c>
      <c r="AL185" s="21">
        <f>AVERAGE(C185:AK185)</f>
        <v/>
      </c>
    </row>
    <row r="186">
      <c r="A186" s="19">
        <f>A52</f>
        <v/>
      </c>
      <c r="B186" s="20">
        <f>B52</f>
        <v/>
      </c>
      <c r="C186" s="21">
        <f>100*(C52-C51)</f>
        <v/>
      </c>
      <c r="D186" s="21">
        <f>100*(D52-D51)</f>
        <v/>
      </c>
      <c r="E186" s="21">
        <f>100*(E52-E51)</f>
        <v/>
      </c>
      <c r="F186" s="21">
        <f>100*(F52-F51)</f>
        <v/>
      </c>
      <c r="G186" s="21">
        <f>100*(G52-G51)</f>
        <v/>
      </c>
      <c r="H186" s="21">
        <f>100*(H52-H51)</f>
        <v/>
      </c>
      <c r="I186" s="21">
        <f>100*(I52-I51)</f>
        <v/>
      </c>
      <c r="J186" s="21">
        <f>100*(J52-J51)</f>
        <v/>
      </c>
      <c r="K186" s="21">
        <f>100*(K52-K51)</f>
        <v/>
      </c>
      <c r="L186" s="21">
        <f>100*(L52-L51)</f>
        <v/>
      </c>
      <c r="M186" s="21">
        <f>100*(M52-M51)</f>
        <v/>
      </c>
      <c r="N186" s="21">
        <f>100*(N52-N51)</f>
        <v/>
      </c>
      <c r="O186" s="21">
        <f>100*(O52-O51)</f>
        <v/>
      </c>
      <c r="P186" s="21">
        <f>100*(P52-P51)</f>
        <v/>
      </c>
      <c r="Q186" s="21">
        <f>100*(Q52-Q51)</f>
        <v/>
      </c>
      <c r="R186" s="21">
        <f>100*(R52-R51)</f>
        <v/>
      </c>
      <c r="S186" s="21">
        <f>100*(S52-S51)</f>
        <v/>
      </c>
      <c r="T186" s="21">
        <f>100*(T52-T51)</f>
        <v/>
      </c>
      <c r="U186" s="21">
        <f>100*(U52-U51)</f>
        <v/>
      </c>
      <c r="V186" s="21">
        <f>100*(V52-V51)</f>
        <v/>
      </c>
      <c r="W186" s="21">
        <f>100*(W52-W51)</f>
        <v/>
      </c>
      <c r="X186" s="21">
        <f>100*(X52-X51)</f>
        <v/>
      </c>
      <c r="Y186" s="21">
        <f>100*(Y52-Y51)</f>
        <v/>
      </c>
      <c r="Z186" s="21">
        <f>100*(Z52-Z51)</f>
        <v/>
      </c>
      <c r="AA186" s="21">
        <f>100*(AA52-AA51)</f>
        <v/>
      </c>
      <c r="AB186" s="21">
        <f>100*(AB52-AB51)</f>
        <v/>
      </c>
      <c r="AC186" s="21">
        <f>100*(AC52-AC51)</f>
        <v/>
      </c>
      <c r="AD186" s="21">
        <f>100*(AD52-AD51)</f>
        <v/>
      </c>
      <c r="AE186" s="21">
        <f>100*(AE52-AE51)</f>
        <v/>
      </c>
      <c r="AF186" s="21">
        <f>100*(AF52-AF51)</f>
        <v/>
      </c>
      <c r="AG186" s="21">
        <f>100*(AG52-AG51)</f>
        <v/>
      </c>
      <c r="AH186" s="21">
        <f>100*(AH52-AH51)</f>
        <v/>
      </c>
      <c r="AI186" s="21">
        <f>100*(AI52-AI51)</f>
        <v/>
      </c>
      <c r="AJ186" s="21">
        <f>100*(AJ52-AJ51)</f>
        <v/>
      </c>
      <c r="AK186" s="21">
        <f>100*(AK52-AK51)</f>
        <v/>
      </c>
      <c r="AL186" s="21">
        <f>AVERAGE(C186:AK186)</f>
        <v/>
      </c>
    </row>
    <row r="187">
      <c r="A187" s="19">
        <f>A53</f>
        <v/>
      </c>
      <c r="B187" s="20">
        <f>B53</f>
        <v/>
      </c>
      <c r="C187" s="21">
        <f>100*(C53-C52)</f>
        <v/>
      </c>
      <c r="D187" s="21">
        <f>100*(D53-D52)</f>
        <v/>
      </c>
      <c r="E187" s="21">
        <f>100*(E53-E52)</f>
        <v/>
      </c>
      <c r="F187" s="21">
        <f>100*(F53-F52)</f>
        <v/>
      </c>
      <c r="G187" s="21">
        <f>100*(G53-G52)</f>
        <v/>
      </c>
      <c r="H187" s="21">
        <f>100*(H53-H52)</f>
        <v/>
      </c>
      <c r="I187" s="21">
        <f>100*(I53-I52)</f>
        <v/>
      </c>
      <c r="J187" s="21">
        <f>100*(J53-J52)</f>
        <v/>
      </c>
      <c r="K187" s="21">
        <f>100*(K53-K52)</f>
        <v/>
      </c>
      <c r="L187" s="21">
        <f>100*(L53-L52)</f>
        <v/>
      </c>
      <c r="M187" s="21">
        <f>100*(M53-M52)</f>
        <v/>
      </c>
      <c r="N187" s="21">
        <f>100*(N53-N52)</f>
        <v/>
      </c>
      <c r="O187" s="21">
        <f>100*(O53-O52)</f>
        <v/>
      </c>
      <c r="P187" s="21">
        <f>100*(P53-P52)</f>
        <v/>
      </c>
      <c r="Q187" s="21">
        <f>100*(Q53-Q52)</f>
        <v/>
      </c>
      <c r="R187" s="21">
        <f>100*(R53-R52)</f>
        <v/>
      </c>
      <c r="S187" s="21">
        <f>100*(S53-S52)</f>
        <v/>
      </c>
      <c r="T187" s="21">
        <f>100*(T53-T52)</f>
        <v/>
      </c>
      <c r="U187" s="21">
        <f>100*(U53-U52)</f>
        <v/>
      </c>
      <c r="V187" s="21">
        <f>100*(V53-V52)</f>
        <v/>
      </c>
      <c r="W187" s="21">
        <f>100*(W53-W52)</f>
        <v/>
      </c>
      <c r="X187" s="21">
        <f>100*(X53-X52)</f>
        <v/>
      </c>
      <c r="Y187" s="21">
        <f>100*(Y53-Y52)</f>
        <v/>
      </c>
      <c r="Z187" s="21">
        <f>100*(Z53-Z52)</f>
        <v/>
      </c>
      <c r="AA187" s="21">
        <f>100*(AA53-AA52)</f>
        <v/>
      </c>
      <c r="AB187" s="21">
        <f>100*(AB53-AB52)</f>
        <v/>
      </c>
      <c r="AC187" s="21">
        <f>100*(AC53-AC52)</f>
        <v/>
      </c>
      <c r="AD187" s="21">
        <f>100*(AD53-AD52)</f>
        <v/>
      </c>
      <c r="AE187" s="21">
        <f>100*(AE53-AE52)</f>
        <v/>
      </c>
      <c r="AF187" s="21">
        <f>100*(AF53-AF52)</f>
        <v/>
      </c>
      <c r="AG187" s="21">
        <f>100*(AG53-AG52)</f>
        <v/>
      </c>
      <c r="AH187" s="21">
        <f>100*(AH53-AH52)</f>
        <v/>
      </c>
      <c r="AI187" s="21">
        <f>100*(AI53-AI52)</f>
        <v/>
      </c>
      <c r="AJ187" s="21">
        <f>100*(AJ53-AJ52)</f>
        <v/>
      </c>
      <c r="AK187" s="21">
        <f>100*(AK53-AK52)</f>
        <v/>
      </c>
      <c r="AL187" s="21">
        <f>AVERAGE(C187:AK187)</f>
        <v/>
      </c>
    </row>
    <row r="188">
      <c r="A188" s="19">
        <f>A54</f>
        <v/>
      </c>
      <c r="B188" s="20">
        <f>B54</f>
        <v/>
      </c>
      <c r="C188" s="21">
        <f>100*(C54-C53)</f>
        <v/>
      </c>
      <c r="D188" s="21">
        <f>100*(D54-D53)</f>
        <v/>
      </c>
      <c r="E188" s="21">
        <f>100*(E54-E53)</f>
        <v/>
      </c>
      <c r="F188" s="21">
        <f>100*(F54-F53)</f>
        <v/>
      </c>
      <c r="G188" s="21">
        <f>100*(G54-G53)</f>
        <v/>
      </c>
      <c r="H188" s="21">
        <f>100*(H54-H53)</f>
        <v/>
      </c>
      <c r="I188" s="21">
        <f>100*(I54-I53)</f>
        <v/>
      </c>
      <c r="J188" s="21">
        <f>100*(J54-J53)</f>
        <v/>
      </c>
      <c r="K188" s="21">
        <f>100*(K54-K53)</f>
        <v/>
      </c>
      <c r="L188" s="21">
        <f>100*(L54-L53)</f>
        <v/>
      </c>
      <c r="M188" s="21">
        <f>100*(M54-M53)</f>
        <v/>
      </c>
      <c r="N188" s="21">
        <f>100*(N54-N53)</f>
        <v/>
      </c>
      <c r="O188" s="21">
        <f>100*(O54-O53)</f>
        <v/>
      </c>
      <c r="P188" s="21">
        <f>100*(P54-P53)</f>
        <v/>
      </c>
      <c r="Q188" s="21">
        <f>100*(Q54-Q53)</f>
        <v/>
      </c>
      <c r="R188" s="21">
        <f>100*(R54-R53)</f>
        <v/>
      </c>
      <c r="S188" s="21">
        <f>100*(S54-S53)</f>
        <v/>
      </c>
      <c r="T188" s="21">
        <f>100*(T54-T53)</f>
        <v/>
      </c>
      <c r="U188" s="21">
        <f>100*(U54-U53)</f>
        <v/>
      </c>
      <c r="V188" s="21">
        <f>100*(V54-V53)</f>
        <v/>
      </c>
      <c r="W188" s="21">
        <f>100*(W54-W53)</f>
        <v/>
      </c>
      <c r="X188" s="21">
        <f>100*(X54-X53)</f>
        <v/>
      </c>
      <c r="Y188" s="21">
        <f>100*(Y54-Y53)</f>
        <v/>
      </c>
      <c r="Z188" s="21">
        <f>100*(Z54-Z53)</f>
        <v/>
      </c>
      <c r="AA188" s="21">
        <f>100*(AA54-AA53)</f>
        <v/>
      </c>
      <c r="AB188" s="21">
        <f>100*(AB54-AB53)</f>
        <v/>
      </c>
      <c r="AC188" s="21">
        <f>100*(AC54-AC53)</f>
        <v/>
      </c>
      <c r="AD188" s="21">
        <f>100*(AD54-AD53)</f>
        <v/>
      </c>
      <c r="AE188" s="21">
        <f>100*(AE54-AE53)</f>
        <v/>
      </c>
      <c r="AF188" s="21">
        <f>100*(AF54-AF53)</f>
        <v/>
      </c>
      <c r="AG188" s="21">
        <f>100*(AG54-AG53)</f>
        <v/>
      </c>
      <c r="AH188" s="21">
        <f>100*(AH54-AH53)</f>
        <v/>
      </c>
      <c r="AI188" s="21">
        <f>100*(AI54-AI53)</f>
        <v/>
      </c>
      <c r="AJ188" s="21">
        <f>100*(AJ54-AJ53)</f>
        <v/>
      </c>
      <c r="AK188" s="21">
        <f>100*(AK54-AK53)</f>
        <v/>
      </c>
      <c r="AL188" s="21">
        <f>AVERAGE(C188:AK188)</f>
        <v/>
      </c>
    </row>
    <row r="189">
      <c r="A189" s="19">
        <f>A55</f>
        <v/>
      </c>
      <c r="B189" s="20">
        <f>B55</f>
        <v/>
      </c>
      <c r="C189" s="21">
        <f>100*(C55-C54)</f>
        <v/>
      </c>
      <c r="D189" s="21">
        <f>100*(D55-D54)</f>
        <v/>
      </c>
      <c r="E189" s="21">
        <f>100*(E55-E54)</f>
        <v/>
      </c>
      <c r="F189" s="21">
        <f>100*(F55-F54)</f>
        <v/>
      </c>
      <c r="G189" s="21">
        <f>100*(G55-G54)</f>
        <v/>
      </c>
      <c r="H189" s="21">
        <f>100*(H55-H54)</f>
        <v/>
      </c>
      <c r="I189" s="21">
        <f>100*(I55-I54)</f>
        <v/>
      </c>
      <c r="J189" s="21">
        <f>100*(J55-J54)</f>
        <v/>
      </c>
      <c r="K189" s="21">
        <f>100*(K55-K54)</f>
        <v/>
      </c>
      <c r="L189" s="21">
        <f>100*(L55-L54)</f>
        <v/>
      </c>
      <c r="M189" s="21">
        <f>100*(M55-M54)</f>
        <v/>
      </c>
      <c r="N189" s="21">
        <f>100*(N55-N54)</f>
        <v/>
      </c>
      <c r="O189" s="21">
        <f>100*(O55-O54)</f>
        <v/>
      </c>
      <c r="P189" s="21">
        <f>100*(P55-P54)</f>
        <v/>
      </c>
      <c r="Q189" s="21">
        <f>100*(Q55-Q54)</f>
        <v/>
      </c>
      <c r="R189" s="21">
        <f>100*(R55-R54)</f>
        <v/>
      </c>
      <c r="S189" s="21">
        <f>100*(S55-S54)</f>
        <v/>
      </c>
      <c r="T189" s="21">
        <f>100*(T55-T54)</f>
        <v/>
      </c>
      <c r="U189" s="21">
        <f>100*(U55-U54)</f>
        <v/>
      </c>
      <c r="V189" s="21">
        <f>100*(V55-V54)</f>
        <v/>
      </c>
      <c r="W189" s="21">
        <f>100*(W55-W54)</f>
        <v/>
      </c>
      <c r="X189" s="21">
        <f>100*(X55-X54)</f>
        <v/>
      </c>
      <c r="Y189" s="21">
        <f>100*(Y55-Y54)</f>
        <v/>
      </c>
      <c r="Z189" s="21">
        <f>100*(Z55-Z54)</f>
        <v/>
      </c>
      <c r="AA189" s="21">
        <f>100*(AA55-AA54)</f>
        <v/>
      </c>
      <c r="AB189" s="21">
        <f>100*(AB55-AB54)</f>
        <v/>
      </c>
      <c r="AC189" s="21">
        <f>100*(AC55-AC54)</f>
        <v/>
      </c>
      <c r="AD189" s="21">
        <f>100*(AD55-AD54)</f>
        <v/>
      </c>
      <c r="AE189" s="21">
        <f>100*(AE55-AE54)</f>
        <v/>
      </c>
      <c r="AF189" s="21">
        <f>100*(AF55-AF54)</f>
        <v/>
      </c>
      <c r="AG189" s="21">
        <f>100*(AG55-AG54)</f>
        <v/>
      </c>
      <c r="AH189" s="21">
        <f>100*(AH55-AH54)</f>
        <v/>
      </c>
      <c r="AI189" s="21">
        <f>100*(AI55-AI54)</f>
        <v/>
      </c>
      <c r="AJ189" s="21">
        <f>100*(AJ55-AJ54)</f>
        <v/>
      </c>
      <c r="AK189" s="21">
        <f>100*(AK55-AK54)</f>
        <v/>
      </c>
      <c r="AL189" s="21">
        <f>AVERAGE(C189:AK189)</f>
        <v/>
      </c>
    </row>
    <row r="190">
      <c r="A190" s="19">
        <f>A56</f>
        <v/>
      </c>
      <c r="B190" s="20">
        <f>B56</f>
        <v/>
      </c>
      <c r="C190" s="21">
        <f>100*(C56-C55)</f>
        <v/>
      </c>
      <c r="D190" s="21">
        <f>100*(D56-D55)</f>
        <v/>
      </c>
      <c r="E190" s="21">
        <f>100*(E56-E55)</f>
        <v/>
      </c>
      <c r="F190" s="21">
        <f>100*(F56-F55)</f>
        <v/>
      </c>
      <c r="G190" s="21">
        <f>100*(G56-G55)</f>
        <v/>
      </c>
      <c r="H190" s="21">
        <f>100*(H56-H55)</f>
        <v/>
      </c>
      <c r="I190" s="21">
        <f>100*(I56-I55)</f>
        <v/>
      </c>
      <c r="J190" s="21">
        <f>100*(J56-J55)</f>
        <v/>
      </c>
      <c r="K190" s="21">
        <f>100*(K56-K55)</f>
        <v/>
      </c>
      <c r="L190" s="21">
        <f>100*(L56-L55)</f>
        <v/>
      </c>
      <c r="M190" s="21">
        <f>100*(M56-M55)</f>
        <v/>
      </c>
      <c r="N190" s="21">
        <f>100*(N56-N55)</f>
        <v/>
      </c>
      <c r="O190" s="21">
        <f>100*(O56-O55)</f>
        <v/>
      </c>
      <c r="P190" s="21">
        <f>100*(P56-P55)</f>
        <v/>
      </c>
      <c r="Q190" s="21">
        <f>100*(Q56-Q55)</f>
        <v/>
      </c>
      <c r="R190" s="21">
        <f>100*(R56-R55)</f>
        <v/>
      </c>
      <c r="S190" s="21">
        <f>100*(S56-S55)</f>
        <v/>
      </c>
      <c r="T190" s="21">
        <f>100*(T56-T55)</f>
        <v/>
      </c>
      <c r="U190" s="21">
        <f>100*(U56-U55)</f>
        <v/>
      </c>
      <c r="V190" s="21">
        <f>100*(V56-V55)</f>
        <v/>
      </c>
      <c r="W190" s="21">
        <f>100*(W56-W55)</f>
        <v/>
      </c>
      <c r="X190" s="21">
        <f>100*(X56-X55)</f>
        <v/>
      </c>
      <c r="Y190" s="21">
        <f>100*(Y56-Y55)</f>
        <v/>
      </c>
      <c r="Z190" s="21">
        <f>100*(Z56-Z55)</f>
        <v/>
      </c>
      <c r="AA190" s="21">
        <f>100*(AA56-AA55)</f>
        <v/>
      </c>
      <c r="AB190" s="21">
        <f>100*(AB56-AB55)</f>
        <v/>
      </c>
      <c r="AC190" s="21">
        <f>100*(AC56-AC55)</f>
        <v/>
      </c>
      <c r="AD190" s="21">
        <f>100*(AD56-AD55)</f>
        <v/>
      </c>
      <c r="AE190" s="21">
        <f>100*(AE56-AE55)</f>
        <v/>
      </c>
      <c r="AF190" s="21">
        <f>100*(AF56-AF55)</f>
        <v/>
      </c>
      <c r="AG190" s="21">
        <f>100*(AG56-AG55)</f>
        <v/>
      </c>
      <c r="AH190" s="21">
        <f>100*(AH56-AH55)</f>
        <v/>
      </c>
      <c r="AI190" s="21">
        <f>100*(AI56-AI55)</f>
        <v/>
      </c>
      <c r="AJ190" s="21">
        <f>100*(AJ56-AJ55)</f>
        <v/>
      </c>
      <c r="AK190" s="21">
        <f>100*(AK56-AK55)</f>
        <v/>
      </c>
      <c r="AL190" s="21">
        <f>AVERAGE(C190:AK190)</f>
        <v/>
      </c>
    </row>
    <row r="191">
      <c r="A191" s="19">
        <f>A57</f>
        <v/>
      </c>
      <c r="B191" s="20">
        <f>B57</f>
        <v/>
      </c>
      <c r="C191" s="21">
        <f>100*(C57-C56)</f>
        <v/>
      </c>
      <c r="D191" s="21">
        <f>100*(D57-D56)</f>
        <v/>
      </c>
      <c r="E191" s="21">
        <f>100*(E57-E56)</f>
        <v/>
      </c>
      <c r="F191" s="21">
        <f>100*(F57-F56)</f>
        <v/>
      </c>
      <c r="G191" s="21">
        <f>100*(G57-G56)</f>
        <v/>
      </c>
      <c r="H191" s="21">
        <f>100*(H57-H56)</f>
        <v/>
      </c>
      <c r="I191" s="21">
        <f>100*(I57-I56)</f>
        <v/>
      </c>
      <c r="J191" s="21">
        <f>100*(J57-J56)</f>
        <v/>
      </c>
      <c r="K191" s="21">
        <f>100*(K57-K56)</f>
        <v/>
      </c>
      <c r="L191" s="21">
        <f>100*(L57-L56)</f>
        <v/>
      </c>
      <c r="M191" s="21">
        <f>100*(M57-M56)</f>
        <v/>
      </c>
      <c r="N191" s="21">
        <f>100*(N57-N56)</f>
        <v/>
      </c>
      <c r="O191" s="21">
        <f>100*(O57-O56)</f>
        <v/>
      </c>
      <c r="P191" s="21">
        <f>100*(P57-P56)</f>
        <v/>
      </c>
      <c r="Q191" s="21">
        <f>100*(Q57-Q56)</f>
        <v/>
      </c>
      <c r="R191" s="21">
        <f>100*(R57-R56)</f>
        <v/>
      </c>
      <c r="S191" s="21">
        <f>100*(S57-S56)</f>
        <v/>
      </c>
      <c r="T191" s="21">
        <f>100*(T57-T56)</f>
        <v/>
      </c>
      <c r="U191" s="21">
        <f>100*(U57-U56)</f>
        <v/>
      </c>
      <c r="V191" s="21">
        <f>100*(V57-V56)</f>
        <v/>
      </c>
      <c r="W191" s="21">
        <f>100*(W57-W56)</f>
        <v/>
      </c>
      <c r="X191" s="21">
        <f>100*(X57-X56)</f>
        <v/>
      </c>
      <c r="Y191" s="21">
        <f>100*(Y57-Y56)</f>
        <v/>
      </c>
      <c r="Z191" s="21">
        <f>100*(Z57-Z56)</f>
        <v/>
      </c>
      <c r="AA191" s="21">
        <f>100*(AA57-AA56)</f>
        <v/>
      </c>
      <c r="AB191" s="21">
        <f>100*(AB57-AB56)</f>
        <v/>
      </c>
      <c r="AC191" s="21">
        <f>100*(AC57-AC56)</f>
        <v/>
      </c>
      <c r="AD191" s="21">
        <f>100*(AD57-AD56)</f>
        <v/>
      </c>
      <c r="AE191" s="21">
        <f>100*(AE57-AE56)</f>
        <v/>
      </c>
      <c r="AF191" s="21">
        <f>100*(AF57-AF56)</f>
        <v/>
      </c>
      <c r="AG191" s="21">
        <f>100*(AG57-AG56)</f>
        <v/>
      </c>
      <c r="AH191" s="21">
        <f>100*(AH57-AH56)</f>
        <v/>
      </c>
      <c r="AI191" s="21">
        <f>100*(AI57-AI56)</f>
        <v/>
      </c>
      <c r="AJ191" s="21">
        <f>100*(AJ57-AJ56)</f>
        <v/>
      </c>
      <c r="AK191" s="21">
        <f>100*(AK57-AK56)</f>
        <v/>
      </c>
      <c r="AL191" s="21">
        <f>AVERAGE(C191:AK191)</f>
        <v/>
      </c>
    </row>
    <row r="192">
      <c r="A192" s="19">
        <f>A58</f>
        <v/>
      </c>
      <c r="B192" s="20">
        <f>B58</f>
        <v/>
      </c>
      <c r="C192" s="21">
        <f>100*(C58-C57)</f>
        <v/>
      </c>
      <c r="D192" s="21">
        <f>100*(D58-D57)</f>
        <v/>
      </c>
      <c r="E192" s="21">
        <f>100*(E58-E57)</f>
        <v/>
      </c>
      <c r="F192" s="21">
        <f>100*(F58-F57)</f>
        <v/>
      </c>
      <c r="G192" s="21">
        <f>100*(G58-G57)</f>
        <v/>
      </c>
      <c r="H192" s="21">
        <f>100*(H58-H57)</f>
        <v/>
      </c>
      <c r="I192" s="21">
        <f>100*(I58-I57)</f>
        <v/>
      </c>
      <c r="J192" s="21">
        <f>100*(J58-J57)</f>
        <v/>
      </c>
      <c r="K192" s="21">
        <f>100*(K58-K57)</f>
        <v/>
      </c>
      <c r="L192" s="21">
        <f>100*(L58-L57)</f>
        <v/>
      </c>
      <c r="M192" s="21">
        <f>100*(M58-M57)</f>
        <v/>
      </c>
      <c r="N192" s="21">
        <f>100*(N58-N57)</f>
        <v/>
      </c>
      <c r="O192" s="21">
        <f>100*(O58-O57)</f>
        <v/>
      </c>
      <c r="P192" s="21">
        <f>100*(P58-P57)</f>
        <v/>
      </c>
      <c r="Q192" s="21">
        <f>100*(Q58-Q57)</f>
        <v/>
      </c>
      <c r="R192" s="21">
        <f>100*(R58-R57)</f>
        <v/>
      </c>
      <c r="S192" s="21">
        <f>100*(S58-S57)</f>
        <v/>
      </c>
      <c r="T192" s="21">
        <f>100*(T58-T57)</f>
        <v/>
      </c>
      <c r="U192" s="21">
        <f>100*(U58-U57)</f>
        <v/>
      </c>
      <c r="V192" s="21">
        <f>100*(V58-V57)</f>
        <v/>
      </c>
      <c r="W192" s="21">
        <f>100*(W58-W57)</f>
        <v/>
      </c>
      <c r="X192" s="21">
        <f>100*(X58-X57)</f>
        <v/>
      </c>
      <c r="Y192" s="21">
        <f>100*(Y58-Y57)</f>
        <v/>
      </c>
      <c r="Z192" s="21">
        <f>100*(Z58-Z57)</f>
        <v/>
      </c>
      <c r="AA192" s="21">
        <f>100*(AA58-AA57)</f>
        <v/>
      </c>
      <c r="AB192" s="21">
        <f>100*(AB58-AB57)</f>
        <v/>
      </c>
      <c r="AC192" s="21">
        <f>100*(AC58-AC57)</f>
        <v/>
      </c>
      <c r="AD192" s="21">
        <f>100*(AD58-AD57)</f>
        <v/>
      </c>
      <c r="AE192" s="21">
        <f>100*(AE58-AE57)</f>
        <v/>
      </c>
      <c r="AF192" s="21">
        <f>100*(AF58-AF57)</f>
        <v/>
      </c>
      <c r="AG192" s="21">
        <f>100*(AG58-AG57)</f>
        <v/>
      </c>
      <c r="AH192" s="21">
        <f>100*(AH58-AH57)</f>
        <v/>
      </c>
      <c r="AI192" s="21">
        <f>100*(AI58-AI57)</f>
        <v/>
      </c>
      <c r="AJ192" s="21">
        <f>100*(AJ58-AJ57)</f>
        <v/>
      </c>
      <c r="AK192" s="21">
        <f>100*(AK58-AK57)</f>
        <v/>
      </c>
      <c r="AL192" s="21">
        <f>AVERAGE(C192:AK192)</f>
        <v/>
      </c>
    </row>
    <row r="193">
      <c r="A193" s="19">
        <f>A59</f>
        <v/>
      </c>
      <c r="B193" s="20">
        <f>B59</f>
        <v/>
      </c>
      <c r="C193" s="21">
        <f>100*(C59-C58)</f>
        <v/>
      </c>
      <c r="D193" s="21">
        <f>100*(D59-D58)</f>
        <v/>
      </c>
      <c r="E193" s="21">
        <f>100*(E59-E58)</f>
        <v/>
      </c>
      <c r="F193" s="21">
        <f>100*(F59-F58)</f>
        <v/>
      </c>
      <c r="G193" s="21">
        <f>100*(G59-G58)</f>
        <v/>
      </c>
      <c r="H193" s="21">
        <f>100*(H59-H58)</f>
        <v/>
      </c>
      <c r="I193" s="21">
        <f>100*(I59-I58)</f>
        <v/>
      </c>
      <c r="J193" s="21">
        <f>100*(J59-J58)</f>
        <v/>
      </c>
      <c r="K193" s="21">
        <f>100*(K59-K58)</f>
        <v/>
      </c>
      <c r="L193" s="21">
        <f>100*(L59-L58)</f>
        <v/>
      </c>
      <c r="M193" s="21">
        <f>100*(M59-M58)</f>
        <v/>
      </c>
      <c r="N193" s="21">
        <f>100*(N59-N58)</f>
        <v/>
      </c>
      <c r="O193" s="21">
        <f>100*(O59-O58)</f>
        <v/>
      </c>
      <c r="P193" s="21">
        <f>100*(P59-P58)</f>
        <v/>
      </c>
      <c r="Q193" s="21">
        <f>100*(Q59-Q58)</f>
        <v/>
      </c>
      <c r="R193" s="21">
        <f>100*(R59-R58)</f>
        <v/>
      </c>
      <c r="S193" s="21">
        <f>100*(S59-S58)</f>
        <v/>
      </c>
      <c r="T193" s="21">
        <f>100*(T59-T58)</f>
        <v/>
      </c>
      <c r="U193" s="21">
        <f>100*(U59-U58)</f>
        <v/>
      </c>
      <c r="V193" s="21">
        <f>100*(V59-V58)</f>
        <v/>
      </c>
      <c r="W193" s="21">
        <f>100*(W59-W58)</f>
        <v/>
      </c>
      <c r="X193" s="21">
        <f>100*(X59-X58)</f>
        <v/>
      </c>
      <c r="Y193" s="21">
        <f>100*(Y59-Y58)</f>
        <v/>
      </c>
      <c r="Z193" s="21">
        <f>100*(Z59-Z58)</f>
        <v/>
      </c>
      <c r="AA193" s="21">
        <f>100*(AA59-AA58)</f>
        <v/>
      </c>
      <c r="AB193" s="21">
        <f>100*(AB59-AB58)</f>
        <v/>
      </c>
      <c r="AC193" s="21">
        <f>100*(AC59-AC58)</f>
        <v/>
      </c>
      <c r="AD193" s="21">
        <f>100*(AD59-AD58)</f>
        <v/>
      </c>
      <c r="AE193" s="21">
        <f>100*(AE59-AE58)</f>
        <v/>
      </c>
      <c r="AF193" s="21">
        <f>100*(AF59-AF58)</f>
        <v/>
      </c>
      <c r="AG193" s="21">
        <f>100*(AG59-AG58)</f>
        <v/>
      </c>
      <c r="AH193" s="21">
        <f>100*(AH59-AH58)</f>
        <v/>
      </c>
      <c r="AI193" s="21">
        <f>100*(AI59-AI58)</f>
        <v/>
      </c>
      <c r="AJ193" s="21">
        <f>100*(AJ59-AJ58)</f>
        <v/>
      </c>
      <c r="AK193" s="21">
        <f>100*(AK59-AK58)</f>
        <v/>
      </c>
      <c r="AL193" s="21">
        <f>AVERAGE(C193:AK193)</f>
        <v/>
      </c>
    </row>
    <row r="194">
      <c r="A194" s="19">
        <f>A60</f>
        <v/>
      </c>
      <c r="B194" s="20">
        <f>B60</f>
        <v/>
      </c>
      <c r="C194" s="21">
        <f>100*(C60-C59)</f>
        <v/>
      </c>
      <c r="D194" s="21">
        <f>100*(D60-D59)</f>
        <v/>
      </c>
      <c r="E194" s="21">
        <f>100*(E60-E59)</f>
        <v/>
      </c>
      <c r="F194" s="21">
        <f>100*(F60-F59)</f>
        <v/>
      </c>
      <c r="G194" s="21">
        <f>100*(G60-G59)</f>
        <v/>
      </c>
      <c r="H194" s="21">
        <f>100*(H60-H59)</f>
        <v/>
      </c>
      <c r="I194" s="21">
        <f>100*(I60-I59)</f>
        <v/>
      </c>
      <c r="J194" s="21">
        <f>100*(J60-J59)</f>
        <v/>
      </c>
      <c r="K194" s="21">
        <f>100*(K60-K59)</f>
        <v/>
      </c>
      <c r="L194" s="21">
        <f>100*(L60-L59)</f>
        <v/>
      </c>
      <c r="M194" s="21">
        <f>100*(M60-M59)</f>
        <v/>
      </c>
      <c r="N194" s="21">
        <f>100*(N60-N59)</f>
        <v/>
      </c>
      <c r="O194" s="21">
        <f>100*(O60-O59)</f>
        <v/>
      </c>
      <c r="P194" s="21">
        <f>100*(P60-P59)</f>
        <v/>
      </c>
      <c r="Q194" s="21">
        <f>100*(Q60-Q59)</f>
        <v/>
      </c>
      <c r="R194" s="21">
        <f>100*(R60-R59)</f>
        <v/>
      </c>
      <c r="S194" s="21">
        <f>100*(S60-S59)</f>
        <v/>
      </c>
      <c r="T194" s="21">
        <f>100*(T60-T59)</f>
        <v/>
      </c>
      <c r="U194" s="21">
        <f>100*(U60-U59)</f>
        <v/>
      </c>
      <c r="V194" s="21">
        <f>100*(V60-V59)</f>
        <v/>
      </c>
      <c r="W194" s="21">
        <f>100*(W60-W59)</f>
        <v/>
      </c>
      <c r="X194" s="21">
        <f>100*(X60-X59)</f>
        <v/>
      </c>
      <c r="Y194" s="21">
        <f>100*(Y60-Y59)</f>
        <v/>
      </c>
      <c r="Z194" s="21">
        <f>100*(Z60-Z59)</f>
        <v/>
      </c>
      <c r="AA194" s="21">
        <f>100*(AA60-AA59)</f>
        <v/>
      </c>
      <c r="AB194" s="21">
        <f>100*(AB60-AB59)</f>
        <v/>
      </c>
      <c r="AC194" s="21">
        <f>100*(AC60-AC59)</f>
        <v/>
      </c>
      <c r="AD194" s="21">
        <f>100*(AD60-AD59)</f>
        <v/>
      </c>
      <c r="AE194" s="21">
        <f>100*(AE60-AE59)</f>
        <v/>
      </c>
      <c r="AF194" s="21">
        <f>100*(AF60-AF59)</f>
        <v/>
      </c>
      <c r="AG194" s="21">
        <f>100*(AG60-AG59)</f>
        <v/>
      </c>
      <c r="AH194" s="21">
        <f>100*(AH60-AH59)</f>
        <v/>
      </c>
      <c r="AI194" s="21">
        <f>100*(AI60-AI59)</f>
        <v/>
      </c>
      <c r="AJ194" s="21">
        <f>100*(AJ60-AJ59)</f>
        <v/>
      </c>
      <c r="AK194" s="21">
        <f>100*(AK60-AK59)</f>
        <v/>
      </c>
      <c r="AL194" s="21">
        <f>AVERAGE(C194:AK194)</f>
        <v/>
      </c>
    </row>
    <row r="195">
      <c r="A195" s="19">
        <f>A61</f>
        <v/>
      </c>
      <c r="B195" s="20">
        <f>B61</f>
        <v/>
      </c>
      <c r="C195" s="21">
        <f>100*(C61-C60)</f>
        <v/>
      </c>
      <c r="D195" s="21">
        <f>100*(D61-D60)</f>
        <v/>
      </c>
      <c r="E195" s="21">
        <f>100*(E61-E60)</f>
        <v/>
      </c>
      <c r="F195" s="21">
        <f>100*(F61-F60)</f>
        <v/>
      </c>
      <c r="G195" s="21">
        <f>100*(G61-G60)</f>
        <v/>
      </c>
      <c r="H195" s="21">
        <f>100*(H61-H60)</f>
        <v/>
      </c>
      <c r="I195" s="21">
        <f>100*(I61-I60)</f>
        <v/>
      </c>
      <c r="J195" s="21">
        <f>100*(J61-J60)</f>
        <v/>
      </c>
      <c r="K195" s="21">
        <f>100*(K61-K60)</f>
        <v/>
      </c>
      <c r="L195" s="21">
        <f>100*(L61-L60)</f>
        <v/>
      </c>
      <c r="M195" s="21">
        <f>100*(M61-M60)</f>
        <v/>
      </c>
      <c r="N195" s="21">
        <f>100*(N61-N60)</f>
        <v/>
      </c>
      <c r="O195" s="21">
        <f>100*(O61-O60)</f>
        <v/>
      </c>
      <c r="P195" s="21">
        <f>100*(P61-P60)</f>
        <v/>
      </c>
      <c r="Q195" s="21">
        <f>100*(Q61-Q60)</f>
        <v/>
      </c>
      <c r="R195" s="21">
        <f>100*(R61-R60)</f>
        <v/>
      </c>
      <c r="S195" s="21">
        <f>100*(S61-S60)</f>
        <v/>
      </c>
      <c r="T195" s="21">
        <f>100*(T61-T60)</f>
        <v/>
      </c>
      <c r="U195" s="21">
        <f>100*(U61-U60)</f>
        <v/>
      </c>
      <c r="V195" s="21">
        <f>100*(V61-V60)</f>
        <v/>
      </c>
      <c r="W195" s="21">
        <f>100*(W61-W60)</f>
        <v/>
      </c>
      <c r="X195" s="21">
        <f>100*(X61-X60)</f>
        <v/>
      </c>
      <c r="Y195" s="21">
        <f>100*(Y61-Y60)</f>
        <v/>
      </c>
      <c r="Z195" s="21">
        <f>100*(Z61-Z60)</f>
        <v/>
      </c>
      <c r="AA195" s="21">
        <f>100*(AA61-AA60)</f>
        <v/>
      </c>
      <c r="AB195" s="21">
        <f>100*(AB61-AB60)</f>
        <v/>
      </c>
      <c r="AC195" s="21">
        <f>100*(AC61-AC60)</f>
        <v/>
      </c>
      <c r="AD195" s="21">
        <f>100*(AD61-AD60)</f>
        <v/>
      </c>
      <c r="AE195" s="21">
        <f>100*(AE61-AE60)</f>
        <v/>
      </c>
      <c r="AF195" s="21">
        <f>100*(AF61-AF60)</f>
        <v/>
      </c>
      <c r="AG195" s="21">
        <f>100*(AG61-AG60)</f>
        <v/>
      </c>
      <c r="AH195" s="21">
        <f>100*(AH61-AH60)</f>
        <v/>
      </c>
      <c r="AI195" s="21">
        <f>100*(AI61-AI60)</f>
        <v/>
      </c>
      <c r="AJ195" s="21">
        <f>100*(AJ61-AJ60)</f>
        <v/>
      </c>
      <c r="AK195" s="21">
        <f>100*(AK61-AK60)</f>
        <v/>
      </c>
      <c r="AL195" s="21">
        <f>AVERAGE(C195:AK195)</f>
        <v/>
      </c>
    </row>
    <row r="196">
      <c r="A196" s="19">
        <f>A62</f>
        <v/>
      </c>
      <c r="B196" s="20">
        <f>B62</f>
        <v/>
      </c>
      <c r="C196" s="21">
        <f>100*(C62-C61)</f>
        <v/>
      </c>
      <c r="D196" s="21">
        <f>100*(D62-D61)</f>
        <v/>
      </c>
      <c r="E196" s="21">
        <f>100*(E62-E61)</f>
        <v/>
      </c>
      <c r="F196" s="21">
        <f>100*(F62-F61)</f>
        <v/>
      </c>
      <c r="G196" s="21">
        <f>100*(G62-G61)</f>
        <v/>
      </c>
      <c r="H196" s="21">
        <f>100*(H62-H61)</f>
        <v/>
      </c>
      <c r="I196" s="21">
        <f>100*(I62-I61)</f>
        <v/>
      </c>
      <c r="J196" s="21">
        <f>100*(J62-J61)</f>
        <v/>
      </c>
      <c r="K196" s="21">
        <f>100*(K62-K61)</f>
        <v/>
      </c>
      <c r="L196" s="21">
        <f>100*(L62-L61)</f>
        <v/>
      </c>
      <c r="M196" s="21">
        <f>100*(M62-M61)</f>
        <v/>
      </c>
      <c r="N196" s="21">
        <f>100*(N62-N61)</f>
        <v/>
      </c>
      <c r="O196" s="21">
        <f>100*(O62-O61)</f>
        <v/>
      </c>
      <c r="P196" s="21">
        <f>100*(P62-P61)</f>
        <v/>
      </c>
      <c r="Q196" s="21">
        <f>100*(Q62-Q61)</f>
        <v/>
      </c>
      <c r="R196" s="21">
        <f>100*(R62-R61)</f>
        <v/>
      </c>
      <c r="S196" s="21">
        <f>100*(S62-S61)</f>
        <v/>
      </c>
      <c r="T196" s="21">
        <f>100*(T62-T61)</f>
        <v/>
      </c>
      <c r="U196" s="21">
        <f>100*(U62-U61)</f>
        <v/>
      </c>
      <c r="V196" s="21">
        <f>100*(V62-V61)</f>
        <v/>
      </c>
      <c r="W196" s="21">
        <f>100*(W62-W61)</f>
        <v/>
      </c>
      <c r="X196" s="21">
        <f>100*(X62-X61)</f>
        <v/>
      </c>
      <c r="Y196" s="21">
        <f>100*(Y62-Y61)</f>
        <v/>
      </c>
      <c r="Z196" s="21">
        <f>100*(Z62-Z61)</f>
        <v/>
      </c>
      <c r="AA196" s="21">
        <f>100*(AA62-AA61)</f>
        <v/>
      </c>
      <c r="AB196" s="21">
        <f>100*(AB62-AB61)</f>
        <v/>
      </c>
      <c r="AC196" s="21">
        <f>100*(AC62-AC61)</f>
        <v/>
      </c>
      <c r="AD196" s="21">
        <f>100*(AD62-AD61)</f>
        <v/>
      </c>
      <c r="AE196" s="21">
        <f>100*(AE62-AE61)</f>
        <v/>
      </c>
      <c r="AF196" s="21">
        <f>100*(AF62-AF61)</f>
        <v/>
      </c>
      <c r="AG196" s="21">
        <f>100*(AG62-AG61)</f>
        <v/>
      </c>
      <c r="AH196" s="21">
        <f>100*(AH62-AH61)</f>
        <v/>
      </c>
      <c r="AI196" s="21">
        <f>100*(AI62-AI61)</f>
        <v/>
      </c>
      <c r="AJ196" s="21">
        <f>100*(AJ62-AJ61)</f>
        <v/>
      </c>
      <c r="AK196" s="21">
        <f>100*(AK62-AK61)</f>
        <v/>
      </c>
      <c r="AL196" s="21">
        <f>AVERAGE(C196:AK196)</f>
        <v/>
      </c>
    </row>
    <row r="197">
      <c r="A197" s="19">
        <f>A63</f>
        <v/>
      </c>
      <c r="B197" s="20">
        <f>B63</f>
        <v/>
      </c>
      <c r="C197" s="21">
        <f>100*(C63-C62)</f>
        <v/>
      </c>
      <c r="D197" s="21">
        <f>100*(D63-D62)</f>
        <v/>
      </c>
      <c r="E197" s="21">
        <f>100*(E63-E62)</f>
        <v/>
      </c>
      <c r="F197" s="21">
        <f>100*(F63-F62)</f>
        <v/>
      </c>
      <c r="G197" s="21">
        <f>100*(G63-G62)</f>
        <v/>
      </c>
      <c r="H197" s="21">
        <f>100*(H63-H62)</f>
        <v/>
      </c>
      <c r="I197" s="21">
        <f>100*(I63-I62)</f>
        <v/>
      </c>
      <c r="J197" s="21">
        <f>100*(J63-J62)</f>
        <v/>
      </c>
      <c r="K197" s="21">
        <f>100*(K63-K62)</f>
        <v/>
      </c>
      <c r="L197" s="21">
        <f>100*(L63-L62)</f>
        <v/>
      </c>
      <c r="M197" s="21">
        <f>100*(M63-M62)</f>
        <v/>
      </c>
      <c r="N197" s="21">
        <f>100*(N63-N62)</f>
        <v/>
      </c>
      <c r="O197" s="21">
        <f>100*(O63-O62)</f>
        <v/>
      </c>
      <c r="P197" s="21">
        <f>100*(P63-P62)</f>
        <v/>
      </c>
      <c r="Q197" s="21">
        <f>100*(Q63-Q62)</f>
        <v/>
      </c>
      <c r="R197" s="21">
        <f>100*(R63-R62)</f>
        <v/>
      </c>
      <c r="S197" s="21">
        <f>100*(S63-S62)</f>
        <v/>
      </c>
      <c r="T197" s="21">
        <f>100*(T63-T62)</f>
        <v/>
      </c>
      <c r="U197" s="21">
        <f>100*(U63-U62)</f>
        <v/>
      </c>
      <c r="V197" s="21">
        <f>100*(V63-V62)</f>
        <v/>
      </c>
      <c r="W197" s="21">
        <f>100*(W63-W62)</f>
        <v/>
      </c>
      <c r="X197" s="21">
        <f>100*(X63-X62)</f>
        <v/>
      </c>
      <c r="Y197" s="21">
        <f>100*(Y63-Y62)</f>
        <v/>
      </c>
      <c r="Z197" s="21">
        <f>100*(Z63-Z62)</f>
        <v/>
      </c>
      <c r="AA197" s="21">
        <f>100*(AA63-AA62)</f>
        <v/>
      </c>
      <c r="AB197" s="21">
        <f>100*(AB63-AB62)</f>
        <v/>
      </c>
      <c r="AC197" s="21">
        <f>100*(AC63-AC62)</f>
        <v/>
      </c>
      <c r="AD197" s="21">
        <f>100*(AD63-AD62)</f>
        <v/>
      </c>
      <c r="AE197" s="21">
        <f>100*(AE63-AE62)</f>
        <v/>
      </c>
      <c r="AF197" s="21">
        <f>100*(AF63-AF62)</f>
        <v/>
      </c>
      <c r="AG197" s="21">
        <f>100*(AG63-AG62)</f>
        <v/>
      </c>
      <c r="AH197" s="21">
        <f>100*(AH63-AH62)</f>
        <v/>
      </c>
      <c r="AI197" s="21">
        <f>100*(AI63-AI62)</f>
        <v/>
      </c>
      <c r="AJ197" s="21">
        <f>100*(AJ63-AJ62)</f>
        <v/>
      </c>
      <c r="AK197" s="21">
        <f>100*(AK63-AK62)</f>
        <v/>
      </c>
      <c r="AL197" s="21">
        <f>AVERAGE(C197:AK197)</f>
        <v/>
      </c>
    </row>
    <row r="198">
      <c r="A198" s="19">
        <f>A64</f>
        <v/>
      </c>
      <c r="B198" s="20">
        <f>B64</f>
        <v/>
      </c>
      <c r="C198" s="21">
        <f>100*(C64-C63)</f>
        <v/>
      </c>
      <c r="D198" s="21">
        <f>100*(D64-D63)</f>
        <v/>
      </c>
      <c r="E198" s="21">
        <f>100*(E64-E63)</f>
        <v/>
      </c>
      <c r="F198" s="21">
        <f>100*(F64-F63)</f>
        <v/>
      </c>
      <c r="G198" s="21">
        <f>100*(G64-G63)</f>
        <v/>
      </c>
      <c r="H198" s="21">
        <f>100*(H64-H63)</f>
        <v/>
      </c>
      <c r="I198" s="21">
        <f>100*(I64-I63)</f>
        <v/>
      </c>
      <c r="J198" s="21">
        <f>100*(J64-J63)</f>
        <v/>
      </c>
      <c r="K198" s="21">
        <f>100*(K64-K63)</f>
        <v/>
      </c>
      <c r="L198" s="21">
        <f>100*(L64-L63)</f>
        <v/>
      </c>
      <c r="M198" s="21">
        <f>100*(M64-M63)</f>
        <v/>
      </c>
      <c r="N198" s="21">
        <f>100*(N64-N63)</f>
        <v/>
      </c>
      <c r="O198" s="21">
        <f>100*(O64-O63)</f>
        <v/>
      </c>
      <c r="P198" s="21">
        <f>100*(P64-P63)</f>
        <v/>
      </c>
      <c r="Q198" s="21">
        <f>100*(Q64-Q63)</f>
        <v/>
      </c>
      <c r="R198" s="21">
        <f>100*(R64-R63)</f>
        <v/>
      </c>
      <c r="S198" s="21">
        <f>100*(S64-S63)</f>
        <v/>
      </c>
      <c r="T198" s="21">
        <f>100*(T64-T63)</f>
        <v/>
      </c>
      <c r="U198" s="21">
        <f>100*(U64-U63)</f>
        <v/>
      </c>
      <c r="V198" s="21">
        <f>100*(V64-V63)</f>
        <v/>
      </c>
      <c r="W198" s="21">
        <f>100*(W64-W63)</f>
        <v/>
      </c>
      <c r="X198" s="21">
        <f>100*(X64-X63)</f>
        <v/>
      </c>
      <c r="Y198" s="21">
        <f>100*(Y64-Y63)</f>
        <v/>
      </c>
      <c r="Z198" s="21">
        <f>100*(Z64-Z63)</f>
        <v/>
      </c>
      <c r="AA198" s="21">
        <f>100*(AA64-AA63)</f>
        <v/>
      </c>
      <c r="AB198" s="21">
        <f>100*(AB64-AB63)</f>
        <v/>
      </c>
      <c r="AC198" s="21">
        <f>100*(AC64-AC63)</f>
        <v/>
      </c>
      <c r="AD198" s="21">
        <f>100*(AD64-AD63)</f>
        <v/>
      </c>
      <c r="AE198" s="21">
        <f>100*(AE64-AE63)</f>
        <v/>
      </c>
      <c r="AF198" s="21">
        <f>100*(AF64-AF63)</f>
        <v/>
      </c>
      <c r="AG198" s="21">
        <f>100*(AG64-AG63)</f>
        <v/>
      </c>
      <c r="AH198" s="21">
        <f>100*(AH64-AH63)</f>
        <v/>
      </c>
      <c r="AI198" s="21">
        <f>100*(AI64-AI63)</f>
        <v/>
      </c>
      <c r="AJ198" s="21">
        <f>100*(AJ64-AJ63)</f>
        <v/>
      </c>
      <c r="AK198" s="21">
        <f>100*(AK64-AK63)</f>
        <v/>
      </c>
      <c r="AL198" s="21">
        <f>AVERAGE(C198:AK198)</f>
        <v/>
      </c>
    </row>
    <row r="199">
      <c r="A199" s="19">
        <f>A65</f>
        <v/>
      </c>
      <c r="B199" s="20">
        <f>B65</f>
        <v/>
      </c>
      <c r="C199" s="21">
        <f>100*(C65-C64)</f>
        <v/>
      </c>
      <c r="D199" s="21">
        <f>100*(D65-D64)</f>
        <v/>
      </c>
      <c r="E199" s="21">
        <f>100*(E65-E64)</f>
        <v/>
      </c>
      <c r="F199" s="21">
        <f>100*(F65-F64)</f>
        <v/>
      </c>
      <c r="G199" s="21">
        <f>100*(G65-G64)</f>
        <v/>
      </c>
      <c r="H199" s="21">
        <f>100*(H65-H64)</f>
        <v/>
      </c>
      <c r="I199" s="21">
        <f>100*(I65-I64)</f>
        <v/>
      </c>
      <c r="J199" s="21">
        <f>100*(J65-J64)</f>
        <v/>
      </c>
      <c r="K199" s="21">
        <f>100*(K65-K64)</f>
        <v/>
      </c>
      <c r="L199" s="21">
        <f>100*(L65-L64)</f>
        <v/>
      </c>
      <c r="M199" s="21">
        <f>100*(M65-M64)</f>
        <v/>
      </c>
      <c r="N199" s="21">
        <f>100*(N65-N64)</f>
        <v/>
      </c>
      <c r="O199" s="21">
        <f>100*(O65-O64)</f>
        <v/>
      </c>
      <c r="P199" s="21">
        <f>100*(P65-P64)</f>
        <v/>
      </c>
      <c r="Q199" s="21">
        <f>100*(Q65-Q64)</f>
        <v/>
      </c>
      <c r="R199" s="21">
        <f>100*(R65-R64)</f>
        <v/>
      </c>
      <c r="S199" s="21">
        <f>100*(S65-S64)</f>
        <v/>
      </c>
      <c r="T199" s="21">
        <f>100*(T65-T64)</f>
        <v/>
      </c>
      <c r="U199" s="21">
        <f>100*(U65-U64)</f>
        <v/>
      </c>
      <c r="V199" s="21">
        <f>100*(V65-V64)</f>
        <v/>
      </c>
      <c r="W199" s="21">
        <f>100*(W65-W64)</f>
        <v/>
      </c>
      <c r="X199" s="21">
        <f>100*(X65-X64)</f>
        <v/>
      </c>
      <c r="Y199" s="21">
        <f>100*(Y65-Y64)</f>
        <v/>
      </c>
      <c r="Z199" s="21">
        <f>100*(Z65-Z64)</f>
        <v/>
      </c>
      <c r="AA199" s="21">
        <f>100*(AA65-AA64)</f>
        <v/>
      </c>
      <c r="AB199" s="21">
        <f>100*(AB65-AB64)</f>
        <v/>
      </c>
      <c r="AC199" s="21">
        <f>100*(AC65-AC64)</f>
        <v/>
      </c>
      <c r="AD199" s="21">
        <f>100*(AD65-AD64)</f>
        <v/>
      </c>
      <c r="AE199" s="21">
        <f>100*(AE65-AE64)</f>
        <v/>
      </c>
      <c r="AF199" s="21">
        <f>100*(AF65-AF64)</f>
        <v/>
      </c>
      <c r="AG199" s="21">
        <f>100*(AG65-AG64)</f>
        <v/>
      </c>
      <c r="AH199" s="21">
        <f>100*(AH65-AH64)</f>
        <v/>
      </c>
      <c r="AI199" s="21">
        <f>100*(AI65-AI64)</f>
        <v/>
      </c>
      <c r="AJ199" s="21">
        <f>100*(AJ65-AJ64)</f>
        <v/>
      </c>
      <c r="AK199" s="21">
        <f>100*(AK65-AK64)</f>
        <v/>
      </c>
      <c r="AL199" s="21">
        <f>AVERAGE(C199:AK199)</f>
        <v/>
      </c>
    </row>
    <row r="200">
      <c r="A200" s="19">
        <f>A66</f>
        <v/>
      </c>
      <c r="B200" s="20">
        <f>B66</f>
        <v/>
      </c>
      <c r="C200" s="21">
        <f>100*(C66-C65)</f>
        <v/>
      </c>
      <c r="D200" s="21">
        <f>100*(D66-D65)</f>
        <v/>
      </c>
      <c r="E200" s="21">
        <f>100*(E66-E65)</f>
        <v/>
      </c>
      <c r="F200" s="21">
        <f>100*(F66-F65)</f>
        <v/>
      </c>
      <c r="G200" s="21">
        <f>100*(G66-G65)</f>
        <v/>
      </c>
      <c r="H200" s="21">
        <f>100*(H66-H65)</f>
        <v/>
      </c>
      <c r="I200" s="21">
        <f>100*(I66-I65)</f>
        <v/>
      </c>
      <c r="J200" s="21">
        <f>100*(J66-J65)</f>
        <v/>
      </c>
      <c r="K200" s="21">
        <f>100*(K66-K65)</f>
        <v/>
      </c>
      <c r="L200" s="21">
        <f>100*(L66-L65)</f>
        <v/>
      </c>
      <c r="M200" s="21">
        <f>100*(M66-M65)</f>
        <v/>
      </c>
      <c r="N200" s="21">
        <f>100*(N66-N65)</f>
        <v/>
      </c>
      <c r="O200" s="21">
        <f>100*(O66-O65)</f>
        <v/>
      </c>
      <c r="P200" s="21">
        <f>100*(P66-P65)</f>
        <v/>
      </c>
      <c r="Q200" s="21">
        <f>100*(Q66-Q65)</f>
        <v/>
      </c>
      <c r="R200" s="21">
        <f>100*(R66-R65)</f>
        <v/>
      </c>
      <c r="S200" s="21">
        <f>100*(S66-S65)</f>
        <v/>
      </c>
      <c r="T200" s="21">
        <f>100*(T66-T65)</f>
        <v/>
      </c>
      <c r="U200" s="21">
        <f>100*(U66-U65)</f>
        <v/>
      </c>
      <c r="V200" s="21">
        <f>100*(V66-V65)</f>
        <v/>
      </c>
      <c r="W200" s="21">
        <f>100*(W66-W65)</f>
        <v/>
      </c>
      <c r="X200" s="21">
        <f>100*(X66-X65)</f>
        <v/>
      </c>
      <c r="Y200" s="21">
        <f>100*(Y66-Y65)</f>
        <v/>
      </c>
      <c r="Z200" s="21">
        <f>100*(Z66-Z65)</f>
        <v/>
      </c>
      <c r="AA200" s="21">
        <f>100*(AA66-AA65)</f>
        <v/>
      </c>
      <c r="AB200" s="21">
        <f>100*(AB66-AB65)</f>
        <v/>
      </c>
      <c r="AC200" s="21">
        <f>100*(AC66-AC65)</f>
        <v/>
      </c>
      <c r="AD200" s="21">
        <f>100*(AD66-AD65)</f>
        <v/>
      </c>
      <c r="AE200" s="21">
        <f>100*(AE66-AE65)</f>
        <v/>
      </c>
      <c r="AF200" s="21">
        <f>100*(AF66-AF65)</f>
        <v/>
      </c>
      <c r="AG200" s="21">
        <f>100*(AG66-AG65)</f>
        <v/>
      </c>
      <c r="AH200" s="21">
        <f>100*(AH66-AH65)</f>
        <v/>
      </c>
      <c r="AI200" s="21">
        <f>100*(AI66-AI65)</f>
        <v/>
      </c>
      <c r="AJ200" s="21">
        <f>100*(AJ66-AJ65)</f>
        <v/>
      </c>
      <c r="AK200" s="21">
        <f>100*(AK66-AK65)</f>
        <v/>
      </c>
      <c r="AL200" s="21">
        <f>AVERAGE(C200:AK200)</f>
        <v/>
      </c>
    </row>
    <row r="201">
      <c r="A201" s="19">
        <f>A67</f>
        <v/>
      </c>
      <c r="B201" s="20">
        <f>B67</f>
        <v/>
      </c>
      <c r="C201" s="21">
        <f>100*(C67-C66)</f>
        <v/>
      </c>
      <c r="D201" s="21">
        <f>100*(D67-D66)</f>
        <v/>
      </c>
      <c r="E201" s="21">
        <f>100*(E67-E66)</f>
        <v/>
      </c>
      <c r="F201" s="21">
        <f>100*(F67-F66)</f>
        <v/>
      </c>
      <c r="G201" s="21">
        <f>100*(G67-G66)</f>
        <v/>
      </c>
      <c r="H201" s="21">
        <f>100*(H67-H66)</f>
        <v/>
      </c>
      <c r="I201" s="21">
        <f>100*(I67-I66)</f>
        <v/>
      </c>
      <c r="J201" s="21">
        <f>100*(J67-J66)</f>
        <v/>
      </c>
      <c r="K201" s="21">
        <f>100*(K67-K66)</f>
        <v/>
      </c>
      <c r="L201" s="21">
        <f>100*(L67-L66)</f>
        <v/>
      </c>
      <c r="M201" s="21">
        <f>100*(M67-M66)</f>
        <v/>
      </c>
      <c r="N201" s="21">
        <f>100*(N67-N66)</f>
        <v/>
      </c>
      <c r="O201" s="21">
        <f>100*(O67-O66)</f>
        <v/>
      </c>
      <c r="P201" s="21">
        <f>100*(P67-P66)</f>
        <v/>
      </c>
      <c r="Q201" s="21">
        <f>100*(Q67-Q66)</f>
        <v/>
      </c>
      <c r="R201" s="21">
        <f>100*(R67-R66)</f>
        <v/>
      </c>
      <c r="S201" s="21">
        <f>100*(S67-S66)</f>
        <v/>
      </c>
      <c r="T201" s="21">
        <f>100*(T67-T66)</f>
        <v/>
      </c>
      <c r="U201" s="21">
        <f>100*(U67-U66)</f>
        <v/>
      </c>
      <c r="V201" s="21">
        <f>100*(V67-V66)</f>
        <v/>
      </c>
      <c r="W201" s="21">
        <f>100*(W67-W66)</f>
        <v/>
      </c>
      <c r="X201" s="21">
        <f>100*(X67-X66)</f>
        <v/>
      </c>
      <c r="Y201" s="21">
        <f>100*(Y67-Y66)</f>
        <v/>
      </c>
      <c r="Z201" s="21">
        <f>100*(Z67-Z66)</f>
        <v/>
      </c>
      <c r="AA201" s="21">
        <f>100*(AA67-AA66)</f>
        <v/>
      </c>
      <c r="AB201" s="21">
        <f>100*(AB67-AB66)</f>
        <v/>
      </c>
      <c r="AC201" s="21">
        <f>100*(AC67-AC66)</f>
        <v/>
      </c>
      <c r="AD201" s="21">
        <f>100*(AD67-AD66)</f>
        <v/>
      </c>
      <c r="AE201" s="21">
        <f>100*(AE67-AE66)</f>
        <v/>
      </c>
      <c r="AF201" s="21">
        <f>100*(AF67-AF66)</f>
        <v/>
      </c>
      <c r="AG201" s="21">
        <f>100*(AG67-AG66)</f>
        <v/>
      </c>
      <c r="AH201" s="21">
        <f>100*(AH67-AH66)</f>
        <v/>
      </c>
      <c r="AI201" s="21">
        <f>100*(AI67-AI66)</f>
        <v/>
      </c>
      <c r="AJ201" s="21">
        <f>100*(AJ67-AJ66)</f>
        <v/>
      </c>
      <c r="AK201" s="21">
        <f>100*(AK67-AK66)</f>
        <v/>
      </c>
      <c r="AL201" s="21">
        <f>AVERAGE(C201:AK201)</f>
        <v/>
      </c>
    </row>
    <row r="202">
      <c r="A202" s="19">
        <f>A68</f>
        <v/>
      </c>
      <c r="B202" s="20">
        <f>B68</f>
        <v/>
      </c>
      <c r="C202" s="21">
        <f>100*(C68-C67)</f>
        <v/>
      </c>
      <c r="D202" s="21">
        <f>100*(D68-D67)</f>
        <v/>
      </c>
      <c r="E202" s="21">
        <f>100*(E68-E67)</f>
        <v/>
      </c>
      <c r="F202" s="21">
        <f>100*(F68-F67)</f>
        <v/>
      </c>
      <c r="G202" s="21">
        <f>100*(G68-G67)</f>
        <v/>
      </c>
      <c r="H202" s="21">
        <f>100*(H68-H67)</f>
        <v/>
      </c>
      <c r="I202" s="21">
        <f>100*(I68-I67)</f>
        <v/>
      </c>
      <c r="J202" s="21">
        <f>100*(J68-J67)</f>
        <v/>
      </c>
      <c r="K202" s="21">
        <f>100*(K68-K67)</f>
        <v/>
      </c>
      <c r="L202" s="21">
        <f>100*(L68-L67)</f>
        <v/>
      </c>
      <c r="M202" s="21">
        <f>100*(M68-M67)</f>
        <v/>
      </c>
      <c r="N202" s="21">
        <f>100*(N68-N67)</f>
        <v/>
      </c>
      <c r="O202" s="21">
        <f>100*(O68-O67)</f>
        <v/>
      </c>
      <c r="P202" s="21">
        <f>100*(P68-P67)</f>
        <v/>
      </c>
      <c r="Q202" s="21">
        <f>100*(Q68-Q67)</f>
        <v/>
      </c>
      <c r="R202" s="21">
        <f>100*(R68-R67)</f>
        <v/>
      </c>
      <c r="S202" s="21">
        <f>100*(S68-S67)</f>
        <v/>
      </c>
      <c r="T202" s="21">
        <f>100*(T68-T67)</f>
        <v/>
      </c>
      <c r="U202" s="21">
        <f>100*(U68-U67)</f>
        <v/>
      </c>
      <c r="V202" s="21">
        <f>100*(V68-V67)</f>
        <v/>
      </c>
      <c r="W202" s="21">
        <f>100*(W68-W67)</f>
        <v/>
      </c>
      <c r="X202" s="21">
        <f>100*(X68-X67)</f>
        <v/>
      </c>
      <c r="Y202" s="21">
        <f>100*(Y68-Y67)</f>
        <v/>
      </c>
      <c r="Z202" s="21">
        <f>100*(Z68-Z67)</f>
        <v/>
      </c>
      <c r="AA202" s="21">
        <f>100*(AA68-AA67)</f>
        <v/>
      </c>
      <c r="AB202" s="21">
        <f>100*(AB68-AB67)</f>
        <v/>
      </c>
      <c r="AC202" s="21">
        <f>100*(AC68-AC67)</f>
        <v/>
      </c>
      <c r="AD202" s="21">
        <f>100*(AD68-AD67)</f>
        <v/>
      </c>
      <c r="AE202" s="21">
        <f>100*(AE68-AE67)</f>
        <v/>
      </c>
      <c r="AF202" s="21">
        <f>100*(AF68-AF67)</f>
        <v/>
      </c>
      <c r="AG202" s="21">
        <f>100*(AG68-AG67)</f>
        <v/>
      </c>
      <c r="AH202" s="21">
        <f>100*(AH68-AH67)</f>
        <v/>
      </c>
      <c r="AI202" s="21">
        <f>100*(AI68-AI67)</f>
        <v/>
      </c>
      <c r="AJ202" s="21">
        <f>100*(AJ68-AJ67)</f>
        <v/>
      </c>
      <c r="AK202" s="21">
        <f>100*(AK68-AK67)</f>
        <v/>
      </c>
      <c r="AL202" s="21">
        <f>AVERAGE(C202:AK202)</f>
        <v/>
      </c>
    </row>
    <row r="203">
      <c r="A203" s="19">
        <f>A69</f>
        <v/>
      </c>
      <c r="B203" s="20">
        <f>B69</f>
        <v/>
      </c>
      <c r="C203" s="21">
        <f>100*(C69-C68)</f>
        <v/>
      </c>
      <c r="D203" s="21">
        <f>100*(D69-D68)</f>
        <v/>
      </c>
      <c r="E203" s="21">
        <f>100*(E69-E68)</f>
        <v/>
      </c>
      <c r="F203" s="21">
        <f>100*(F69-F68)</f>
        <v/>
      </c>
      <c r="G203" s="21">
        <f>100*(G69-G68)</f>
        <v/>
      </c>
      <c r="H203" s="21">
        <f>100*(H69-H68)</f>
        <v/>
      </c>
      <c r="I203" s="21">
        <f>100*(I69-I68)</f>
        <v/>
      </c>
      <c r="J203" s="21">
        <f>100*(J69-J68)</f>
        <v/>
      </c>
      <c r="K203" s="21">
        <f>100*(K69-K68)</f>
        <v/>
      </c>
      <c r="L203" s="21">
        <f>100*(L69-L68)</f>
        <v/>
      </c>
      <c r="M203" s="21">
        <f>100*(M69-M68)</f>
        <v/>
      </c>
      <c r="N203" s="21">
        <f>100*(N69-N68)</f>
        <v/>
      </c>
      <c r="O203" s="21">
        <f>100*(O69-O68)</f>
        <v/>
      </c>
      <c r="P203" s="21">
        <f>100*(P69-P68)</f>
        <v/>
      </c>
      <c r="Q203" s="21">
        <f>100*(Q69-Q68)</f>
        <v/>
      </c>
      <c r="R203" s="21">
        <f>100*(R69-R68)</f>
        <v/>
      </c>
      <c r="S203" s="21">
        <f>100*(S69-S68)</f>
        <v/>
      </c>
      <c r="T203" s="21">
        <f>100*(T69-T68)</f>
        <v/>
      </c>
      <c r="U203" s="21">
        <f>100*(U69-U68)</f>
        <v/>
      </c>
      <c r="V203" s="21">
        <f>100*(V69-V68)</f>
        <v/>
      </c>
      <c r="W203" s="21">
        <f>100*(W69-W68)</f>
        <v/>
      </c>
      <c r="X203" s="21">
        <f>100*(X69-X68)</f>
        <v/>
      </c>
      <c r="Y203" s="21">
        <f>100*(Y69-Y68)</f>
        <v/>
      </c>
      <c r="Z203" s="21">
        <f>100*(Z69-Z68)</f>
        <v/>
      </c>
      <c r="AA203" s="21">
        <f>100*(AA69-AA68)</f>
        <v/>
      </c>
      <c r="AB203" s="21">
        <f>100*(AB69-AB68)</f>
        <v/>
      </c>
      <c r="AC203" s="21">
        <f>100*(AC69-AC68)</f>
        <v/>
      </c>
      <c r="AD203" s="21">
        <f>100*(AD69-AD68)</f>
        <v/>
      </c>
      <c r="AE203" s="21">
        <f>100*(AE69-AE68)</f>
        <v/>
      </c>
      <c r="AF203" s="21">
        <f>100*(AF69-AF68)</f>
        <v/>
      </c>
      <c r="AG203" s="21">
        <f>100*(AG69-AG68)</f>
        <v/>
      </c>
      <c r="AH203" s="21">
        <f>100*(AH69-AH68)</f>
        <v/>
      </c>
      <c r="AI203" s="21">
        <f>100*(AI69-AI68)</f>
        <v/>
      </c>
      <c r="AJ203" s="21">
        <f>100*(AJ69-AJ68)</f>
        <v/>
      </c>
      <c r="AK203" s="21">
        <f>100*(AK69-AK68)</f>
        <v/>
      </c>
      <c r="AL203" s="21">
        <f>AVERAGE(C203:AK203)</f>
        <v/>
      </c>
    </row>
    <row r="204">
      <c r="A204" s="19">
        <f>A70</f>
        <v/>
      </c>
      <c r="B204" s="20">
        <f>B70</f>
        <v/>
      </c>
      <c r="C204" s="21">
        <f>100*(C70-C69)</f>
        <v/>
      </c>
      <c r="D204" s="21">
        <f>100*(D70-D69)</f>
        <v/>
      </c>
      <c r="E204" s="21">
        <f>100*(E70-E69)</f>
        <v/>
      </c>
      <c r="F204" s="21">
        <f>100*(F70-F69)</f>
        <v/>
      </c>
      <c r="G204" s="21">
        <f>100*(G70-G69)</f>
        <v/>
      </c>
      <c r="H204" s="21">
        <f>100*(H70-H69)</f>
        <v/>
      </c>
      <c r="I204" s="21">
        <f>100*(I70-I69)</f>
        <v/>
      </c>
      <c r="J204" s="21">
        <f>100*(J70-J69)</f>
        <v/>
      </c>
      <c r="K204" s="21">
        <f>100*(K70-K69)</f>
        <v/>
      </c>
      <c r="L204" s="21">
        <f>100*(L70-L69)</f>
        <v/>
      </c>
      <c r="M204" s="21">
        <f>100*(M70-M69)</f>
        <v/>
      </c>
      <c r="N204" s="21">
        <f>100*(N70-N69)</f>
        <v/>
      </c>
      <c r="O204" s="21">
        <f>100*(O70-O69)</f>
        <v/>
      </c>
      <c r="P204" s="21">
        <f>100*(P70-P69)</f>
        <v/>
      </c>
      <c r="Q204" s="21">
        <f>100*(Q70-Q69)</f>
        <v/>
      </c>
      <c r="R204" s="21">
        <f>100*(R70-R69)</f>
        <v/>
      </c>
      <c r="S204" s="21">
        <f>100*(S70-S69)</f>
        <v/>
      </c>
      <c r="T204" s="21">
        <f>100*(T70-T69)</f>
        <v/>
      </c>
      <c r="U204" s="21">
        <f>100*(U70-U69)</f>
        <v/>
      </c>
      <c r="V204" s="21">
        <f>100*(V70-V69)</f>
        <v/>
      </c>
      <c r="W204" s="21">
        <f>100*(W70-W69)</f>
        <v/>
      </c>
      <c r="X204" s="21">
        <f>100*(X70-X69)</f>
        <v/>
      </c>
      <c r="Y204" s="21">
        <f>100*(Y70-Y69)</f>
        <v/>
      </c>
      <c r="Z204" s="21">
        <f>100*(Z70-Z69)</f>
        <v/>
      </c>
      <c r="AA204" s="21">
        <f>100*(AA70-AA69)</f>
        <v/>
      </c>
      <c r="AB204" s="21">
        <f>100*(AB70-AB69)</f>
        <v/>
      </c>
      <c r="AC204" s="21">
        <f>100*(AC70-AC69)</f>
        <v/>
      </c>
      <c r="AD204" s="21">
        <f>100*(AD70-AD69)</f>
        <v/>
      </c>
      <c r="AE204" s="21">
        <f>100*(AE70-AE69)</f>
        <v/>
      </c>
      <c r="AF204" s="21">
        <f>100*(AF70-AF69)</f>
        <v/>
      </c>
      <c r="AG204" s="21">
        <f>100*(AG70-AG69)</f>
        <v/>
      </c>
      <c r="AH204" s="21">
        <f>100*(AH70-AH69)</f>
        <v/>
      </c>
      <c r="AI204" s="21">
        <f>100*(AI70-AI69)</f>
        <v/>
      </c>
      <c r="AJ204" s="21">
        <f>100*(AJ70-AJ69)</f>
        <v/>
      </c>
      <c r="AK204" s="21">
        <f>100*(AK70-AK69)</f>
        <v/>
      </c>
      <c r="AL204" s="21">
        <f>AVERAGE(C204:AK204)</f>
        <v/>
      </c>
    </row>
    <row r="205">
      <c r="A205" s="19">
        <f>A71</f>
        <v/>
      </c>
      <c r="B205" s="20">
        <f>B71</f>
        <v/>
      </c>
      <c r="C205" s="21">
        <f>100*(C71-C70)</f>
        <v/>
      </c>
      <c r="D205" s="21">
        <f>100*(D71-D70)</f>
        <v/>
      </c>
      <c r="E205" s="21">
        <f>100*(E71-E70)</f>
        <v/>
      </c>
      <c r="F205" s="21">
        <f>100*(F71-F70)</f>
        <v/>
      </c>
      <c r="G205" s="21">
        <f>100*(G71-G70)</f>
        <v/>
      </c>
      <c r="H205" s="21">
        <f>100*(H71-H70)</f>
        <v/>
      </c>
      <c r="I205" s="21">
        <f>100*(I71-I70)</f>
        <v/>
      </c>
      <c r="J205" s="21">
        <f>100*(J71-J70)</f>
        <v/>
      </c>
      <c r="K205" s="21">
        <f>100*(K71-K70)</f>
        <v/>
      </c>
      <c r="L205" s="21">
        <f>100*(L71-L70)</f>
        <v/>
      </c>
      <c r="M205" s="21">
        <f>100*(M71-M70)</f>
        <v/>
      </c>
      <c r="N205" s="21">
        <f>100*(N71-N70)</f>
        <v/>
      </c>
      <c r="O205" s="21">
        <f>100*(O71-O70)</f>
        <v/>
      </c>
      <c r="P205" s="21">
        <f>100*(P71-P70)</f>
        <v/>
      </c>
      <c r="Q205" s="21">
        <f>100*(Q71-Q70)</f>
        <v/>
      </c>
      <c r="R205" s="21">
        <f>100*(R71-R70)</f>
        <v/>
      </c>
      <c r="S205" s="21">
        <f>100*(S71-S70)</f>
        <v/>
      </c>
      <c r="T205" s="21">
        <f>100*(T71-T70)</f>
        <v/>
      </c>
      <c r="U205" s="21">
        <f>100*(U71-U70)</f>
        <v/>
      </c>
      <c r="V205" s="21">
        <f>100*(V71-V70)</f>
        <v/>
      </c>
      <c r="W205" s="21">
        <f>100*(W71-W70)</f>
        <v/>
      </c>
      <c r="X205" s="21">
        <f>100*(X71-X70)</f>
        <v/>
      </c>
      <c r="Y205" s="21">
        <f>100*(Y71-Y70)</f>
        <v/>
      </c>
      <c r="Z205" s="21">
        <f>100*(Z71-Z70)</f>
        <v/>
      </c>
      <c r="AA205" s="21">
        <f>100*(AA71-AA70)</f>
        <v/>
      </c>
      <c r="AB205" s="21">
        <f>100*(AB71-AB70)</f>
        <v/>
      </c>
      <c r="AC205" s="21">
        <f>100*(AC71-AC70)</f>
        <v/>
      </c>
      <c r="AD205" s="21">
        <f>100*(AD71-AD70)</f>
        <v/>
      </c>
      <c r="AE205" s="21">
        <f>100*(AE71-AE70)</f>
        <v/>
      </c>
      <c r="AF205" s="21">
        <f>100*(AF71-AF70)</f>
        <v/>
      </c>
      <c r="AG205" s="21">
        <f>100*(AG71-AG70)</f>
        <v/>
      </c>
      <c r="AH205" s="21">
        <f>100*(AH71-AH70)</f>
        <v/>
      </c>
      <c r="AI205" s="21">
        <f>100*(AI71-AI70)</f>
        <v/>
      </c>
      <c r="AJ205" s="21">
        <f>100*(AJ71-AJ70)</f>
        <v/>
      </c>
      <c r="AK205" s="21">
        <f>100*(AK71-AK70)</f>
        <v/>
      </c>
      <c r="AL205" s="21">
        <f>AVERAGE(C205:AK205)</f>
        <v/>
      </c>
    </row>
    <row r="206">
      <c r="A206" s="19">
        <f>A72</f>
        <v/>
      </c>
      <c r="B206" s="20">
        <f>B72</f>
        <v/>
      </c>
      <c r="C206" s="21">
        <f>100*(C72-C71)</f>
        <v/>
      </c>
      <c r="D206" s="21">
        <f>100*(D72-D71)</f>
        <v/>
      </c>
      <c r="E206" s="21">
        <f>100*(E72-E71)</f>
        <v/>
      </c>
      <c r="F206" s="21">
        <f>100*(F72-F71)</f>
        <v/>
      </c>
      <c r="G206" s="21">
        <f>100*(G72-G71)</f>
        <v/>
      </c>
      <c r="H206" s="21">
        <f>100*(H72-H71)</f>
        <v/>
      </c>
      <c r="I206" s="21">
        <f>100*(I72-I71)</f>
        <v/>
      </c>
      <c r="J206" s="21">
        <f>100*(J72-J71)</f>
        <v/>
      </c>
      <c r="K206" s="21">
        <f>100*(K72-K71)</f>
        <v/>
      </c>
      <c r="L206" s="21">
        <f>100*(L72-L71)</f>
        <v/>
      </c>
      <c r="M206" s="21">
        <f>100*(M72-M71)</f>
        <v/>
      </c>
      <c r="N206" s="21">
        <f>100*(N72-N71)</f>
        <v/>
      </c>
      <c r="O206" s="21">
        <f>100*(O72-O71)</f>
        <v/>
      </c>
      <c r="P206" s="21">
        <f>100*(P72-P71)</f>
        <v/>
      </c>
      <c r="Q206" s="21">
        <f>100*(Q72-Q71)</f>
        <v/>
      </c>
      <c r="R206" s="21">
        <f>100*(R72-R71)</f>
        <v/>
      </c>
      <c r="S206" s="21">
        <f>100*(S72-S71)</f>
        <v/>
      </c>
      <c r="T206" s="21">
        <f>100*(T72-T71)</f>
        <v/>
      </c>
      <c r="U206" s="21">
        <f>100*(U72-U71)</f>
        <v/>
      </c>
      <c r="V206" s="21">
        <f>100*(V72-V71)</f>
        <v/>
      </c>
      <c r="W206" s="21">
        <f>100*(W72-W71)</f>
        <v/>
      </c>
      <c r="X206" s="21">
        <f>100*(X72-X71)</f>
        <v/>
      </c>
      <c r="Y206" s="21">
        <f>100*(Y72-Y71)</f>
        <v/>
      </c>
      <c r="Z206" s="21">
        <f>100*(Z72-Z71)</f>
        <v/>
      </c>
      <c r="AA206" s="21">
        <f>100*(AA72-AA71)</f>
        <v/>
      </c>
      <c r="AB206" s="21">
        <f>100*(AB72-AB71)</f>
        <v/>
      </c>
      <c r="AC206" s="21">
        <f>100*(AC72-AC71)</f>
        <v/>
      </c>
      <c r="AD206" s="21">
        <f>100*(AD72-AD71)</f>
        <v/>
      </c>
      <c r="AE206" s="21">
        <f>100*(AE72-AE71)</f>
        <v/>
      </c>
      <c r="AF206" s="21">
        <f>100*(AF72-AF71)</f>
        <v/>
      </c>
      <c r="AG206" s="21">
        <f>100*(AG72-AG71)</f>
        <v/>
      </c>
      <c r="AH206" s="21">
        <f>100*(AH72-AH71)</f>
        <v/>
      </c>
      <c r="AI206" s="21">
        <f>100*(AI72-AI71)</f>
        <v/>
      </c>
      <c r="AJ206" s="21">
        <f>100*(AJ72-AJ71)</f>
        <v/>
      </c>
      <c r="AK206" s="21">
        <f>100*(AK72-AK71)</f>
        <v/>
      </c>
      <c r="AL206" s="21">
        <f>AVERAGE(C206:AK206)</f>
        <v/>
      </c>
    </row>
    <row r="207">
      <c r="A207" s="19">
        <f>A73</f>
        <v/>
      </c>
      <c r="B207" s="20">
        <f>B73</f>
        <v/>
      </c>
      <c r="C207" s="21">
        <f>100*(C73-C72)</f>
        <v/>
      </c>
      <c r="D207" s="21">
        <f>100*(D73-D72)</f>
        <v/>
      </c>
      <c r="E207" s="21">
        <f>100*(E73-E72)</f>
        <v/>
      </c>
      <c r="F207" s="21">
        <f>100*(F73-F72)</f>
        <v/>
      </c>
      <c r="G207" s="21">
        <f>100*(G73-G72)</f>
        <v/>
      </c>
      <c r="H207" s="21">
        <f>100*(H73-H72)</f>
        <v/>
      </c>
      <c r="I207" s="21">
        <f>100*(I73-I72)</f>
        <v/>
      </c>
      <c r="J207" s="21">
        <f>100*(J73-J72)</f>
        <v/>
      </c>
      <c r="K207" s="21">
        <f>100*(K73-K72)</f>
        <v/>
      </c>
      <c r="L207" s="21">
        <f>100*(L73-L72)</f>
        <v/>
      </c>
      <c r="M207" s="21">
        <f>100*(M73-M72)</f>
        <v/>
      </c>
      <c r="N207" s="21">
        <f>100*(N73-N72)</f>
        <v/>
      </c>
      <c r="O207" s="21">
        <f>100*(O73-O72)</f>
        <v/>
      </c>
      <c r="P207" s="21">
        <f>100*(P73-P72)</f>
        <v/>
      </c>
      <c r="Q207" s="21">
        <f>100*(Q73-Q72)</f>
        <v/>
      </c>
      <c r="R207" s="21">
        <f>100*(R73-R72)</f>
        <v/>
      </c>
      <c r="S207" s="21">
        <f>100*(S73-S72)</f>
        <v/>
      </c>
      <c r="T207" s="21">
        <f>100*(T73-T72)</f>
        <v/>
      </c>
      <c r="U207" s="21">
        <f>100*(U73-U72)</f>
        <v/>
      </c>
      <c r="V207" s="21">
        <f>100*(V73-V72)</f>
        <v/>
      </c>
      <c r="W207" s="21">
        <f>100*(W73-W72)</f>
        <v/>
      </c>
      <c r="X207" s="21">
        <f>100*(X73-X72)</f>
        <v/>
      </c>
      <c r="Y207" s="21">
        <f>100*(Y73-Y72)</f>
        <v/>
      </c>
      <c r="Z207" s="21">
        <f>100*(Z73-Z72)</f>
        <v/>
      </c>
      <c r="AA207" s="21">
        <f>100*(AA73-AA72)</f>
        <v/>
      </c>
      <c r="AB207" s="21">
        <f>100*(AB73-AB72)</f>
        <v/>
      </c>
      <c r="AC207" s="21">
        <f>100*(AC73-AC72)</f>
        <v/>
      </c>
      <c r="AD207" s="21">
        <f>100*(AD73-AD72)</f>
        <v/>
      </c>
      <c r="AE207" s="21">
        <f>100*(AE73-AE72)</f>
        <v/>
      </c>
      <c r="AF207" s="21">
        <f>100*(AF73-AF72)</f>
        <v/>
      </c>
      <c r="AG207" s="21">
        <f>100*(AG73-AG72)</f>
        <v/>
      </c>
      <c r="AH207" s="21">
        <f>100*(AH73-AH72)</f>
        <v/>
      </c>
      <c r="AI207" s="21">
        <f>100*(AI73-AI72)</f>
        <v/>
      </c>
      <c r="AJ207" s="21">
        <f>100*(AJ73-AJ72)</f>
        <v/>
      </c>
      <c r="AK207" s="21">
        <f>100*(AK73-AK72)</f>
        <v/>
      </c>
      <c r="AL207" s="21">
        <f>AVERAGE(C207:AK207)</f>
        <v/>
      </c>
    </row>
    <row r="208">
      <c r="A208" s="19">
        <f>A74</f>
        <v/>
      </c>
      <c r="B208" s="20">
        <f>B74</f>
        <v/>
      </c>
      <c r="C208" s="21">
        <f>100*(C74-C73)</f>
        <v/>
      </c>
      <c r="D208" s="21">
        <f>100*(D74-D73)</f>
        <v/>
      </c>
      <c r="E208" s="21">
        <f>100*(E74-E73)</f>
        <v/>
      </c>
      <c r="F208" s="21">
        <f>100*(F74-F73)</f>
        <v/>
      </c>
      <c r="G208" s="21">
        <f>100*(G74-G73)</f>
        <v/>
      </c>
      <c r="H208" s="21">
        <f>100*(H74-H73)</f>
        <v/>
      </c>
      <c r="I208" s="21">
        <f>100*(I74-I73)</f>
        <v/>
      </c>
      <c r="J208" s="21">
        <f>100*(J74-J73)</f>
        <v/>
      </c>
      <c r="K208" s="21">
        <f>100*(K74-K73)</f>
        <v/>
      </c>
      <c r="L208" s="21">
        <f>100*(L74-L73)</f>
        <v/>
      </c>
      <c r="M208" s="21">
        <f>100*(M74-M73)</f>
        <v/>
      </c>
      <c r="N208" s="21">
        <f>100*(N74-N73)</f>
        <v/>
      </c>
      <c r="O208" s="21">
        <f>100*(O74-O73)</f>
        <v/>
      </c>
      <c r="P208" s="21">
        <f>100*(P74-P73)</f>
        <v/>
      </c>
      <c r="Q208" s="21">
        <f>100*(Q74-Q73)</f>
        <v/>
      </c>
      <c r="R208" s="21">
        <f>100*(R74-R73)</f>
        <v/>
      </c>
      <c r="S208" s="21">
        <f>100*(S74-S73)</f>
        <v/>
      </c>
      <c r="T208" s="21">
        <f>100*(T74-T73)</f>
        <v/>
      </c>
      <c r="U208" s="21">
        <f>100*(U74-U73)</f>
        <v/>
      </c>
      <c r="V208" s="21">
        <f>100*(V74-V73)</f>
        <v/>
      </c>
      <c r="W208" s="21">
        <f>100*(W74-W73)</f>
        <v/>
      </c>
      <c r="X208" s="21">
        <f>100*(X74-X73)</f>
        <v/>
      </c>
      <c r="Y208" s="21">
        <f>100*(Y74-Y73)</f>
        <v/>
      </c>
      <c r="Z208" s="21">
        <f>100*(Z74-Z73)</f>
        <v/>
      </c>
      <c r="AA208" s="21">
        <f>100*(AA74-AA73)</f>
        <v/>
      </c>
      <c r="AB208" s="21">
        <f>100*(AB74-AB73)</f>
        <v/>
      </c>
      <c r="AC208" s="21">
        <f>100*(AC74-AC73)</f>
        <v/>
      </c>
      <c r="AD208" s="21">
        <f>100*(AD74-AD73)</f>
        <v/>
      </c>
      <c r="AE208" s="21">
        <f>100*(AE74-AE73)</f>
        <v/>
      </c>
      <c r="AF208" s="21">
        <f>100*(AF74-AF73)</f>
        <v/>
      </c>
      <c r="AG208" s="21">
        <f>100*(AG74-AG73)</f>
        <v/>
      </c>
      <c r="AH208" s="21">
        <f>100*(AH74-AH73)</f>
        <v/>
      </c>
      <c r="AI208" s="21">
        <f>100*(AI74-AI73)</f>
        <v/>
      </c>
      <c r="AJ208" s="21">
        <f>100*(AJ74-AJ73)</f>
        <v/>
      </c>
      <c r="AK208" s="21">
        <f>100*(AK74-AK73)</f>
        <v/>
      </c>
      <c r="AL208" s="21">
        <f>AVERAGE(C208:AK208)</f>
        <v/>
      </c>
    </row>
    <row r="209">
      <c r="A209" s="19">
        <f>A75</f>
        <v/>
      </c>
      <c r="B209" s="20">
        <f>B75</f>
        <v/>
      </c>
      <c r="C209" s="21">
        <f>100*(C75-C74)</f>
        <v/>
      </c>
      <c r="D209" s="21">
        <f>100*(D75-D74)</f>
        <v/>
      </c>
      <c r="E209" s="21">
        <f>100*(E75-E74)</f>
        <v/>
      </c>
      <c r="F209" s="21">
        <f>100*(F75-F74)</f>
        <v/>
      </c>
      <c r="G209" s="21">
        <f>100*(G75-G74)</f>
        <v/>
      </c>
      <c r="H209" s="21">
        <f>100*(H75-H74)</f>
        <v/>
      </c>
      <c r="I209" s="21">
        <f>100*(I75-I74)</f>
        <v/>
      </c>
      <c r="J209" s="21">
        <f>100*(J75-J74)</f>
        <v/>
      </c>
      <c r="K209" s="21">
        <f>100*(K75-K74)</f>
        <v/>
      </c>
      <c r="L209" s="21">
        <f>100*(L75-L74)</f>
        <v/>
      </c>
      <c r="M209" s="21">
        <f>100*(M75-M74)</f>
        <v/>
      </c>
      <c r="N209" s="21">
        <f>100*(N75-N74)</f>
        <v/>
      </c>
      <c r="O209" s="21">
        <f>100*(O75-O74)</f>
        <v/>
      </c>
      <c r="P209" s="21">
        <f>100*(P75-P74)</f>
        <v/>
      </c>
      <c r="Q209" s="21">
        <f>100*(Q75-Q74)</f>
        <v/>
      </c>
      <c r="R209" s="21">
        <f>100*(R75-R74)</f>
        <v/>
      </c>
      <c r="S209" s="21">
        <f>100*(S75-S74)</f>
        <v/>
      </c>
      <c r="T209" s="21">
        <f>100*(T75-T74)</f>
        <v/>
      </c>
      <c r="U209" s="21">
        <f>100*(U75-U74)</f>
        <v/>
      </c>
      <c r="V209" s="21">
        <f>100*(V75-V74)</f>
        <v/>
      </c>
      <c r="W209" s="21">
        <f>100*(W75-W74)</f>
        <v/>
      </c>
      <c r="X209" s="21">
        <f>100*(X75-X74)</f>
        <v/>
      </c>
      <c r="Y209" s="21">
        <f>100*(Y75-Y74)</f>
        <v/>
      </c>
      <c r="Z209" s="21">
        <f>100*(Z75-Z74)</f>
        <v/>
      </c>
      <c r="AA209" s="21">
        <f>100*(AA75-AA74)</f>
        <v/>
      </c>
      <c r="AB209" s="21">
        <f>100*(AB75-AB74)</f>
        <v/>
      </c>
      <c r="AC209" s="21">
        <f>100*(AC75-AC74)</f>
        <v/>
      </c>
      <c r="AD209" s="21">
        <f>100*(AD75-AD74)</f>
        <v/>
      </c>
      <c r="AE209" s="21">
        <f>100*(AE75-AE74)</f>
        <v/>
      </c>
      <c r="AF209" s="21">
        <f>100*(AF75-AF74)</f>
        <v/>
      </c>
      <c r="AG209" s="21">
        <f>100*(AG75-AG74)</f>
        <v/>
      </c>
      <c r="AH209" s="21">
        <f>100*(AH75-AH74)</f>
        <v/>
      </c>
      <c r="AI209" s="21">
        <f>100*(AI75-AI74)</f>
        <v/>
      </c>
      <c r="AJ209" s="21">
        <f>100*(AJ75-AJ74)</f>
        <v/>
      </c>
      <c r="AK209" s="21">
        <f>100*(AK75-AK74)</f>
        <v/>
      </c>
      <c r="AL209" s="21">
        <f>AVERAGE(C209:AK209)</f>
        <v/>
      </c>
    </row>
    <row r="210">
      <c r="A210" s="19">
        <f>A76</f>
        <v/>
      </c>
      <c r="B210" s="20">
        <f>B76</f>
        <v/>
      </c>
      <c r="C210" s="21">
        <f>100*(C76-C75)</f>
        <v/>
      </c>
      <c r="D210" s="21">
        <f>100*(D76-D75)</f>
        <v/>
      </c>
      <c r="E210" s="21">
        <f>100*(E76-E75)</f>
        <v/>
      </c>
      <c r="F210" s="21">
        <f>100*(F76-F75)</f>
        <v/>
      </c>
      <c r="G210" s="21">
        <f>100*(G76-G75)</f>
        <v/>
      </c>
      <c r="H210" s="21">
        <f>100*(H76-H75)</f>
        <v/>
      </c>
      <c r="I210" s="21">
        <f>100*(I76-I75)</f>
        <v/>
      </c>
      <c r="J210" s="21">
        <f>100*(J76-J75)</f>
        <v/>
      </c>
      <c r="K210" s="21">
        <f>100*(K76-K75)</f>
        <v/>
      </c>
      <c r="L210" s="21">
        <f>100*(L76-L75)</f>
        <v/>
      </c>
      <c r="M210" s="21">
        <f>100*(M76-M75)</f>
        <v/>
      </c>
      <c r="N210" s="21">
        <f>100*(N76-N75)</f>
        <v/>
      </c>
      <c r="O210" s="21">
        <f>100*(O76-O75)</f>
        <v/>
      </c>
      <c r="P210" s="21">
        <f>100*(P76-P75)</f>
        <v/>
      </c>
      <c r="Q210" s="21">
        <f>100*(Q76-Q75)</f>
        <v/>
      </c>
      <c r="R210" s="21">
        <f>100*(R76-R75)</f>
        <v/>
      </c>
      <c r="S210" s="21">
        <f>100*(S76-S75)</f>
        <v/>
      </c>
      <c r="T210" s="21">
        <f>100*(T76-T75)</f>
        <v/>
      </c>
      <c r="U210" s="21">
        <f>100*(U76-U75)</f>
        <v/>
      </c>
      <c r="V210" s="21">
        <f>100*(V76-V75)</f>
        <v/>
      </c>
      <c r="W210" s="21">
        <f>100*(W76-W75)</f>
        <v/>
      </c>
      <c r="X210" s="21">
        <f>100*(X76-X75)</f>
        <v/>
      </c>
      <c r="Y210" s="21">
        <f>100*(Y76-Y75)</f>
        <v/>
      </c>
      <c r="Z210" s="21">
        <f>100*(Z76-Z75)</f>
        <v/>
      </c>
      <c r="AA210" s="21">
        <f>100*(AA76-AA75)</f>
        <v/>
      </c>
      <c r="AB210" s="21">
        <f>100*(AB76-AB75)</f>
        <v/>
      </c>
      <c r="AC210" s="21">
        <f>100*(AC76-AC75)</f>
        <v/>
      </c>
      <c r="AD210" s="21">
        <f>100*(AD76-AD75)</f>
        <v/>
      </c>
      <c r="AE210" s="21">
        <f>100*(AE76-AE75)</f>
        <v/>
      </c>
      <c r="AF210" s="21">
        <f>100*(AF76-AF75)</f>
        <v/>
      </c>
      <c r="AG210" s="21">
        <f>100*(AG76-AG75)</f>
        <v/>
      </c>
      <c r="AH210" s="21">
        <f>100*(AH76-AH75)</f>
        <v/>
      </c>
      <c r="AI210" s="21">
        <f>100*(AI76-AI75)</f>
        <v/>
      </c>
      <c r="AJ210" s="21">
        <f>100*(AJ76-AJ75)</f>
        <v/>
      </c>
      <c r="AK210" s="21">
        <f>100*(AK76-AK75)</f>
        <v/>
      </c>
      <c r="AL210" s="21">
        <f>AVERAGE(C210:AK210)</f>
        <v/>
      </c>
    </row>
    <row r="211">
      <c r="A211" s="19">
        <f>A77</f>
        <v/>
      </c>
      <c r="B211" s="20">
        <f>B77</f>
        <v/>
      </c>
      <c r="C211" s="21">
        <f>100*(C77-C76)</f>
        <v/>
      </c>
      <c r="D211" s="21">
        <f>100*(D77-D76)</f>
        <v/>
      </c>
      <c r="E211" s="21">
        <f>100*(E77-E76)</f>
        <v/>
      </c>
      <c r="F211" s="21">
        <f>100*(F77-F76)</f>
        <v/>
      </c>
      <c r="G211" s="21">
        <f>100*(G77-G76)</f>
        <v/>
      </c>
      <c r="H211" s="21">
        <f>100*(H77-H76)</f>
        <v/>
      </c>
      <c r="I211" s="21">
        <f>100*(I77-I76)</f>
        <v/>
      </c>
      <c r="J211" s="21">
        <f>100*(J77-J76)</f>
        <v/>
      </c>
      <c r="K211" s="21">
        <f>100*(K77-K76)</f>
        <v/>
      </c>
      <c r="L211" s="21">
        <f>100*(L77-L76)</f>
        <v/>
      </c>
      <c r="M211" s="21">
        <f>100*(M77-M76)</f>
        <v/>
      </c>
      <c r="N211" s="21">
        <f>100*(N77-N76)</f>
        <v/>
      </c>
      <c r="O211" s="21">
        <f>100*(O77-O76)</f>
        <v/>
      </c>
      <c r="P211" s="21">
        <f>100*(P77-P76)</f>
        <v/>
      </c>
      <c r="Q211" s="21">
        <f>100*(Q77-Q76)</f>
        <v/>
      </c>
      <c r="R211" s="21">
        <f>100*(R77-R76)</f>
        <v/>
      </c>
      <c r="S211" s="21">
        <f>100*(S77-S76)</f>
        <v/>
      </c>
      <c r="T211" s="21">
        <f>100*(T77-T76)</f>
        <v/>
      </c>
      <c r="U211" s="21">
        <f>100*(U77-U76)</f>
        <v/>
      </c>
      <c r="V211" s="21">
        <f>100*(V77-V76)</f>
        <v/>
      </c>
      <c r="W211" s="21">
        <f>100*(W77-W76)</f>
        <v/>
      </c>
      <c r="X211" s="21">
        <f>100*(X77-X76)</f>
        <v/>
      </c>
      <c r="Y211" s="21">
        <f>100*(Y77-Y76)</f>
        <v/>
      </c>
      <c r="Z211" s="21">
        <f>100*(Z77-Z76)</f>
        <v/>
      </c>
      <c r="AA211" s="21">
        <f>100*(AA77-AA76)</f>
        <v/>
      </c>
      <c r="AB211" s="21">
        <f>100*(AB77-AB76)</f>
        <v/>
      </c>
      <c r="AC211" s="21">
        <f>100*(AC77-AC76)</f>
        <v/>
      </c>
      <c r="AD211" s="21">
        <f>100*(AD77-AD76)</f>
        <v/>
      </c>
      <c r="AE211" s="21">
        <f>100*(AE77-AE76)</f>
        <v/>
      </c>
      <c r="AF211" s="21">
        <f>100*(AF77-AF76)</f>
        <v/>
      </c>
      <c r="AG211" s="21">
        <f>100*(AG77-AG76)</f>
        <v/>
      </c>
      <c r="AH211" s="21">
        <f>100*(AH77-AH76)</f>
        <v/>
      </c>
      <c r="AI211" s="21">
        <f>100*(AI77-AI76)</f>
        <v/>
      </c>
      <c r="AJ211" s="21">
        <f>100*(AJ77-AJ76)</f>
        <v/>
      </c>
      <c r="AK211" s="21">
        <f>100*(AK77-AK76)</f>
        <v/>
      </c>
      <c r="AL211" s="21">
        <f>AVERAGE(C211:AK211)</f>
        <v/>
      </c>
    </row>
    <row r="212">
      <c r="A212" s="19">
        <f>A78</f>
        <v/>
      </c>
      <c r="B212" s="20">
        <f>B78</f>
        <v/>
      </c>
      <c r="C212" s="21">
        <f>100*(C78-C77)</f>
        <v/>
      </c>
      <c r="D212" s="21">
        <f>100*(D78-D77)</f>
        <v/>
      </c>
      <c r="E212" s="21">
        <f>100*(E78-E77)</f>
        <v/>
      </c>
      <c r="F212" s="21">
        <f>100*(F78-F77)</f>
        <v/>
      </c>
      <c r="G212" s="21">
        <f>100*(G78-G77)</f>
        <v/>
      </c>
      <c r="H212" s="21">
        <f>100*(H78-H77)</f>
        <v/>
      </c>
      <c r="I212" s="21">
        <f>100*(I78-I77)</f>
        <v/>
      </c>
      <c r="J212" s="21">
        <f>100*(J78-J77)</f>
        <v/>
      </c>
      <c r="K212" s="21">
        <f>100*(K78-K77)</f>
        <v/>
      </c>
      <c r="L212" s="21">
        <f>100*(L78-L77)</f>
        <v/>
      </c>
      <c r="M212" s="21">
        <f>100*(M78-M77)</f>
        <v/>
      </c>
      <c r="N212" s="21">
        <f>100*(N78-N77)</f>
        <v/>
      </c>
      <c r="O212" s="21">
        <f>100*(O78-O77)</f>
        <v/>
      </c>
      <c r="P212" s="21">
        <f>100*(P78-P77)</f>
        <v/>
      </c>
      <c r="Q212" s="21">
        <f>100*(Q78-Q77)</f>
        <v/>
      </c>
      <c r="R212" s="21">
        <f>100*(R78-R77)</f>
        <v/>
      </c>
      <c r="S212" s="21">
        <f>100*(S78-S77)</f>
        <v/>
      </c>
      <c r="T212" s="21">
        <f>100*(T78-T77)</f>
        <v/>
      </c>
      <c r="U212" s="21">
        <f>100*(U78-U77)</f>
        <v/>
      </c>
      <c r="V212" s="21">
        <f>100*(V78-V77)</f>
        <v/>
      </c>
      <c r="W212" s="21">
        <f>100*(W78-W77)</f>
        <v/>
      </c>
      <c r="X212" s="21">
        <f>100*(X78-X77)</f>
        <v/>
      </c>
      <c r="Y212" s="21">
        <f>100*(Y78-Y77)</f>
        <v/>
      </c>
      <c r="Z212" s="21">
        <f>100*(Z78-Z77)</f>
        <v/>
      </c>
      <c r="AA212" s="21">
        <f>100*(AA78-AA77)</f>
        <v/>
      </c>
      <c r="AB212" s="21">
        <f>100*(AB78-AB77)</f>
        <v/>
      </c>
      <c r="AC212" s="21">
        <f>100*(AC78-AC77)</f>
        <v/>
      </c>
      <c r="AD212" s="21">
        <f>100*(AD78-AD77)</f>
        <v/>
      </c>
      <c r="AE212" s="21">
        <f>100*(AE78-AE77)</f>
        <v/>
      </c>
      <c r="AF212" s="21">
        <f>100*(AF78-AF77)</f>
        <v/>
      </c>
      <c r="AG212" s="21">
        <f>100*(AG78-AG77)</f>
        <v/>
      </c>
      <c r="AH212" s="21">
        <f>100*(AH78-AH77)</f>
        <v/>
      </c>
      <c r="AI212" s="21">
        <f>100*(AI78-AI77)</f>
        <v/>
      </c>
      <c r="AJ212" s="21">
        <f>100*(AJ78-AJ77)</f>
        <v/>
      </c>
      <c r="AK212" s="21">
        <f>100*(AK78-AK77)</f>
        <v/>
      </c>
      <c r="AL212" s="21">
        <f>AVERAGE(C212:AK212)</f>
        <v/>
      </c>
    </row>
    <row r="213">
      <c r="A213" s="19">
        <f>A79</f>
        <v/>
      </c>
      <c r="B213" s="20">
        <f>B79</f>
        <v/>
      </c>
      <c r="C213" s="21">
        <f>100*(C79-C78)</f>
        <v/>
      </c>
      <c r="D213" s="21">
        <f>100*(D79-D78)</f>
        <v/>
      </c>
      <c r="E213" s="21">
        <f>100*(E79-E78)</f>
        <v/>
      </c>
      <c r="F213" s="21">
        <f>100*(F79-F78)</f>
        <v/>
      </c>
      <c r="G213" s="21">
        <f>100*(G79-G78)</f>
        <v/>
      </c>
      <c r="H213" s="21">
        <f>100*(H79-H78)</f>
        <v/>
      </c>
      <c r="I213" s="21">
        <f>100*(I79-I78)</f>
        <v/>
      </c>
      <c r="J213" s="21">
        <f>100*(J79-J78)</f>
        <v/>
      </c>
      <c r="K213" s="21">
        <f>100*(K79-K78)</f>
        <v/>
      </c>
      <c r="L213" s="21">
        <f>100*(L79-L78)</f>
        <v/>
      </c>
      <c r="M213" s="21">
        <f>100*(M79-M78)</f>
        <v/>
      </c>
      <c r="N213" s="21">
        <f>100*(N79-N78)</f>
        <v/>
      </c>
      <c r="O213" s="21">
        <f>100*(O79-O78)</f>
        <v/>
      </c>
      <c r="P213" s="21">
        <f>100*(P79-P78)</f>
        <v/>
      </c>
      <c r="Q213" s="21">
        <f>100*(Q79-Q78)</f>
        <v/>
      </c>
      <c r="R213" s="21">
        <f>100*(R79-R78)</f>
        <v/>
      </c>
      <c r="S213" s="21">
        <f>100*(S79-S78)</f>
        <v/>
      </c>
      <c r="T213" s="21">
        <f>100*(T79-T78)</f>
        <v/>
      </c>
      <c r="U213" s="21">
        <f>100*(U79-U78)</f>
        <v/>
      </c>
      <c r="V213" s="21">
        <f>100*(V79-V78)</f>
        <v/>
      </c>
      <c r="W213" s="21">
        <f>100*(W79-W78)</f>
        <v/>
      </c>
      <c r="X213" s="21">
        <f>100*(X79-X78)</f>
        <v/>
      </c>
      <c r="Y213" s="21">
        <f>100*(Y79-Y78)</f>
        <v/>
      </c>
      <c r="Z213" s="21">
        <f>100*(Z79-Z78)</f>
        <v/>
      </c>
      <c r="AA213" s="21">
        <f>100*(AA79-AA78)</f>
        <v/>
      </c>
      <c r="AB213" s="21">
        <f>100*(AB79-AB78)</f>
        <v/>
      </c>
      <c r="AC213" s="21">
        <f>100*(AC79-AC78)</f>
        <v/>
      </c>
      <c r="AD213" s="21">
        <f>100*(AD79-AD78)</f>
        <v/>
      </c>
      <c r="AE213" s="21">
        <f>100*(AE79-AE78)</f>
        <v/>
      </c>
      <c r="AF213" s="21">
        <f>100*(AF79-AF78)</f>
        <v/>
      </c>
      <c r="AG213" s="21">
        <f>100*(AG79-AG78)</f>
        <v/>
      </c>
      <c r="AH213" s="21">
        <f>100*(AH79-AH78)</f>
        <v/>
      </c>
      <c r="AI213" s="21">
        <f>100*(AI79-AI78)</f>
        <v/>
      </c>
      <c r="AJ213" s="21">
        <f>100*(AJ79-AJ78)</f>
        <v/>
      </c>
      <c r="AK213" s="21">
        <f>100*(AK79-AK78)</f>
        <v/>
      </c>
      <c r="AL213" s="21">
        <f>AVERAGE(C213:AK213)</f>
        <v/>
      </c>
    </row>
    <row r="214">
      <c r="A214" s="19">
        <f>A80</f>
        <v/>
      </c>
      <c r="B214" s="20">
        <f>B80</f>
        <v/>
      </c>
      <c r="C214" s="21">
        <f>100*(C80-C79)</f>
        <v/>
      </c>
      <c r="D214" s="21">
        <f>100*(D80-D79)</f>
        <v/>
      </c>
      <c r="E214" s="21">
        <f>100*(E80-E79)</f>
        <v/>
      </c>
      <c r="F214" s="21">
        <f>100*(F80-F79)</f>
        <v/>
      </c>
      <c r="G214" s="21">
        <f>100*(G80-G79)</f>
        <v/>
      </c>
      <c r="H214" s="21">
        <f>100*(H80-H79)</f>
        <v/>
      </c>
      <c r="I214" s="21">
        <f>100*(I80-I79)</f>
        <v/>
      </c>
      <c r="J214" s="21">
        <f>100*(J80-J79)</f>
        <v/>
      </c>
      <c r="K214" s="21">
        <f>100*(K80-K79)</f>
        <v/>
      </c>
      <c r="L214" s="21">
        <f>100*(L80-L79)</f>
        <v/>
      </c>
      <c r="M214" s="21">
        <f>100*(M80-M79)</f>
        <v/>
      </c>
      <c r="N214" s="21">
        <f>100*(N80-N79)</f>
        <v/>
      </c>
      <c r="O214" s="21">
        <f>100*(O80-O79)</f>
        <v/>
      </c>
      <c r="P214" s="21">
        <f>100*(P80-P79)</f>
        <v/>
      </c>
      <c r="Q214" s="21">
        <f>100*(Q80-Q79)</f>
        <v/>
      </c>
      <c r="R214" s="21">
        <f>100*(R80-R79)</f>
        <v/>
      </c>
      <c r="S214" s="21">
        <f>100*(S80-S79)</f>
        <v/>
      </c>
      <c r="T214" s="21">
        <f>100*(T80-T79)</f>
        <v/>
      </c>
      <c r="U214" s="21">
        <f>100*(U80-U79)</f>
        <v/>
      </c>
      <c r="V214" s="21">
        <f>100*(V80-V79)</f>
        <v/>
      </c>
      <c r="W214" s="21">
        <f>100*(W80-W79)</f>
        <v/>
      </c>
      <c r="X214" s="21">
        <f>100*(X80-X79)</f>
        <v/>
      </c>
      <c r="Y214" s="21">
        <f>100*(Y80-Y79)</f>
        <v/>
      </c>
      <c r="Z214" s="21">
        <f>100*(Z80-Z79)</f>
        <v/>
      </c>
      <c r="AA214" s="21">
        <f>100*(AA80-AA79)</f>
        <v/>
      </c>
      <c r="AB214" s="21">
        <f>100*(AB80-AB79)</f>
        <v/>
      </c>
      <c r="AC214" s="21">
        <f>100*(AC80-AC79)</f>
        <v/>
      </c>
      <c r="AD214" s="21">
        <f>100*(AD80-AD79)</f>
        <v/>
      </c>
      <c r="AE214" s="21">
        <f>100*(AE80-AE79)</f>
        <v/>
      </c>
      <c r="AF214" s="21">
        <f>100*(AF80-AF79)</f>
        <v/>
      </c>
      <c r="AG214" s="21">
        <f>100*(AG80-AG79)</f>
        <v/>
      </c>
      <c r="AH214" s="21">
        <f>100*(AH80-AH79)</f>
        <v/>
      </c>
      <c r="AI214" s="21">
        <f>100*(AI80-AI79)</f>
        <v/>
      </c>
      <c r="AJ214" s="21">
        <f>100*(AJ80-AJ79)</f>
        <v/>
      </c>
      <c r="AK214" s="21">
        <f>100*(AK80-AK79)</f>
        <v/>
      </c>
      <c r="AL214" s="21">
        <f>AVERAGE(C214:AK214)</f>
        <v/>
      </c>
    </row>
    <row r="215">
      <c r="A215" s="19">
        <f>A81</f>
        <v/>
      </c>
      <c r="B215" s="20">
        <f>B81</f>
        <v/>
      </c>
      <c r="C215" s="21">
        <f>100*(C81-C80)</f>
        <v/>
      </c>
      <c r="D215" s="21">
        <f>100*(D81-D80)</f>
        <v/>
      </c>
      <c r="E215" s="21">
        <f>100*(E81-E80)</f>
        <v/>
      </c>
      <c r="F215" s="21">
        <f>100*(F81-F80)</f>
        <v/>
      </c>
      <c r="G215" s="21">
        <f>100*(G81-G80)</f>
        <v/>
      </c>
      <c r="H215" s="21">
        <f>100*(H81-H80)</f>
        <v/>
      </c>
      <c r="I215" s="21">
        <f>100*(I81-I80)</f>
        <v/>
      </c>
      <c r="J215" s="21">
        <f>100*(J81-J80)</f>
        <v/>
      </c>
      <c r="K215" s="21">
        <f>100*(K81-K80)</f>
        <v/>
      </c>
      <c r="L215" s="21">
        <f>100*(L81-L80)</f>
        <v/>
      </c>
      <c r="M215" s="21">
        <f>100*(M81-M80)</f>
        <v/>
      </c>
      <c r="N215" s="21">
        <f>100*(N81-N80)</f>
        <v/>
      </c>
      <c r="O215" s="21">
        <f>100*(O81-O80)</f>
        <v/>
      </c>
      <c r="P215" s="21">
        <f>100*(P81-P80)</f>
        <v/>
      </c>
      <c r="Q215" s="21">
        <f>100*(Q81-Q80)</f>
        <v/>
      </c>
      <c r="R215" s="21">
        <f>100*(R81-R80)</f>
        <v/>
      </c>
      <c r="S215" s="21">
        <f>100*(S81-S80)</f>
        <v/>
      </c>
      <c r="T215" s="21">
        <f>100*(T81-T80)</f>
        <v/>
      </c>
      <c r="U215" s="21">
        <f>100*(U81-U80)</f>
        <v/>
      </c>
      <c r="V215" s="21">
        <f>100*(V81-V80)</f>
        <v/>
      </c>
      <c r="W215" s="21">
        <f>100*(W81-W80)</f>
        <v/>
      </c>
      <c r="X215" s="21">
        <f>100*(X81-X80)</f>
        <v/>
      </c>
      <c r="Y215" s="21">
        <f>100*(Y81-Y80)</f>
        <v/>
      </c>
      <c r="Z215" s="21">
        <f>100*(Z81-Z80)</f>
        <v/>
      </c>
      <c r="AA215" s="21">
        <f>100*(AA81-AA80)</f>
        <v/>
      </c>
      <c r="AB215" s="21">
        <f>100*(AB81-AB80)</f>
        <v/>
      </c>
      <c r="AC215" s="21">
        <f>100*(AC81-AC80)</f>
        <v/>
      </c>
      <c r="AD215" s="21">
        <f>100*(AD81-AD80)</f>
        <v/>
      </c>
      <c r="AE215" s="21">
        <f>100*(AE81-AE80)</f>
        <v/>
      </c>
      <c r="AF215" s="21">
        <f>100*(AF81-AF80)</f>
        <v/>
      </c>
      <c r="AG215" s="21">
        <f>100*(AG81-AG80)</f>
        <v/>
      </c>
      <c r="AH215" s="21">
        <f>100*(AH81-AH80)</f>
        <v/>
      </c>
      <c r="AI215" s="21">
        <f>100*(AI81-AI80)</f>
        <v/>
      </c>
      <c r="AJ215" s="21">
        <f>100*(AJ81-AJ80)</f>
        <v/>
      </c>
      <c r="AK215" s="21">
        <f>100*(AK81-AK80)</f>
        <v/>
      </c>
      <c r="AL215" s="21">
        <f>AVERAGE(C215:AK215)</f>
        <v/>
      </c>
    </row>
    <row r="216">
      <c r="A216" s="19">
        <f>A82</f>
        <v/>
      </c>
      <c r="B216" s="20">
        <f>B82</f>
        <v/>
      </c>
      <c r="C216" s="21">
        <f>100*(C82-C81)</f>
        <v/>
      </c>
      <c r="D216" s="21">
        <f>100*(D82-D81)</f>
        <v/>
      </c>
      <c r="E216" s="21">
        <f>100*(E82-E81)</f>
        <v/>
      </c>
      <c r="F216" s="21">
        <f>100*(F82-F81)</f>
        <v/>
      </c>
      <c r="G216" s="21">
        <f>100*(G82-G81)</f>
        <v/>
      </c>
      <c r="H216" s="21">
        <f>100*(H82-H81)</f>
        <v/>
      </c>
      <c r="I216" s="21">
        <f>100*(I82-I81)</f>
        <v/>
      </c>
      <c r="J216" s="21">
        <f>100*(J82-J81)</f>
        <v/>
      </c>
      <c r="K216" s="21">
        <f>100*(K82-K81)</f>
        <v/>
      </c>
      <c r="L216" s="21">
        <f>100*(L82-L81)</f>
        <v/>
      </c>
      <c r="M216" s="21">
        <f>100*(M82-M81)</f>
        <v/>
      </c>
      <c r="N216" s="21">
        <f>100*(N82-N81)</f>
        <v/>
      </c>
      <c r="O216" s="21">
        <f>100*(O82-O81)</f>
        <v/>
      </c>
      <c r="P216" s="21">
        <f>100*(P82-P81)</f>
        <v/>
      </c>
      <c r="Q216" s="21">
        <f>100*(Q82-Q81)</f>
        <v/>
      </c>
      <c r="R216" s="21">
        <f>100*(R82-R81)</f>
        <v/>
      </c>
      <c r="S216" s="21">
        <f>100*(S82-S81)</f>
        <v/>
      </c>
      <c r="T216" s="21">
        <f>100*(T82-T81)</f>
        <v/>
      </c>
      <c r="U216" s="21">
        <f>100*(U82-U81)</f>
        <v/>
      </c>
      <c r="V216" s="21">
        <f>100*(V82-V81)</f>
        <v/>
      </c>
      <c r="W216" s="21">
        <f>100*(W82-W81)</f>
        <v/>
      </c>
      <c r="X216" s="21">
        <f>100*(X82-X81)</f>
        <v/>
      </c>
      <c r="Y216" s="21">
        <f>100*(Y82-Y81)</f>
        <v/>
      </c>
      <c r="Z216" s="21">
        <f>100*(Z82-Z81)</f>
        <v/>
      </c>
      <c r="AA216" s="21">
        <f>100*(AA82-AA81)</f>
        <v/>
      </c>
      <c r="AB216" s="21">
        <f>100*(AB82-AB81)</f>
        <v/>
      </c>
      <c r="AC216" s="21">
        <f>100*(AC82-AC81)</f>
        <v/>
      </c>
      <c r="AD216" s="21">
        <f>100*(AD82-AD81)</f>
        <v/>
      </c>
      <c r="AE216" s="21">
        <f>100*(AE82-AE81)</f>
        <v/>
      </c>
      <c r="AF216" s="21">
        <f>100*(AF82-AF81)</f>
        <v/>
      </c>
      <c r="AG216" s="21">
        <f>100*(AG82-AG81)</f>
        <v/>
      </c>
      <c r="AH216" s="21">
        <f>100*(AH82-AH81)</f>
        <v/>
      </c>
      <c r="AI216" s="21">
        <f>100*(AI82-AI81)</f>
        <v/>
      </c>
      <c r="AJ216" s="21">
        <f>100*(AJ82-AJ81)</f>
        <v/>
      </c>
      <c r="AK216" s="21">
        <f>100*(AK82-AK81)</f>
        <v/>
      </c>
      <c r="AL216" s="21">
        <f>AVERAGE(C216:AK216)</f>
        <v/>
      </c>
    </row>
    <row r="217">
      <c r="A217" s="19">
        <f>A83</f>
        <v/>
      </c>
      <c r="B217" s="20">
        <f>B83</f>
        <v/>
      </c>
      <c r="C217" s="21">
        <f>100*(C83-C82)</f>
        <v/>
      </c>
      <c r="D217" s="21">
        <f>100*(D83-D82)</f>
        <v/>
      </c>
      <c r="E217" s="21">
        <f>100*(E83-E82)</f>
        <v/>
      </c>
      <c r="F217" s="21">
        <f>100*(F83-F82)</f>
        <v/>
      </c>
      <c r="G217" s="21">
        <f>100*(G83-G82)</f>
        <v/>
      </c>
      <c r="H217" s="21">
        <f>100*(H83-H82)</f>
        <v/>
      </c>
      <c r="I217" s="21">
        <f>100*(I83-I82)</f>
        <v/>
      </c>
      <c r="J217" s="21">
        <f>100*(J83-J82)</f>
        <v/>
      </c>
      <c r="K217" s="21">
        <f>100*(K83-K82)</f>
        <v/>
      </c>
      <c r="L217" s="21">
        <f>100*(L83-L82)</f>
        <v/>
      </c>
      <c r="M217" s="21">
        <f>100*(M83-M82)</f>
        <v/>
      </c>
      <c r="N217" s="21">
        <f>100*(N83-N82)</f>
        <v/>
      </c>
      <c r="O217" s="21">
        <f>100*(O83-O82)</f>
        <v/>
      </c>
      <c r="P217" s="21">
        <f>100*(P83-P82)</f>
        <v/>
      </c>
      <c r="Q217" s="21">
        <f>100*(Q83-Q82)</f>
        <v/>
      </c>
      <c r="R217" s="21">
        <f>100*(R83-R82)</f>
        <v/>
      </c>
      <c r="S217" s="21">
        <f>100*(S83-S82)</f>
        <v/>
      </c>
      <c r="T217" s="21">
        <f>100*(T83-T82)</f>
        <v/>
      </c>
      <c r="U217" s="21">
        <f>100*(U83-U82)</f>
        <v/>
      </c>
      <c r="V217" s="21">
        <f>100*(V83-V82)</f>
        <v/>
      </c>
      <c r="W217" s="21">
        <f>100*(W83-W82)</f>
        <v/>
      </c>
      <c r="X217" s="21">
        <f>100*(X83-X82)</f>
        <v/>
      </c>
      <c r="Y217" s="21">
        <f>100*(Y83-Y82)</f>
        <v/>
      </c>
      <c r="Z217" s="21">
        <f>100*(Z83-Z82)</f>
        <v/>
      </c>
      <c r="AA217" s="21">
        <f>100*(AA83-AA82)</f>
        <v/>
      </c>
      <c r="AB217" s="21">
        <f>100*(AB83-AB82)</f>
        <v/>
      </c>
      <c r="AC217" s="21">
        <f>100*(AC83-AC82)</f>
        <v/>
      </c>
      <c r="AD217" s="21">
        <f>100*(AD83-AD82)</f>
        <v/>
      </c>
      <c r="AE217" s="21">
        <f>100*(AE83-AE82)</f>
        <v/>
      </c>
      <c r="AF217" s="21">
        <f>100*(AF83-AF82)</f>
        <v/>
      </c>
      <c r="AG217" s="21">
        <f>100*(AG83-AG82)</f>
        <v/>
      </c>
      <c r="AH217" s="21">
        <f>100*(AH83-AH82)</f>
        <v/>
      </c>
      <c r="AI217" s="21">
        <f>100*(AI83-AI82)</f>
        <v/>
      </c>
      <c r="AJ217" s="21">
        <f>100*(AJ83-AJ82)</f>
        <v/>
      </c>
      <c r="AK217" s="21">
        <f>100*(AK83-AK82)</f>
        <v/>
      </c>
      <c r="AL217" s="21">
        <f>AVERAGE(C217:AK217)</f>
        <v/>
      </c>
    </row>
    <row r="218">
      <c r="A218" s="19">
        <f>A84</f>
        <v/>
      </c>
      <c r="B218" s="20">
        <f>B84</f>
        <v/>
      </c>
      <c r="C218" s="21">
        <f>100*(C84-C83)</f>
        <v/>
      </c>
      <c r="D218" s="21">
        <f>100*(D84-D83)</f>
        <v/>
      </c>
      <c r="E218" s="21">
        <f>100*(E84-E83)</f>
        <v/>
      </c>
      <c r="F218" s="21">
        <f>100*(F84-F83)</f>
        <v/>
      </c>
      <c r="G218" s="21">
        <f>100*(G84-G83)</f>
        <v/>
      </c>
      <c r="H218" s="21">
        <f>100*(H84-H83)</f>
        <v/>
      </c>
      <c r="I218" s="21">
        <f>100*(I84-I83)</f>
        <v/>
      </c>
      <c r="J218" s="21">
        <f>100*(J84-J83)</f>
        <v/>
      </c>
      <c r="K218" s="21">
        <f>100*(K84-K83)</f>
        <v/>
      </c>
      <c r="L218" s="21">
        <f>100*(L84-L83)</f>
        <v/>
      </c>
      <c r="M218" s="21">
        <f>100*(M84-M83)</f>
        <v/>
      </c>
      <c r="N218" s="21">
        <f>100*(N84-N83)</f>
        <v/>
      </c>
      <c r="O218" s="21">
        <f>100*(O84-O83)</f>
        <v/>
      </c>
      <c r="P218" s="21">
        <f>100*(P84-P83)</f>
        <v/>
      </c>
      <c r="Q218" s="21">
        <f>100*(Q84-Q83)</f>
        <v/>
      </c>
      <c r="R218" s="21">
        <f>100*(R84-R83)</f>
        <v/>
      </c>
      <c r="S218" s="21">
        <f>100*(S84-S83)</f>
        <v/>
      </c>
      <c r="T218" s="21">
        <f>100*(T84-T83)</f>
        <v/>
      </c>
      <c r="U218" s="21">
        <f>100*(U84-U83)</f>
        <v/>
      </c>
      <c r="V218" s="21">
        <f>100*(V84-V83)</f>
        <v/>
      </c>
      <c r="W218" s="21">
        <f>100*(W84-W83)</f>
        <v/>
      </c>
      <c r="X218" s="21">
        <f>100*(X84-X83)</f>
        <v/>
      </c>
      <c r="Y218" s="21">
        <f>100*(Y84-Y83)</f>
        <v/>
      </c>
      <c r="Z218" s="21">
        <f>100*(Z84-Z83)</f>
        <v/>
      </c>
      <c r="AA218" s="21">
        <f>100*(AA84-AA83)</f>
        <v/>
      </c>
      <c r="AB218" s="21">
        <f>100*(AB84-AB83)</f>
        <v/>
      </c>
      <c r="AC218" s="21">
        <f>100*(AC84-AC83)</f>
        <v/>
      </c>
      <c r="AD218" s="21">
        <f>100*(AD84-AD83)</f>
        <v/>
      </c>
      <c r="AE218" s="21">
        <f>100*(AE84-AE83)</f>
        <v/>
      </c>
      <c r="AF218" s="21">
        <f>100*(AF84-AF83)</f>
        <v/>
      </c>
      <c r="AG218" s="21">
        <f>100*(AG84-AG83)</f>
        <v/>
      </c>
      <c r="AH218" s="21">
        <f>100*(AH84-AH83)</f>
        <v/>
      </c>
      <c r="AI218" s="21">
        <f>100*(AI84-AI83)</f>
        <v/>
      </c>
      <c r="AJ218" s="21">
        <f>100*(AJ84-AJ83)</f>
        <v/>
      </c>
      <c r="AK218" s="21">
        <f>100*(AK84-AK83)</f>
        <v/>
      </c>
      <c r="AL218" s="21">
        <f>AVERAGE(C218:AK218)</f>
        <v/>
      </c>
    </row>
    <row r="219">
      <c r="A219" s="19">
        <f>A85</f>
        <v/>
      </c>
      <c r="B219" s="20">
        <f>B85</f>
        <v/>
      </c>
      <c r="C219" s="21">
        <f>100*(C85-C84)</f>
        <v/>
      </c>
      <c r="D219" s="21">
        <f>100*(D85-D84)</f>
        <v/>
      </c>
      <c r="E219" s="21">
        <f>100*(E85-E84)</f>
        <v/>
      </c>
      <c r="F219" s="21">
        <f>100*(F85-F84)</f>
        <v/>
      </c>
      <c r="G219" s="21">
        <f>100*(G85-G84)</f>
        <v/>
      </c>
      <c r="H219" s="21">
        <f>100*(H85-H84)</f>
        <v/>
      </c>
      <c r="I219" s="21">
        <f>100*(I85-I84)</f>
        <v/>
      </c>
      <c r="J219" s="21">
        <f>100*(J85-J84)</f>
        <v/>
      </c>
      <c r="K219" s="21">
        <f>100*(K85-K84)</f>
        <v/>
      </c>
      <c r="L219" s="21">
        <f>100*(L85-L84)</f>
        <v/>
      </c>
      <c r="M219" s="21">
        <f>100*(M85-M84)</f>
        <v/>
      </c>
      <c r="N219" s="21">
        <f>100*(N85-N84)</f>
        <v/>
      </c>
      <c r="O219" s="21">
        <f>100*(O85-O84)</f>
        <v/>
      </c>
      <c r="P219" s="21">
        <f>100*(P85-P84)</f>
        <v/>
      </c>
      <c r="Q219" s="21">
        <f>100*(Q85-Q84)</f>
        <v/>
      </c>
      <c r="R219" s="21">
        <f>100*(R85-R84)</f>
        <v/>
      </c>
      <c r="S219" s="21">
        <f>100*(S85-S84)</f>
        <v/>
      </c>
      <c r="T219" s="21">
        <f>100*(T85-T84)</f>
        <v/>
      </c>
      <c r="U219" s="21">
        <f>100*(U85-U84)</f>
        <v/>
      </c>
      <c r="V219" s="21">
        <f>100*(V85-V84)</f>
        <v/>
      </c>
      <c r="W219" s="21">
        <f>100*(W85-W84)</f>
        <v/>
      </c>
      <c r="X219" s="21">
        <f>100*(X85-X84)</f>
        <v/>
      </c>
      <c r="Y219" s="21">
        <f>100*(Y85-Y84)</f>
        <v/>
      </c>
      <c r="Z219" s="21">
        <f>100*(Z85-Z84)</f>
        <v/>
      </c>
      <c r="AA219" s="21">
        <f>100*(AA85-AA84)</f>
        <v/>
      </c>
      <c r="AB219" s="21">
        <f>100*(AB85-AB84)</f>
        <v/>
      </c>
      <c r="AC219" s="21">
        <f>100*(AC85-AC84)</f>
        <v/>
      </c>
      <c r="AD219" s="21">
        <f>100*(AD85-AD84)</f>
        <v/>
      </c>
      <c r="AE219" s="21">
        <f>100*(AE85-AE84)</f>
        <v/>
      </c>
      <c r="AF219" s="21">
        <f>100*(AF85-AF84)</f>
        <v/>
      </c>
      <c r="AG219" s="21">
        <f>100*(AG85-AG84)</f>
        <v/>
      </c>
      <c r="AH219" s="21">
        <f>100*(AH85-AH84)</f>
        <v/>
      </c>
      <c r="AI219" s="21">
        <f>100*(AI85-AI84)</f>
        <v/>
      </c>
      <c r="AJ219" s="21">
        <f>100*(AJ85-AJ84)</f>
        <v/>
      </c>
      <c r="AK219" s="21">
        <f>100*(AK85-AK84)</f>
        <v/>
      </c>
      <c r="AL219" s="21">
        <f>AVERAGE(C219:AK219)</f>
        <v/>
      </c>
    </row>
    <row r="220">
      <c r="A220" s="19">
        <f>A86</f>
        <v/>
      </c>
      <c r="B220" s="20">
        <f>B86</f>
        <v/>
      </c>
      <c r="C220" s="21">
        <f>100*(C86-C85)</f>
        <v/>
      </c>
      <c r="D220" s="21">
        <f>100*(D86-D85)</f>
        <v/>
      </c>
      <c r="E220" s="21">
        <f>100*(E86-E85)</f>
        <v/>
      </c>
      <c r="F220" s="21">
        <f>100*(F86-F85)</f>
        <v/>
      </c>
      <c r="G220" s="21">
        <f>100*(G86-G85)</f>
        <v/>
      </c>
      <c r="H220" s="21">
        <f>100*(H86-H85)</f>
        <v/>
      </c>
      <c r="I220" s="21">
        <f>100*(I86-I85)</f>
        <v/>
      </c>
      <c r="J220" s="21">
        <f>100*(J86-J85)</f>
        <v/>
      </c>
      <c r="K220" s="21">
        <f>100*(K86-K85)</f>
        <v/>
      </c>
      <c r="L220" s="21">
        <f>100*(L86-L85)</f>
        <v/>
      </c>
      <c r="M220" s="21">
        <f>100*(M86-M85)</f>
        <v/>
      </c>
      <c r="N220" s="21">
        <f>100*(N86-N85)</f>
        <v/>
      </c>
      <c r="O220" s="21">
        <f>100*(O86-O85)</f>
        <v/>
      </c>
      <c r="P220" s="21">
        <f>100*(P86-P85)</f>
        <v/>
      </c>
      <c r="Q220" s="21">
        <f>100*(Q86-Q85)</f>
        <v/>
      </c>
      <c r="R220" s="21">
        <f>100*(R86-R85)</f>
        <v/>
      </c>
      <c r="S220" s="21">
        <f>100*(S86-S85)</f>
        <v/>
      </c>
      <c r="T220" s="21">
        <f>100*(T86-T85)</f>
        <v/>
      </c>
      <c r="U220" s="21">
        <f>100*(U86-U85)</f>
        <v/>
      </c>
      <c r="V220" s="21">
        <f>100*(V86-V85)</f>
        <v/>
      </c>
      <c r="W220" s="21">
        <f>100*(W86-W85)</f>
        <v/>
      </c>
      <c r="X220" s="21">
        <f>100*(X86-X85)</f>
        <v/>
      </c>
      <c r="Y220" s="21">
        <f>100*(Y86-Y85)</f>
        <v/>
      </c>
      <c r="Z220" s="21">
        <f>100*(Z86-Z85)</f>
        <v/>
      </c>
      <c r="AA220" s="21">
        <f>100*(AA86-AA85)</f>
        <v/>
      </c>
      <c r="AB220" s="21">
        <f>100*(AB86-AB85)</f>
        <v/>
      </c>
      <c r="AC220" s="21">
        <f>100*(AC86-AC85)</f>
        <v/>
      </c>
      <c r="AD220" s="21">
        <f>100*(AD86-AD85)</f>
        <v/>
      </c>
      <c r="AE220" s="21">
        <f>100*(AE86-AE85)</f>
        <v/>
      </c>
      <c r="AF220" s="21">
        <f>100*(AF86-AF85)</f>
        <v/>
      </c>
      <c r="AG220" s="21">
        <f>100*(AG86-AG85)</f>
        <v/>
      </c>
      <c r="AH220" s="21">
        <f>100*(AH86-AH85)</f>
        <v/>
      </c>
      <c r="AI220" s="21">
        <f>100*(AI86-AI85)</f>
        <v/>
      </c>
      <c r="AJ220" s="21">
        <f>100*(AJ86-AJ85)</f>
        <v/>
      </c>
      <c r="AK220" s="21">
        <f>100*(AK86-AK85)</f>
        <v/>
      </c>
      <c r="AL220" s="21">
        <f>AVERAGE(C220:AK220)</f>
        <v/>
      </c>
    </row>
    <row r="221">
      <c r="A221" s="19">
        <f>A87</f>
        <v/>
      </c>
      <c r="B221" s="20">
        <f>B87</f>
        <v/>
      </c>
      <c r="C221" s="21">
        <f>100*(C87-C86)</f>
        <v/>
      </c>
      <c r="D221" s="21">
        <f>100*(D87-D86)</f>
        <v/>
      </c>
      <c r="E221" s="21">
        <f>100*(E87-E86)</f>
        <v/>
      </c>
      <c r="F221" s="21">
        <f>100*(F87-F86)</f>
        <v/>
      </c>
      <c r="G221" s="21">
        <f>100*(G87-G86)</f>
        <v/>
      </c>
      <c r="H221" s="21">
        <f>100*(H87-H86)</f>
        <v/>
      </c>
      <c r="I221" s="21">
        <f>100*(I87-I86)</f>
        <v/>
      </c>
      <c r="J221" s="21">
        <f>100*(J87-J86)</f>
        <v/>
      </c>
      <c r="K221" s="21">
        <f>100*(K87-K86)</f>
        <v/>
      </c>
      <c r="L221" s="21">
        <f>100*(L87-L86)</f>
        <v/>
      </c>
      <c r="M221" s="21">
        <f>100*(M87-M86)</f>
        <v/>
      </c>
      <c r="N221" s="21">
        <f>100*(N87-N86)</f>
        <v/>
      </c>
      <c r="O221" s="21">
        <f>100*(O87-O86)</f>
        <v/>
      </c>
      <c r="P221" s="21">
        <f>100*(P87-P86)</f>
        <v/>
      </c>
      <c r="Q221" s="21">
        <f>100*(Q87-Q86)</f>
        <v/>
      </c>
      <c r="R221" s="21">
        <f>100*(R87-R86)</f>
        <v/>
      </c>
      <c r="S221" s="21">
        <f>100*(S87-S86)</f>
        <v/>
      </c>
      <c r="T221" s="21">
        <f>100*(T87-T86)</f>
        <v/>
      </c>
      <c r="U221" s="21">
        <f>100*(U87-U86)</f>
        <v/>
      </c>
      <c r="V221" s="21">
        <f>100*(V87-V86)</f>
        <v/>
      </c>
      <c r="W221" s="21">
        <f>100*(W87-W86)</f>
        <v/>
      </c>
      <c r="X221" s="21">
        <f>100*(X87-X86)</f>
        <v/>
      </c>
      <c r="Y221" s="21">
        <f>100*(Y87-Y86)</f>
        <v/>
      </c>
      <c r="Z221" s="21">
        <f>100*(Z87-Z86)</f>
        <v/>
      </c>
      <c r="AA221" s="21">
        <f>100*(AA87-AA86)</f>
        <v/>
      </c>
      <c r="AB221" s="21">
        <f>100*(AB87-AB86)</f>
        <v/>
      </c>
      <c r="AC221" s="21">
        <f>100*(AC87-AC86)</f>
        <v/>
      </c>
      <c r="AD221" s="21">
        <f>100*(AD87-AD86)</f>
        <v/>
      </c>
      <c r="AE221" s="21">
        <f>100*(AE87-AE86)</f>
        <v/>
      </c>
      <c r="AF221" s="21">
        <f>100*(AF87-AF86)</f>
        <v/>
      </c>
      <c r="AG221" s="21">
        <f>100*(AG87-AG86)</f>
        <v/>
      </c>
      <c r="AH221" s="21">
        <f>100*(AH87-AH86)</f>
        <v/>
      </c>
      <c r="AI221" s="21">
        <f>100*(AI87-AI86)</f>
        <v/>
      </c>
      <c r="AJ221" s="21">
        <f>100*(AJ87-AJ86)</f>
        <v/>
      </c>
      <c r="AK221" s="21">
        <f>100*(AK87-AK86)</f>
        <v/>
      </c>
      <c r="AL221" s="21">
        <f>AVERAGE(C221:AK221)</f>
        <v/>
      </c>
    </row>
    <row r="222">
      <c r="A222" s="19">
        <f>A88</f>
        <v/>
      </c>
      <c r="B222" s="20">
        <f>B88</f>
        <v/>
      </c>
      <c r="C222" s="21">
        <f>100*(C88-C87)</f>
        <v/>
      </c>
      <c r="D222" s="21">
        <f>100*(D88-D87)</f>
        <v/>
      </c>
      <c r="E222" s="21">
        <f>100*(E88-E87)</f>
        <v/>
      </c>
      <c r="F222" s="21">
        <f>100*(F88-F87)</f>
        <v/>
      </c>
      <c r="G222" s="21">
        <f>100*(G88-G87)</f>
        <v/>
      </c>
      <c r="H222" s="21">
        <f>100*(H88-H87)</f>
        <v/>
      </c>
      <c r="I222" s="21">
        <f>100*(I88-I87)</f>
        <v/>
      </c>
      <c r="J222" s="21">
        <f>100*(J88-J87)</f>
        <v/>
      </c>
      <c r="K222" s="21">
        <f>100*(K88-K87)</f>
        <v/>
      </c>
      <c r="L222" s="21">
        <f>100*(L88-L87)</f>
        <v/>
      </c>
      <c r="M222" s="21">
        <f>100*(M88-M87)</f>
        <v/>
      </c>
      <c r="N222" s="21">
        <f>100*(N88-N87)</f>
        <v/>
      </c>
      <c r="O222" s="21">
        <f>100*(O88-O87)</f>
        <v/>
      </c>
      <c r="P222" s="21">
        <f>100*(P88-P87)</f>
        <v/>
      </c>
      <c r="Q222" s="21">
        <f>100*(Q88-Q87)</f>
        <v/>
      </c>
      <c r="R222" s="21">
        <f>100*(R88-R87)</f>
        <v/>
      </c>
      <c r="S222" s="21">
        <f>100*(S88-S87)</f>
        <v/>
      </c>
      <c r="T222" s="21">
        <f>100*(T88-T87)</f>
        <v/>
      </c>
      <c r="U222" s="21">
        <f>100*(U88-U87)</f>
        <v/>
      </c>
      <c r="V222" s="21">
        <f>100*(V88-V87)</f>
        <v/>
      </c>
      <c r="W222" s="21">
        <f>100*(W88-W87)</f>
        <v/>
      </c>
      <c r="X222" s="21">
        <f>100*(X88-X87)</f>
        <v/>
      </c>
      <c r="Y222" s="21">
        <f>100*(Y88-Y87)</f>
        <v/>
      </c>
      <c r="Z222" s="21">
        <f>100*(Z88-Z87)</f>
        <v/>
      </c>
      <c r="AA222" s="21">
        <f>100*(AA88-AA87)</f>
        <v/>
      </c>
      <c r="AB222" s="21">
        <f>100*(AB88-AB87)</f>
        <v/>
      </c>
      <c r="AC222" s="21">
        <f>100*(AC88-AC87)</f>
        <v/>
      </c>
      <c r="AD222" s="21">
        <f>100*(AD88-AD87)</f>
        <v/>
      </c>
      <c r="AE222" s="21">
        <f>100*(AE88-AE87)</f>
        <v/>
      </c>
      <c r="AF222" s="21">
        <f>100*(AF88-AF87)</f>
        <v/>
      </c>
      <c r="AG222" s="21">
        <f>100*(AG88-AG87)</f>
        <v/>
      </c>
      <c r="AH222" s="21">
        <f>100*(AH88-AH87)</f>
        <v/>
      </c>
      <c r="AI222" s="21">
        <f>100*(AI88-AI87)</f>
        <v/>
      </c>
      <c r="AJ222" s="21">
        <f>100*(AJ88-AJ87)</f>
        <v/>
      </c>
      <c r="AK222" s="21">
        <f>100*(AK88-AK87)</f>
        <v/>
      </c>
      <c r="AL222" s="21">
        <f>AVERAGE(C222:AK222)</f>
        <v/>
      </c>
    </row>
    <row r="223">
      <c r="A223" s="19">
        <f>A89</f>
        <v/>
      </c>
      <c r="B223" s="20">
        <f>B89</f>
        <v/>
      </c>
      <c r="C223" s="21">
        <f>100*(C89-C88)</f>
        <v/>
      </c>
      <c r="D223" s="21">
        <f>100*(D89-D88)</f>
        <v/>
      </c>
      <c r="E223" s="21">
        <f>100*(E89-E88)</f>
        <v/>
      </c>
      <c r="F223" s="21">
        <f>100*(F89-F88)</f>
        <v/>
      </c>
      <c r="G223" s="21">
        <f>100*(G89-G88)</f>
        <v/>
      </c>
      <c r="H223" s="21">
        <f>100*(H89-H88)</f>
        <v/>
      </c>
      <c r="I223" s="21">
        <f>100*(I89-I88)</f>
        <v/>
      </c>
      <c r="J223" s="21">
        <f>100*(J89-J88)</f>
        <v/>
      </c>
      <c r="K223" s="21">
        <f>100*(K89-K88)</f>
        <v/>
      </c>
      <c r="L223" s="21">
        <f>100*(L89-L88)</f>
        <v/>
      </c>
      <c r="M223" s="21">
        <f>100*(M89-M88)</f>
        <v/>
      </c>
      <c r="N223" s="21">
        <f>100*(N89-N88)</f>
        <v/>
      </c>
      <c r="O223" s="21">
        <f>100*(O89-O88)</f>
        <v/>
      </c>
      <c r="P223" s="21">
        <f>100*(P89-P88)</f>
        <v/>
      </c>
      <c r="Q223" s="21">
        <f>100*(Q89-Q88)</f>
        <v/>
      </c>
      <c r="R223" s="21">
        <f>100*(R89-R88)</f>
        <v/>
      </c>
      <c r="S223" s="21">
        <f>100*(S89-S88)</f>
        <v/>
      </c>
      <c r="T223" s="21">
        <f>100*(T89-T88)</f>
        <v/>
      </c>
      <c r="U223" s="21">
        <f>100*(U89-U88)</f>
        <v/>
      </c>
      <c r="V223" s="21">
        <f>100*(V89-V88)</f>
        <v/>
      </c>
      <c r="W223" s="21">
        <f>100*(W89-W88)</f>
        <v/>
      </c>
      <c r="X223" s="21">
        <f>100*(X89-X88)</f>
        <v/>
      </c>
      <c r="Y223" s="21">
        <f>100*(Y89-Y88)</f>
        <v/>
      </c>
      <c r="Z223" s="21">
        <f>100*(Z89-Z88)</f>
        <v/>
      </c>
      <c r="AA223" s="21">
        <f>100*(AA89-AA88)</f>
        <v/>
      </c>
      <c r="AB223" s="21">
        <f>100*(AB89-AB88)</f>
        <v/>
      </c>
      <c r="AC223" s="21">
        <f>100*(AC89-AC88)</f>
        <v/>
      </c>
      <c r="AD223" s="21">
        <f>100*(AD89-AD88)</f>
        <v/>
      </c>
      <c r="AE223" s="21">
        <f>100*(AE89-AE88)</f>
        <v/>
      </c>
      <c r="AF223" s="21">
        <f>100*(AF89-AF88)</f>
        <v/>
      </c>
      <c r="AG223" s="21">
        <f>100*(AG89-AG88)</f>
        <v/>
      </c>
      <c r="AH223" s="21">
        <f>100*(AH89-AH88)</f>
        <v/>
      </c>
      <c r="AI223" s="21">
        <f>100*(AI89-AI88)</f>
        <v/>
      </c>
      <c r="AJ223" s="21">
        <f>100*(AJ89-AJ88)</f>
        <v/>
      </c>
      <c r="AK223" s="21">
        <f>100*(AK89-AK88)</f>
        <v/>
      </c>
      <c r="AL223" s="21">
        <f>AVERAGE(C223:AK223)</f>
        <v/>
      </c>
    </row>
    <row r="224">
      <c r="A224" s="19">
        <f>A90</f>
        <v/>
      </c>
      <c r="B224" s="20">
        <f>B90</f>
        <v/>
      </c>
      <c r="C224" s="21">
        <f>100*(C90-C89)</f>
        <v/>
      </c>
      <c r="D224" s="21">
        <f>100*(D90-D89)</f>
        <v/>
      </c>
      <c r="E224" s="21">
        <f>100*(E90-E89)</f>
        <v/>
      </c>
      <c r="F224" s="21">
        <f>100*(F90-F89)</f>
        <v/>
      </c>
      <c r="G224" s="21">
        <f>100*(G90-G89)</f>
        <v/>
      </c>
      <c r="H224" s="21">
        <f>100*(H90-H89)</f>
        <v/>
      </c>
      <c r="I224" s="21">
        <f>100*(I90-I89)</f>
        <v/>
      </c>
      <c r="J224" s="21">
        <f>100*(J90-J89)</f>
        <v/>
      </c>
      <c r="K224" s="21">
        <f>100*(K90-K89)</f>
        <v/>
      </c>
      <c r="L224" s="21">
        <f>100*(L90-L89)</f>
        <v/>
      </c>
      <c r="M224" s="21">
        <f>100*(M90-M89)</f>
        <v/>
      </c>
      <c r="N224" s="21">
        <f>100*(N90-N89)</f>
        <v/>
      </c>
      <c r="O224" s="21">
        <f>100*(O90-O89)</f>
        <v/>
      </c>
      <c r="P224" s="21">
        <f>100*(P90-P89)</f>
        <v/>
      </c>
      <c r="Q224" s="21">
        <f>100*(Q90-Q89)</f>
        <v/>
      </c>
      <c r="R224" s="21">
        <f>100*(R90-R89)</f>
        <v/>
      </c>
      <c r="S224" s="21">
        <f>100*(S90-S89)</f>
        <v/>
      </c>
      <c r="T224" s="21">
        <f>100*(T90-T89)</f>
        <v/>
      </c>
      <c r="U224" s="21">
        <f>100*(U90-U89)</f>
        <v/>
      </c>
      <c r="V224" s="21">
        <f>100*(V90-V89)</f>
        <v/>
      </c>
      <c r="W224" s="21">
        <f>100*(W90-W89)</f>
        <v/>
      </c>
      <c r="X224" s="21">
        <f>100*(X90-X89)</f>
        <v/>
      </c>
      <c r="Y224" s="21">
        <f>100*(Y90-Y89)</f>
        <v/>
      </c>
      <c r="Z224" s="21">
        <f>100*(Z90-Z89)</f>
        <v/>
      </c>
      <c r="AA224" s="21">
        <f>100*(AA90-AA89)</f>
        <v/>
      </c>
      <c r="AB224" s="21">
        <f>100*(AB90-AB89)</f>
        <v/>
      </c>
      <c r="AC224" s="21">
        <f>100*(AC90-AC89)</f>
        <v/>
      </c>
      <c r="AD224" s="21">
        <f>100*(AD90-AD89)</f>
        <v/>
      </c>
      <c r="AE224" s="21">
        <f>100*(AE90-AE89)</f>
        <v/>
      </c>
      <c r="AF224" s="21">
        <f>100*(AF90-AF89)</f>
        <v/>
      </c>
      <c r="AG224" s="21">
        <f>100*(AG90-AG89)</f>
        <v/>
      </c>
      <c r="AH224" s="21">
        <f>100*(AH90-AH89)</f>
        <v/>
      </c>
      <c r="AI224" s="21">
        <f>100*(AI90-AI89)</f>
        <v/>
      </c>
      <c r="AJ224" s="21">
        <f>100*(AJ90-AJ89)</f>
        <v/>
      </c>
      <c r="AK224" s="21">
        <f>100*(AK90-AK89)</f>
        <v/>
      </c>
      <c r="AL224" s="21">
        <f>AVERAGE(C224:AK224)</f>
        <v/>
      </c>
    </row>
    <row r="225">
      <c r="A225" s="19">
        <f>A91</f>
        <v/>
      </c>
      <c r="B225" s="20">
        <f>B91</f>
        <v/>
      </c>
      <c r="C225" s="21">
        <f>100*(C91-C90)</f>
        <v/>
      </c>
      <c r="D225" s="21">
        <f>100*(D91-D90)</f>
        <v/>
      </c>
      <c r="E225" s="21">
        <f>100*(E91-E90)</f>
        <v/>
      </c>
      <c r="F225" s="21">
        <f>100*(F91-F90)</f>
        <v/>
      </c>
      <c r="G225" s="21">
        <f>100*(G91-G90)</f>
        <v/>
      </c>
      <c r="H225" s="21">
        <f>100*(H91-H90)</f>
        <v/>
      </c>
      <c r="I225" s="21">
        <f>100*(I91-I90)</f>
        <v/>
      </c>
      <c r="J225" s="21">
        <f>100*(J91-J90)</f>
        <v/>
      </c>
      <c r="K225" s="21">
        <f>100*(K91-K90)</f>
        <v/>
      </c>
      <c r="L225" s="21">
        <f>100*(L91-L90)</f>
        <v/>
      </c>
      <c r="M225" s="21">
        <f>100*(M91-M90)</f>
        <v/>
      </c>
      <c r="N225" s="21">
        <f>100*(N91-N90)</f>
        <v/>
      </c>
      <c r="O225" s="21">
        <f>100*(O91-O90)</f>
        <v/>
      </c>
      <c r="P225" s="21">
        <f>100*(P91-P90)</f>
        <v/>
      </c>
      <c r="Q225" s="21">
        <f>100*(Q91-Q90)</f>
        <v/>
      </c>
      <c r="R225" s="21">
        <f>100*(R91-R90)</f>
        <v/>
      </c>
      <c r="S225" s="21">
        <f>100*(S91-S90)</f>
        <v/>
      </c>
      <c r="T225" s="21">
        <f>100*(T91-T90)</f>
        <v/>
      </c>
      <c r="U225" s="21">
        <f>100*(U91-U90)</f>
        <v/>
      </c>
      <c r="V225" s="21">
        <f>100*(V91-V90)</f>
        <v/>
      </c>
      <c r="W225" s="21">
        <f>100*(W91-W90)</f>
        <v/>
      </c>
      <c r="X225" s="21">
        <f>100*(X91-X90)</f>
        <v/>
      </c>
      <c r="Y225" s="21">
        <f>100*(Y91-Y90)</f>
        <v/>
      </c>
      <c r="Z225" s="21">
        <f>100*(Z91-Z90)</f>
        <v/>
      </c>
      <c r="AA225" s="21">
        <f>100*(AA91-AA90)</f>
        <v/>
      </c>
      <c r="AB225" s="21">
        <f>100*(AB91-AB90)</f>
        <v/>
      </c>
      <c r="AC225" s="21">
        <f>100*(AC91-AC90)</f>
        <v/>
      </c>
      <c r="AD225" s="21">
        <f>100*(AD91-AD90)</f>
        <v/>
      </c>
      <c r="AE225" s="21">
        <f>100*(AE91-AE90)</f>
        <v/>
      </c>
      <c r="AF225" s="21">
        <f>100*(AF91-AF90)</f>
        <v/>
      </c>
      <c r="AG225" s="21">
        <f>100*(AG91-AG90)</f>
        <v/>
      </c>
      <c r="AH225" s="21">
        <f>100*(AH91-AH90)</f>
        <v/>
      </c>
      <c r="AI225" s="21">
        <f>100*(AI91-AI90)</f>
        <v/>
      </c>
      <c r="AJ225" s="21">
        <f>100*(AJ91-AJ90)</f>
        <v/>
      </c>
      <c r="AK225" s="21">
        <f>100*(AK91-AK90)</f>
        <v/>
      </c>
      <c r="AL225" s="21">
        <f>AVERAGE(C225:AK225)</f>
        <v/>
      </c>
    </row>
    <row r="226">
      <c r="A226" s="19">
        <f>A92</f>
        <v/>
      </c>
      <c r="B226" s="20">
        <f>B92</f>
        <v/>
      </c>
      <c r="C226" s="21">
        <f>100*(C92-C91)</f>
        <v/>
      </c>
      <c r="D226" s="21">
        <f>100*(D92-D91)</f>
        <v/>
      </c>
      <c r="E226" s="21">
        <f>100*(E92-E91)</f>
        <v/>
      </c>
      <c r="F226" s="21">
        <f>100*(F92-F91)</f>
        <v/>
      </c>
      <c r="G226" s="21">
        <f>100*(G92-G91)</f>
        <v/>
      </c>
      <c r="H226" s="21">
        <f>100*(H92-H91)</f>
        <v/>
      </c>
      <c r="I226" s="21">
        <f>100*(I92-I91)</f>
        <v/>
      </c>
      <c r="J226" s="21">
        <f>100*(J92-J91)</f>
        <v/>
      </c>
      <c r="K226" s="21">
        <f>100*(K92-K91)</f>
        <v/>
      </c>
      <c r="L226" s="21">
        <f>100*(L92-L91)</f>
        <v/>
      </c>
      <c r="M226" s="21">
        <f>100*(M92-M91)</f>
        <v/>
      </c>
      <c r="N226" s="21">
        <f>100*(N92-N91)</f>
        <v/>
      </c>
      <c r="O226" s="21">
        <f>100*(O92-O91)</f>
        <v/>
      </c>
      <c r="P226" s="21">
        <f>100*(P92-P91)</f>
        <v/>
      </c>
      <c r="Q226" s="21">
        <f>100*(Q92-Q91)</f>
        <v/>
      </c>
      <c r="R226" s="21">
        <f>100*(R92-R91)</f>
        <v/>
      </c>
      <c r="S226" s="21">
        <f>100*(S92-S91)</f>
        <v/>
      </c>
      <c r="T226" s="21">
        <f>100*(T92-T91)</f>
        <v/>
      </c>
      <c r="U226" s="21">
        <f>100*(U92-U91)</f>
        <v/>
      </c>
      <c r="V226" s="21">
        <f>100*(V92-V91)</f>
        <v/>
      </c>
      <c r="W226" s="21">
        <f>100*(W92-W91)</f>
        <v/>
      </c>
      <c r="X226" s="21">
        <f>100*(X92-X91)</f>
        <v/>
      </c>
      <c r="Y226" s="21">
        <f>100*(Y92-Y91)</f>
        <v/>
      </c>
      <c r="Z226" s="21">
        <f>100*(Z92-Z91)</f>
        <v/>
      </c>
      <c r="AA226" s="21">
        <f>100*(AA92-AA91)</f>
        <v/>
      </c>
      <c r="AB226" s="21">
        <f>100*(AB92-AB91)</f>
        <v/>
      </c>
      <c r="AC226" s="21">
        <f>100*(AC92-AC91)</f>
        <v/>
      </c>
      <c r="AD226" s="21">
        <f>100*(AD92-AD91)</f>
        <v/>
      </c>
      <c r="AE226" s="21">
        <f>100*(AE92-AE91)</f>
        <v/>
      </c>
      <c r="AF226" s="21">
        <f>100*(AF92-AF91)</f>
        <v/>
      </c>
      <c r="AG226" s="21">
        <f>100*(AG92-AG91)</f>
        <v/>
      </c>
      <c r="AH226" s="21">
        <f>100*(AH92-AH91)</f>
        <v/>
      </c>
      <c r="AI226" s="21">
        <f>100*(AI92-AI91)</f>
        <v/>
      </c>
      <c r="AJ226" s="21">
        <f>100*(AJ92-AJ91)</f>
        <v/>
      </c>
      <c r="AK226" s="21">
        <f>100*(AK92-AK91)</f>
        <v/>
      </c>
      <c r="AL226" s="21">
        <f>AVERAGE(C226:AK226)</f>
        <v/>
      </c>
    </row>
    <row r="227">
      <c r="A227" s="19">
        <f>A93</f>
        <v/>
      </c>
      <c r="B227" s="20">
        <f>B93</f>
        <v/>
      </c>
      <c r="C227" s="21">
        <f>100*(C93-C92)</f>
        <v/>
      </c>
      <c r="D227" s="21">
        <f>100*(D93-D92)</f>
        <v/>
      </c>
      <c r="E227" s="21">
        <f>100*(E93-E92)</f>
        <v/>
      </c>
      <c r="F227" s="21">
        <f>100*(F93-F92)</f>
        <v/>
      </c>
      <c r="G227" s="21">
        <f>100*(G93-G92)</f>
        <v/>
      </c>
      <c r="H227" s="21">
        <f>100*(H93-H92)</f>
        <v/>
      </c>
      <c r="I227" s="21">
        <f>100*(I93-I92)</f>
        <v/>
      </c>
      <c r="J227" s="21">
        <f>100*(J93-J92)</f>
        <v/>
      </c>
      <c r="K227" s="21">
        <f>100*(K93-K92)</f>
        <v/>
      </c>
      <c r="L227" s="21">
        <f>100*(L93-L92)</f>
        <v/>
      </c>
      <c r="M227" s="21">
        <f>100*(M93-M92)</f>
        <v/>
      </c>
      <c r="N227" s="21">
        <f>100*(N93-N92)</f>
        <v/>
      </c>
      <c r="O227" s="21">
        <f>100*(O93-O92)</f>
        <v/>
      </c>
      <c r="P227" s="21">
        <f>100*(P93-P92)</f>
        <v/>
      </c>
      <c r="Q227" s="21">
        <f>100*(Q93-Q92)</f>
        <v/>
      </c>
      <c r="R227" s="21">
        <f>100*(R93-R92)</f>
        <v/>
      </c>
      <c r="S227" s="21">
        <f>100*(S93-S92)</f>
        <v/>
      </c>
      <c r="T227" s="21">
        <f>100*(T93-T92)</f>
        <v/>
      </c>
      <c r="U227" s="21">
        <f>100*(U93-U92)</f>
        <v/>
      </c>
      <c r="V227" s="21">
        <f>100*(V93-V92)</f>
        <v/>
      </c>
      <c r="W227" s="21">
        <f>100*(W93-W92)</f>
        <v/>
      </c>
      <c r="X227" s="21">
        <f>100*(X93-X92)</f>
        <v/>
      </c>
      <c r="Y227" s="21">
        <f>100*(Y93-Y92)</f>
        <v/>
      </c>
      <c r="Z227" s="21">
        <f>100*(Z93-Z92)</f>
        <v/>
      </c>
      <c r="AA227" s="21">
        <f>100*(AA93-AA92)</f>
        <v/>
      </c>
      <c r="AB227" s="21">
        <f>100*(AB93-AB92)</f>
        <v/>
      </c>
      <c r="AC227" s="21">
        <f>100*(AC93-AC92)</f>
        <v/>
      </c>
      <c r="AD227" s="21">
        <f>100*(AD93-AD92)</f>
        <v/>
      </c>
      <c r="AE227" s="21">
        <f>100*(AE93-AE92)</f>
        <v/>
      </c>
      <c r="AF227" s="21">
        <f>100*(AF93-AF92)</f>
        <v/>
      </c>
      <c r="AG227" s="21">
        <f>100*(AG93-AG92)</f>
        <v/>
      </c>
      <c r="AH227" s="21">
        <f>100*(AH93-AH92)</f>
        <v/>
      </c>
      <c r="AI227" s="21">
        <f>100*(AI93-AI92)</f>
        <v/>
      </c>
      <c r="AJ227" s="21">
        <f>100*(AJ93-AJ92)</f>
        <v/>
      </c>
      <c r="AK227" s="21">
        <f>100*(AK93-AK92)</f>
        <v/>
      </c>
      <c r="AL227" s="21">
        <f>AVERAGE(C227:AK227)</f>
        <v/>
      </c>
    </row>
    <row r="228">
      <c r="A228" s="19">
        <f>A94</f>
        <v/>
      </c>
      <c r="B228" s="20">
        <f>B94</f>
        <v/>
      </c>
      <c r="C228" s="21">
        <f>100*(C94-C93)</f>
        <v/>
      </c>
      <c r="D228" s="21">
        <f>100*(D94-D93)</f>
        <v/>
      </c>
      <c r="E228" s="21">
        <f>100*(E94-E93)</f>
        <v/>
      </c>
      <c r="F228" s="21">
        <f>100*(F94-F93)</f>
        <v/>
      </c>
      <c r="G228" s="21">
        <f>100*(G94-G93)</f>
        <v/>
      </c>
      <c r="H228" s="21">
        <f>100*(H94-H93)</f>
        <v/>
      </c>
      <c r="I228" s="21">
        <f>100*(I94-I93)</f>
        <v/>
      </c>
      <c r="J228" s="21">
        <f>100*(J94-J93)</f>
        <v/>
      </c>
      <c r="K228" s="21">
        <f>100*(K94-K93)</f>
        <v/>
      </c>
      <c r="L228" s="21">
        <f>100*(L94-L93)</f>
        <v/>
      </c>
      <c r="M228" s="21">
        <f>100*(M94-M93)</f>
        <v/>
      </c>
      <c r="N228" s="21">
        <f>100*(N94-N93)</f>
        <v/>
      </c>
      <c r="O228" s="21">
        <f>100*(O94-O93)</f>
        <v/>
      </c>
      <c r="P228" s="21">
        <f>100*(P94-P93)</f>
        <v/>
      </c>
      <c r="Q228" s="21">
        <f>100*(Q94-Q93)</f>
        <v/>
      </c>
      <c r="R228" s="21">
        <f>100*(R94-R93)</f>
        <v/>
      </c>
      <c r="S228" s="21">
        <f>100*(S94-S93)</f>
        <v/>
      </c>
      <c r="T228" s="21">
        <f>100*(T94-T93)</f>
        <v/>
      </c>
      <c r="U228" s="21">
        <f>100*(U94-U93)</f>
        <v/>
      </c>
      <c r="V228" s="21">
        <f>100*(V94-V93)</f>
        <v/>
      </c>
      <c r="W228" s="21">
        <f>100*(W94-W93)</f>
        <v/>
      </c>
      <c r="X228" s="21">
        <f>100*(X94-X93)</f>
        <v/>
      </c>
      <c r="Y228" s="21">
        <f>100*(Y94-Y93)</f>
        <v/>
      </c>
      <c r="Z228" s="21">
        <f>100*(Z94-Z93)</f>
        <v/>
      </c>
      <c r="AA228" s="21">
        <f>100*(AA94-AA93)</f>
        <v/>
      </c>
      <c r="AB228" s="21">
        <f>100*(AB94-AB93)</f>
        <v/>
      </c>
      <c r="AC228" s="21">
        <f>100*(AC94-AC93)</f>
        <v/>
      </c>
      <c r="AD228" s="21">
        <f>100*(AD94-AD93)</f>
        <v/>
      </c>
      <c r="AE228" s="21">
        <f>100*(AE94-AE93)</f>
        <v/>
      </c>
      <c r="AF228" s="21">
        <f>100*(AF94-AF93)</f>
        <v/>
      </c>
      <c r="AG228" s="21">
        <f>100*(AG94-AG93)</f>
        <v/>
      </c>
      <c r="AH228" s="21">
        <f>100*(AH94-AH93)</f>
        <v/>
      </c>
      <c r="AI228" s="21">
        <f>100*(AI94-AI93)</f>
        <v/>
      </c>
      <c r="AJ228" s="21">
        <f>100*(AJ94-AJ93)</f>
        <v/>
      </c>
      <c r="AK228" s="21">
        <f>100*(AK94-AK93)</f>
        <v/>
      </c>
      <c r="AL228" s="21">
        <f>AVERAGE(C228:AK228)</f>
        <v/>
      </c>
    </row>
    <row r="229">
      <c r="A229" s="19">
        <f>A95</f>
        <v/>
      </c>
      <c r="B229" s="20">
        <f>B95</f>
        <v/>
      </c>
      <c r="C229" s="21">
        <f>100*(C95-C94)</f>
        <v/>
      </c>
      <c r="D229" s="21">
        <f>100*(D95-D94)</f>
        <v/>
      </c>
      <c r="E229" s="21">
        <f>100*(E95-E94)</f>
        <v/>
      </c>
      <c r="F229" s="21">
        <f>100*(F95-F94)</f>
        <v/>
      </c>
      <c r="G229" s="21">
        <f>100*(G95-G94)</f>
        <v/>
      </c>
      <c r="H229" s="21">
        <f>100*(H95-H94)</f>
        <v/>
      </c>
      <c r="I229" s="21">
        <f>100*(I95-I94)</f>
        <v/>
      </c>
      <c r="J229" s="21">
        <f>100*(J95-J94)</f>
        <v/>
      </c>
      <c r="K229" s="21">
        <f>100*(K95-K94)</f>
        <v/>
      </c>
      <c r="L229" s="21">
        <f>100*(L95-L94)</f>
        <v/>
      </c>
      <c r="M229" s="21">
        <f>100*(M95-M94)</f>
        <v/>
      </c>
      <c r="N229" s="21">
        <f>100*(N95-N94)</f>
        <v/>
      </c>
      <c r="O229" s="21">
        <f>100*(O95-O94)</f>
        <v/>
      </c>
      <c r="P229" s="21">
        <f>100*(P95-P94)</f>
        <v/>
      </c>
      <c r="Q229" s="21">
        <f>100*(Q95-Q94)</f>
        <v/>
      </c>
      <c r="R229" s="21">
        <f>100*(R95-R94)</f>
        <v/>
      </c>
      <c r="S229" s="21">
        <f>100*(S95-S94)</f>
        <v/>
      </c>
      <c r="T229" s="21">
        <f>100*(T95-T94)</f>
        <v/>
      </c>
      <c r="U229" s="21">
        <f>100*(U95-U94)</f>
        <v/>
      </c>
      <c r="V229" s="21">
        <f>100*(V95-V94)</f>
        <v/>
      </c>
      <c r="W229" s="21">
        <f>100*(W95-W94)</f>
        <v/>
      </c>
      <c r="X229" s="21">
        <f>100*(X95-X94)</f>
        <v/>
      </c>
      <c r="Y229" s="21">
        <f>100*(Y95-Y94)</f>
        <v/>
      </c>
      <c r="Z229" s="21">
        <f>100*(Z95-Z94)</f>
        <v/>
      </c>
      <c r="AA229" s="21">
        <f>100*(AA95-AA94)</f>
        <v/>
      </c>
      <c r="AB229" s="21">
        <f>100*(AB95-AB94)</f>
        <v/>
      </c>
      <c r="AC229" s="21">
        <f>100*(AC95-AC94)</f>
        <v/>
      </c>
      <c r="AD229" s="21">
        <f>100*(AD95-AD94)</f>
        <v/>
      </c>
      <c r="AE229" s="21">
        <f>100*(AE95-AE94)</f>
        <v/>
      </c>
      <c r="AF229" s="21">
        <f>100*(AF95-AF94)</f>
        <v/>
      </c>
      <c r="AG229" s="21">
        <f>100*(AG95-AG94)</f>
        <v/>
      </c>
      <c r="AH229" s="21">
        <f>100*(AH95-AH94)</f>
        <v/>
      </c>
      <c r="AI229" s="21">
        <f>100*(AI95-AI94)</f>
        <v/>
      </c>
      <c r="AJ229" s="21">
        <f>100*(AJ95-AJ94)</f>
        <v/>
      </c>
      <c r="AK229" s="21">
        <f>100*(AK95-AK94)</f>
        <v/>
      </c>
      <c r="AL229" s="21">
        <f>AVERAGE(C229:AK229)</f>
        <v/>
      </c>
    </row>
    <row r="230">
      <c r="A230" s="19">
        <f>A96</f>
        <v/>
      </c>
      <c r="B230" s="20">
        <f>B96</f>
        <v/>
      </c>
      <c r="C230" s="21">
        <f>100*(C96-C95)</f>
        <v/>
      </c>
      <c r="D230" s="21">
        <f>100*(D96-D95)</f>
        <v/>
      </c>
      <c r="E230" s="21">
        <f>100*(E96-E95)</f>
        <v/>
      </c>
      <c r="F230" s="21">
        <f>100*(F96-F95)</f>
        <v/>
      </c>
      <c r="G230" s="21">
        <f>100*(G96-G95)</f>
        <v/>
      </c>
      <c r="H230" s="21">
        <f>100*(H96-H95)</f>
        <v/>
      </c>
      <c r="I230" s="21">
        <f>100*(I96-I95)</f>
        <v/>
      </c>
      <c r="J230" s="21">
        <f>100*(J96-J95)</f>
        <v/>
      </c>
      <c r="K230" s="21">
        <f>100*(K96-K95)</f>
        <v/>
      </c>
      <c r="L230" s="21">
        <f>100*(L96-L95)</f>
        <v/>
      </c>
      <c r="M230" s="21">
        <f>100*(M96-M95)</f>
        <v/>
      </c>
      <c r="N230" s="21">
        <f>100*(N96-N95)</f>
        <v/>
      </c>
      <c r="O230" s="21">
        <f>100*(O96-O95)</f>
        <v/>
      </c>
      <c r="P230" s="21">
        <f>100*(P96-P95)</f>
        <v/>
      </c>
      <c r="Q230" s="21">
        <f>100*(Q96-Q95)</f>
        <v/>
      </c>
      <c r="R230" s="21">
        <f>100*(R96-R95)</f>
        <v/>
      </c>
      <c r="S230" s="21">
        <f>100*(S96-S95)</f>
        <v/>
      </c>
      <c r="T230" s="21">
        <f>100*(T96-T95)</f>
        <v/>
      </c>
      <c r="U230" s="21">
        <f>100*(U96-U95)</f>
        <v/>
      </c>
      <c r="V230" s="21">
        <f>100*(V96-V95)</f>
        <v/>
      </c>
      <c r="W230" s="21">
        <f>100*(W96-W95)</f>
        <v/>
      </c>
      <c r="X230" s="21">
        <f>100*(X96-X95)</f>
        <v/>
      </c>
      <c r="Y230" s="21">
        <f>100*(Y96-Y95)</f>
        <v/>
      </c>
      <c r="Z230" s="21">
        <f>100*(Z96-Z95)</f>
        <v/>
      </c>
      <c r="AA230" s="21">
        <f>100*(AA96-AA95)</f>
        <v/>
      </c>
      <c r="AB230" s="21">
        <f>100*(AB96-AB95)</f>
        <v/>
      </c>
      <c r="AC230" s="21">
        <f>100*(AC96-AC95)</f>
        <v/>
      </c>
      <c r="AD230" s="21">
        <f>100*(AD96-AD95)</f>
        <v/>
      </c>
      <c r="AE230" s="21">
        <f>100*(AE96-AE95)</f>
        <v/>
      </c>
      <c r="AF230" s="21">
        <f>100*(AF96-AF95)</f>
        <v/>
      </c>
      <c r="AG230" s="21">
        <f>100*(AG96-AG95)</f>
        <v/>
      </c>
      <c r="AH230" s="21">
        <f>100*(AH96-AH95)</f>
        <v/>
      </c>
      <c r="AI230" s="21">
        <f>100*(AI96-AI95)</f>
        <v/>
      </c>
      <c r="AJ230" s="21">
        <f>100*(AJ96-AJ95)</f>
        <v/>
      </c>
      <c r="AK230" s="21">
        <f>100*(AK96-AK95)</f>
        <v/>
      </c>
      <c r="AL230" s="21">
        <f>AVERAGE(C230:AK230)</f>
        <v/>
      </c>
    </row>
    <row r="231">
      <c r="A231" s="19">
        <f>A97</f>
        <v/>
      </c>
      <c r="B231" s="20">
        <f>B97</f>
        <v/>
      </c>
      <c r="C231" s="21">
        <f>100*(C97-C96)</f>
        <v/>
      </c>
      <c r="D231" s="21">
        <f>100*(D97-D96)</f>
        <v/>
      </c>
      <c r="E231" s="21">
        <f>100*(E97-E96)</f>
        <v/>
      </c>
      <c r="F231" s="21">
        <f>100*(F97-F96)</f>
        <v/>
      </c>
      <c r="G231" s="21">
        <f>100*(G97-G96)</f>
        <v/>
      </c>
      <c r="H231" s="21">
        <f>100*(H97-H96)</f>
        <v/>
      </c>
      <c r="I231" s="21">
        <f>100*(I97-I96)</f>
        <v/>
      </c>
      <c r="J231" s="21">
        <f>100*(J97-J96)</f>
        <v/>
      </c>
      <c r="K231" s="21">
        <f>100*(K97-K96)</f>
        <v/>
      </c>
      <c r="L231" s="21">
        <f>100*(L97-L96)</f>
        <v/>
      </c>
      <c r="M231" s="21">
        <f>100*(M97-M96)</f>
        <v/>
      </c>
      <c r="N231" s="21">
        <f>100*(N97-N96)</f>
        <v/>
      </c>
      <c r="O231" s="21">
        <f>100*(O97-O96)</f>
        <v/>
      </c>
      <c r="P231" s="21">
        <f>100*(P97-P96)</f>
        <v/>
      </c>
      <c r="Q231" s="21">
        <f>100*(Q97-Q96)</f>
        <v/>
      </c>
      <c r="R231" s="21">
        <f>100*(R97-R96)</f>
        <v/>
      </c>
      <c r="S231" s="21">
        <f>100*(S97-S96)</f>
        <v/>
      </c>
      <c r="T231" s="21">
        <f>100*(T97-T96)</f>
        <v/>
      </c>
      <c r="U231" s="21">
        <f>100*(U97-U96)</f>
        <v/>
      </c>
      <c r="V231" s="21">
        <f>100*(V97-V96)</f>
        <v/>
      </c>
      <c r="W231" s="21">
        <f>100*(W97-W96)</f>
        <v/>
      </c>
      <c r="X231" s="21">
        <f>100*(X97-X96)</f>
        <v/>
      </c>
      <c r="Y231" s="21">
        <f>100*(Y97-Y96)</f>
        <v/>
      </c>
      <c r="Z231" s="21">
        <f>100*(Z97-Z96)</f>
        <v/>
      </c>
      <c r="AA231" s="21">
        <f>100*(AA97-AA96)</f>
        <v/>
      </c>
      <c r="AB231" s="21">
        <f>100*(AB97-AB96)</f>
        <v/>
      </c>
      <c r="AC231" s="21">
        <f>100*(AC97-AC96)</f>
        <v/>
      </c>
      <c r="AD231" s="21">
        <f>100*(AD97-AD96)</f>
        <v/>
      </c>
      <c r="AE231" s="21">
        <f>100*(AE97-AE96)</f>
        <v/>
      </c>
      <c r="AF231" s="21">
        <f>100*(AF97-AF96)</f>
        <v/>
      </c>
      <c r="AG231" s="21">
        <f>100*(AG97-AG96)</f>
        <v/>
      </c>
      <c r="AH231" s="21">
        <f>100*(AH97-AH96)</f>
        <v/>
      </c>
      <c r="AI231" s="21">
        <f>100*(AI97-AI96)</f>
        <v/>
      </c>
      <c r="AJ231" s="21">
        <f>100*(AJ97-AJ96)</f>
        <v/>
      </c>
      <c r="AK231" s="21">
        <f>100*(AK97-AK96)</f>
        <v/>
      </c>
      <c r="AL231" s="21">
        <f>AVERAGE(C231:AK231)</f>
        <v/>
      </c>
    </row>
    <row r="232">
      <c r="A232" s="19">
        <f>A98</f>
        <v/>
      </c>
      <c r="B232" s="20">
        <f>B98</f>
        <v/>
      </c>
      <c r="C232" s="21">
        <f>100*(C98-C97)</f>
        <v/>
      </c>
      <c r="D232" s="21">
        <f>100*(D98-D97)</f>
        <v/>
      </c>
      <c r="E232" s="21">
        <f>100*(E98-E97)</f>
        <v/>
      </c>
      <c r="F232" s="21">
        <f>100*(F98-F97)</f>
        <v/>
      </c>
      <c r="G232" s="21">
        <f>100*(G98-G97)</f>
        <v/>
      </c>
      <c r="H232" s="21">
        <f>100*(H98-H97)</f>
        <v/>
      </c>
      <c r="I232" s="21">
        <f>100*(I98-I97)</f>
        <v/>
      </c>
      <c r="J232" s="21">
        <f>100*(J98-J97)</f>
        <v/>
      </c>
      <c r="K232" s="21">
        <f>100*(K98-K97)</f>
        <v/>
      </c>
      <c r="L232" s="21">
        <f>100*(L98-L97)</f>
        <v/>
      </c>
      <c r="M232" s="21">
        <f>100*(M98-M97)</f>
        <v/>
      </c>
      <c r="N232" s="21">
        <f>100*(N98-N97)</f>
        <v/>
      </c>
      <c r="O232" s="21">
        <f>100*(O98-O97)</f>
        <v/>
      </c>
      <c r="P232" s="21">
        <f>100*(P98-P97)</f>
        <v/>
      </c>
      <c r="Q232" s="21">
        <f>100*(Q98-Q97)</f>
        <v/>
      </c>
      <c r="R232" s="21">
        <f>100*(R98-R97)</f>
        <v/>
      </c>
      <c r="S232" s="21">
        <f>100*(S98-S97)</f>
        <v/>
      </c>
      <c r="T232" s="21">
        <f>100*(T98-T97)</f>
        <v/>
      </c>
      <c r="U232" s="21">
        <f>100*(U98-U97)</f>
        <v/>
      </c>
      <c r="V232" s="21">
        <f>100*(V98-V97)</f>
        <v/>
      </c>
      <c r="W232" s="21">
        <f>100*(W98-W97)</f>
        <v/>
      </c>
      <c r="X232" s="21">
        <f>100*(X98-X97)</f>
        <v/>
      </c>
      <c r="Y232" s="21">
        <f>100*(Y98-Y97)</f>
        <v/>
      </c>
      <c r="Z232" s="21">
        <f>100*(Z98-Z97)</f>
        <v/>
      </c>
      <c r="AA232" s="21">
        <f>100*(AA98-AA97)</f>
        <v/>
      </c>
      <c r="AB232" s="21">
        <f>100*(AB98-AB97)</f>
        <v/>
      </c>
      <c r="AC232" s="21">
        <f>100*(AC98-AC97)</f>
        <v/>
      </c>
      <c r="AD232" s="21">
        <f>100*(AD98-AD97)</f>
        <v/>
      </c>
      <c r="AE232" s="21">
        <f>100*(AE98-AE97)</f>
        <v/>
      </c>
      <c r="AF232" s="21">
        <f>100*(AF98-AF97)</f>
        <v/>
      </c>
      <c r="AG232" s="21">
        <f>100*(AG98-AG97)</f>
        <v/>
      </c>
      <c r="AH232" s="21">
        <f>100*(AH98-AH97)</f>
        <v/>
      </c>
      <c r="AI232" s="21">
        <f>100*(AI98-AI97)</f>
        <v/>
      </c>
      <c r="AJ232" s="21">
        <f>100*(AJ98-AJ97)</f>
        <v/>
      </c>
      <c r="AK232" s="21">
        <f>100*(AK98-AK97)</f>
        <v/>
      </c>
      <c r="AL232" s="21">
        <f>AVERAGE(C232:AK232)</f>
        <v/>
      </c>
    </row>
    <row r="233">
      <c r="A233" s="19">
        <f>A99</f>
        <v/>
      </c>
      <c r="B233" s="20">
        <f>B99</f>
        <v/>
      </c>
      <c r="C233" s="21">
        <f>100*(C99-C98)</f>
        <v/>
      </c>
      <c r="D233" s="21">
        <f>100*(D99-D98)</f>
        <v/>
      </c>
      <c r="E233" s="21">
        <f>100*(E99-E98)</f>
        <v/>
      </c>
      <c r="F233" s="21">
        <f>100*(F99-F98)</f>
        <v/>
      </c>
      <c r="G233" s="21">
        <f>100*(G99-G98)</f>
        <v/>
      </c>
      <c r="H233" s="21">
        <f>100*(H99-H98)</f>
        <v/>
      </c>
      <c r="I233" s="21">
        <f>100*(I99-I98)</f>
        <v/>
      </c>
      <c r="J233" s="21">
        <f>100*(J99-J98)</f>
        <v/>
      </c>
      <c r="K233" s="21">
        <f>100*(K99-K98)</f>
        <v/>
      </c>
      <c r="L233" s="21">
        <f>100*(L99-L98)</f>
        <v/>
      </c>
      <c r="M233" s="21">
        <f>100*(M99-M98)</f>
        <v/>
      </c>
      <c r="N233" s="21">
        <f>100*(N99-N98)</f>
        <v/>
      </c>
      <c r="O233" s="21">
        <f>100*(O99-O98)</f>
        <v/>
      </c>
      <c r="P233" s="21">
        <f>100*(P99-P98)</f>
        <v/>
      </c>
      <c r="Q233" s="21">
        <f>100*(Q99-Q98)</f>
        <v/>
      </c>
      <c r="R233" s="21">
        <f>100*(R99-R98)</f>
        <v/>
      </c>
      <c r="S233" s="21">
        <f>100*(S99-S98)</f>
        <v/>
      </c>
      <c r="T233" s="21">
        <f>100*(T99-T98)</f>
        <v/>
      </c>
      <c r="U233" s="21">
        <f>100*(U99-U98)</f>
        <v/>
      </c>
      <c r="V233" s="21">
        <f>100*(V99-V98)</f>
        <v/>
      </c>
      <c r="W233" s="21">
        <f>100*(W99-W98)</f>
        <v/>
      </c>
      <c r="X233" s="21">
        <f>100*(X99-X98)</f>
        <v/>
      </c>
      <c r="Y233" s="21">
        <f>100*(Y99-Y98)</f>
        <v/>
      </c>
      <c r="Z233" s="21">
        <f>100*(Z99-Z98)</f>
        <v/>
      </c>
      <c r="AA233" s="21">
        <f>100*(AA99-AA98)</f>
        <v/>
      </c>
      <c r="AB233" s="21">
        <f>100*(AB99-AB98)</f>
        <v/>
      </c>
      <c r="AC233" s="21">
        <f>100*(AC99-AC98)</f>
        <v/>
      </c>
      <c r="AD233" s="21">
        <f>100*(AD99-AD98)</f>
        <v/>
      </c>
      <c r="AE233" s="21">
        <f>100*(AE99-AE98)</f>
        <v/>
      </c>
      <c r="AF233" s="21">
        <f>100*(AF99-AF98)</f>
        <v/>
      </c>
      <c r="AG233" s="21">
        <f>100*(AG99-AG98)</f>
        <v/>
      </c>
      <c r="AH233" s="21">
        <f>100*(AH99-AH98)</f>
        <v/>
      </c>
      <c r="AI233" s="21">
        <f>100*(AI99-AI98)</f>
        <v/>
      </c>
      <c r="AJ233" s="21">
        <f>100*(AJ99-AJ98)</f>
        <v/>
      </c>
      <c r="AK233" s="21">
        <f>100*(AK99-AK98)</f>
        <v/>
      </c>
      <c r="AL233" s="21">
        <f>AVERAGE(C233:AK233)</f>
        <v/>
      </c>
    </row>
    <row r="234">
      <c r="A234" s="19">
        <f>A100</f>
        <v/>
      </c>
      <c r="B234" s="20">
        <f>B100</f>
        <v/>
      </c>
      <c r="C234" s="21">
        <f>100*(C100-C99)</f>
        <v/>
      </c>
      <c r="D234" s="21">
        <f>100*(D100-D99)</f>
        <v/>
      </c>
      <c r="E234" s="21">
        <f>100*(E100-E99)</f>
        <v/>
      </c>
      <c r="F234" s="21">
        <f>100*(F100-F99)</f>
        <v/>
      </c>
      <c r="G234" s="21">
        <f>100*(G100-G99)</f>
        <v/>
      </c>
      <c r="H234" s="21">
        <f>100*(H100-H99)</f>
        <v/>
      </c>
      <c r="I234" s="21">
        <f>100*(I100-I99)</f>
        <v/>
      </c>
      <c r="J234" s="21">
        <f>100*(J100-J99)</f>
        <v/>
      </c>
      <c r="K234" s="21">
        <f>100*(K100-K99)</f>
        <v/>
      </c>
      <c r="L234" s="21">
        <f>100*(L100-L99)</f>
        <v/>
      </c>
      <c r="M234" s="21">
        <f>100*(M100-M99)</f>
        <v/>
      </c>
      <c r="N234" s="21">
        <f>100*(N100-N99)</f>
        <v/>
      </c>
      <c r="O234" s="21">
        <f>100*(O100-O99)</f>
        <v/>
      </c>
      <c r="P234" s="21">
        <f>100*(P100-P99)</f>
        <v/>
      </c>
      <c r="Q234" s="21">
        <f>100*(Q100-Q99)</f>
        <v/>
      </c>
      <c r="R234" s="21">
        <f>100*(R100-R99)</f>
        <v/>
      </c>
      <c r="S234" s="21">
        <f>100*(S100-S99)</f>
        <v/>
      </c>
      <c r="T234" s="21">
        <f>100*(T100-T99)</f>
        <v/>
      </c>
      <c r="U234" s="21">
        <f>100*(U100-U99)</f>
        <v/>
      </c>
      <c r="V234" s="21">
        <f>100*(V100-V99)</f>
        <v/>
      </c>
      <c r="W234" s="21">
        <f>100*(W100-W99)</f>
        <v/>
      </c>
      <c r="X234" s="21">
        <f>100*(X100-X99)</f>
        <v/>
      </c>
      <c r="Y234" s="21">
        <f>100*(Y100-Y99)</f>
        <v/>
      </c>
      <c r="Z234" s="21">
        <f>100*(Z100-Z99)</f>
        <v/>
      </c>
      <c r="AA234" s="21">
        <f>100*(AA100-AA99)</f>
        <v/>
      </c>
      <c r="AB234" s="21">
        <f>100*(AB100-AB99)</f>
        <v/>
      </c>
      <c r="AC234" s="21">
        <f>100*(AC100-AC99)</f>
        <v/>
      </c>
      <c r="AD234" s="21">
        <f>100*(AD100-AD99)</f>
        <v/>
      </c>
      <c r="AE234" s="21">
        <f>100*(AE100-AE99)</f>
        <v/>
      </c>
      <c r="AF234" s="21">
        <f>100*(AF100-AF99)</f>
        <v/>
      </c>
      <c r="AG234" s="21">
        <f>100*(AG100-AG99)</f>
        <v/>
      </c>
      <c r="AH234" s="21">
        <f>100*(AH100-AH99)</f>
        <v/>
      </c>
      <c r="AI234" s="21">
        <f>100*(AI100-AI99)</f>
        <v/>
      </c>
      <c r="AJ234" s="21">
        <f>100*(AJ100-AJ99)</f>
        <v/>
      </c>
      <c r="AK234" s="21">
        <f>100*(AK100-AK99)</f>
        <v/>
      </c>
      <c r="AL234" s="21">
        <f>AVERAGE(C234:AK234)</f>
        <v/>
      </c>
    </row>
    <row r="235">
      <c r="A235" s="19">
        <f>A101</f>
        <v/>
      </c>
      <c r="B235" s="20">
        <f>B101</f>
        <v/>
      </c>
      <c r="C235" s="21">
        <f>100*(C101-C100)</f>
        <v/>
      </c>
      <c r="D235" s="21">
        <f>100*(D101-D100)</f>
        <v/>
      </c>
      <c r="E235" s="21">
        <f>100*(E101-E100)</f>
        <v/>
      </c>
      <c r="F235" s="21">
        <f>100*(F101-F100)</f>
        <v/>
      </c>
      <c r="G235" s="21">
        <f>100*(G101-G100)</f>
        <v/>
      </c>
      <c r="H235" s="21">
        <f>100*(H101-H100)</f>
        <v/>
      </c>
      <c r="I235" s="21">
        <f>100*(I101-I100)</f>
        <v/>
      </c>
      <c r="J235" s="21">
        <f>100*(J101-J100)</f>
        <v/>
      </c>
      <c r="K235" s="21">
        <f>100*(K101-K100)</f>
        <v/>
      </c>
      <c r="L235" s="21">
        <f>100*(L101-L100)</f>
        <v/>
      </c>
      <c r="M235" s="21">
        <f>100*(M101-M100)</f>
        <v/>
      </c>
      <c r="N235" s="21">
        <f>100*(N101-N100)</f>
        <v/>
      </c>
      <c r="O235" s="21">
        <f>100*(O101-O100)</f>
        <v/>
      </c>
      <c r="P235" s="21">
        <f>100*(P101-P100)</f>
        <v/>
      </c>
      <c r="Q235" s="21">
        <f>100*(Q101-Q100)</f>
        <v/>
      </c>
      <c r="R235" s="21">
        <f>100*(R101-R100)</f>
        <v/>
      </c>
      <c r="S235" s="21">
        <f>100*(S101-S100)</f>
        <v/>
      </c>
      <c r="T235" s="21">
        <f>100*(T101-T100)</f>
        <v/>
      </c>
      <c r="U235" s="21">
        <f>100*(U101-U100)</f>
        <v/>
      </c>
      <c r="V235" s="21">
        <f>100*(V101-V100)</f>
        <v/>
      </c>
      <c r="W235" s="21">
        <f>100*(W101-W100)</f>
        <v/>
      </c>
      <c r="X235" s="21">
        <f>100*(X101-X100)</f>
        <v/>
      </c>
      <c r="Y235" s="21">
        <f>100*(Y101-Y100)</f>
        <v/>
      </c>
      <c r="Z235" s="21">
        <f>100*(Z101-Z100)</f>
        <v/>
      </c>
      <c r="AA235" s="21">
        <f>100*(AA101-AA100)</f>
        <v/>
      </c>
      <c r="AB235" s="21">
        <f>100*(AB101-AB100)</f>
        <v/>
      </c>
      <c r="AC235" s="21">
        <f>100*(AC101-AC100)</f>
        <v/>
      </c>
      <c r="AD235" s="21">
        <f>100*(AD101-AD100)</f>
        <v/>
      </c>
      <c r="AE235" s="21">
        <f>100*(AE101-AE100)</f>
        <v/>
      </c>
      <c r="AF235" s="21">
        <f>100*(AF101-AF100)</f>
        <v/>
      </c>
      <c r="AG235" s="21">
        <f>100*(AG101-AG100)</f>
        <v/>
      </c>
      <c r="AH235" s="21">
        <f>100*(AH101-AH100)</f>
        <v/>
      </c>
      <c r="AI235" s="21">
        <f>100*(AI101-AI100)</f>
        <v/>
      </c>
      <c r="AJ235" s="21">
        <f>100*(AJ101-AJ100)</f>
        <v/>
      </c>
      <c r="AK235" s="21">
        <f>100*(AK101-AK100)</f>
        <v/>
      </c>
      <c r="AL235" s="21">
        <f>AVERAGE(C235:AK235)</f>
        <v/>
      </c>
    </row>
    <row r="236">
      <c r="A236" s="19">
        <f>A102</f>
        <v/>
      </c>
      <c r="B236" s="20">
        <f>B102</f>
        <v/>
      </c>
      <c r="C236" s="21">
        <f>100*(C102-C101)</f>
        <v/>
      </c>
      <c r="D236" s="21">
        <f>100*(D102-D101)</f>
        <v/>
      </c>
      <c r="E236" s="21">
        <f>100*(E102-E101)</f>
        <v/>
      </c>
      <c r="F236" s="21">
        <f>100*(F102-F101)</f>
        <v/>
      </c>
      <c r="G236" s="21">
        <f>100*(G102-G101)</f>
        <v/>
      </c>
      <c r="H236" s="21">
        <f>100*(H102-H101)</f>
        <v/>
      </c>
      <c r="I236" s="21">
        <f>100*(I102-I101)</f>
        <v/>
      </c>
      <c r="J236" s="21">
        <f>100*(J102-J101)</f>
        <v/>
      </c>
      <c r="K236" s="21">
        <f>100*(K102-K101)</f>
        <v/>
      </c>
      <c r="L236" s="21">
        <f>100*(L102-L101)</f>
        <v/>
      </c>
      <c r="M236" s="21">
        <f>100*(M102-M101)</f>
        <v/>
      </c>
      <c r="N236" s="21">
        <f>100*(N102-N101)</f>
        <v/>
      </c>
      <c r="O236" s="21">
        <f>100*(O102-O101)</f>
        <v/>
      </c>
      <c r="P236" s="21">
        <f>100*(P102-P101)</f>
        <v/>
      </c>
      <c r="Q236" s="21">
        <f>100*(Q102-Q101)</f>
        <v/>
      </c>
      <c r="R236" s="21">
        <f>100*(R102-R101)</f>
        <v/>
      </c>
      <c r="S236" s="21">
        <f>100*(S102-S101)</f>
        <v/>
      </c>
      <c r="T236" s="21">
        <f>100*(T102-T101)</f>
        <v/>
      </c>
      <c r="U236" s="21">
        <f>100*(U102-U101)</f>
        <v/>
      </c>
      <c r="V236" s="21">
        <f>100*(V102-V101)</f>
        <v/>
      </c>
      <c r="W236" s="21">
        <f>100*(W102-W101)</f>
        <v/>
      </c>
      <c r="X236" s="21">
        <f>100*(X102-X101)</f>
        <v/>
      </c>
      <c r="Y236" s="21">
        <f>100*(Y102-Y101)</f>
        <v/>
      </c>
      <c r="Z236" s="21">
        <f>100*(Z102-Z101)</f>
        <v/>
      </c>
      <c r="AA236" s="21">
        <f>100*(AA102-AA101)</f>
        <v/>
      </c>
      <c r="AB236" s="21">
        <f>100*(AB102-AB101)</f>
        <v/>
      </c>
      <c r="AC236" s="21">
        <f>100*(AC102-AC101)</f>
        <v/>
      </c>
      <c r="AD236" s="21">
        <f>100*(AD102-AD101)</f>
        <v/>
      </c>
      <c r="AE236" s="21">
        <f>100*(AE102-AE101)</f>
        <v/>
      </c>
      <c r="AF236" s="21">
        <f>100*(AF102-AF101)</f>
        <v/>
      </c>
      <c r="AG236" s="21">
        <f>100*(AG102-AG101)</f>
        <v/>
      </c>
      <c r="AH236" s="21">
        <f>100*(AH102-AH101)</f>
        <v/>
      </c>
      <c r="AI236" s="21">
        <f>100*(AI102-AI101)</f>
        <v/>
      </c>
      <c r="AJ236" s="21">
        <f>100*(AJ102-AJ101)</f>
        <v/>
      </c>
      <c r="AK236" s="21">
        <f>100*(AK102-AK101)</f>
        <v/>
      </c>
      <c r="AL236" s="21">
        <f>AVERAGE(C236:AK236)</f>
        <v/>
      </c>
    </row>
    <row r="237">
      <c r="A237" s="19">
        <f>A103</f>
        <v/>
      </c>
      <c r="B237" s="20">
        <f>B103</f>
        <v/>
      </c>
      <c r="C237" s="21">
        <f>100*(C103-C102)</f>
        <v/>
      </c>
      <c r="D237" s="21">
        <f>100*(D103-D102)</f>
        <v/>
      </c>
      <c r="E237" s="21">
        <f>100*(E103-E102)</f>
        <v/>
      </c>
      <c r="F237" s="21">
        <f>100*(F103-F102)</f>
        <v/>
      </c>
      <c r="G237" s="21">
        <f>100*(G103-G102)</f>
        <v/>
      </c>
      <c r="H237" s="21">
        <f>100*(H103-H102)</f>
        <v/>
      </c>
      <c r="I237" s="21">
        <f>100*(I103-I102)</f>
        <v/>
      </c>
      <c r="J237" s="21">
        <f>100*(J103-J102)</f>
        <v/>
      </c>
      <c r="K237" s="21">
        <f>100*(K103-K102)</f>
        <v/>
      </c>
      <c r="L237" s="21">
        <f>100*(L103-L102)</f>
        <v/>
      </c>
      <c r="M237" s="21">
        <f>100*(M103-M102)</f>
        <v/>
      </c>
      <c r="N237" s="21">
        <f>100*(N103-N102)</f>
        <v/>
      </c>
      <c r="O237" s="21">
        <f>100*(O103-O102)</f>
        <v/>
      </c>
      <c r="P237" s="21">
        <f>100*(P103-P102)</f>
        <v/>
      </c>
      <c r="Q237" s="21">
        <f>100*(Q103-Q102)</f>
        <v/>
      </c>
      <c r="R237" s="21">
        <f>100*(R103-R102)</f>
        <v/>
      </c>
      <c r="S237" s="21">
        <f>100*(S103-S102)</f>
        <v/>
      </c>
      <c r="T237" s="21">
        <f>100*(T103-T102)</f>
        <v/>
      </c>
      <c r="U237" s="21">
        <f>100*(U103-U102)</f>
        <v/>
      </c>
      <c r="V237" s="21">
        <f>100*(V103-V102)</f>
        <v/>
      </c>
      <c r="W237" s="21">
        <f>100*(W103-W102)</f>
        <v/>
      </c>
      <c r="X237" s="21">
        <f>100*(X103-X102)</f>
        <v/>
      </c>
      <c r="Y237" s="21">
        <f>100*(Y103-Y102)</f>
        <v/>
      </c>
      <c r="Z237" s="21">
        <f>100*(Z103-Z102)</f>
        <v/>
      </c>
      <c r="AA237" s="21">
        <f>100*(AA103-AA102)</f>
        <v/>
      </c>
      <c r="AB237" s="21">
        <f>100*(AB103-AB102)</f>
        <v/>
      </c>
      <c r="AC237" s="21">
        <f>100*(AC103-AC102)</f>
        <v/>
      </c>
      <c r="AD237" s="21">
        <f>100*(AD103-AD102)</f>
        <v/>
      </c>
      <c r="AE237" s="21">
        <f>100*(AE103-AE102)</f>
        <v/>
      </c>
      <c r="AF237" s="21">
        <f>100*(AF103-AF102)</f>
        <v/>
      </c>
      <c r="AG237" s="21">
        <f>100*(AG103-AG102)</f>
        <v/>
      </c>
      <c r="AH237" s="21">
        <f>100*(AH103-AH102)</f>
        <v/>
      </c>
      <c r="AI237" s="21">
        <f>100*(AI103-AI102)</f>
        <v/>
      </c>
      <c r="AJ237" s="21">
        <f>100*(AJ103-AJ102)</f>
        <v/>
      </c>
      <c r="AK237" s="21">
        <f>100*(AK103-AK102)</f>
        <v/>
      </c>
      <c r="AL237" s="21">
        <f>AVERAGE(C237:AK237)</f>
        <v/>
      </c>
    </row>
    <row r="238">
      <c r="A238" s="19">
        <f>A104</f>
        <v/>
      </c>
      <c r="B238" s="20">
        <f>B104</f>
        <v/>
      </c>
      <c r="C238" s="21">
        <f>100*(C104-C103)</f>
        <v/>
      </c>
      <c r="D238" s="21">
        <f>100*(D104-D103)</f>
        <v/>
      </c>
      <c r="E238" s="21">
        <f>100*(E104-E103)</f>
        <v/>
      </c>
      <c r="F238" s="21">
        <f>100*(F104-F103)</f>
        <v/>
      </c>
      <c r="G238" s="21">
        <f>100*(G104-G103)</f>
        <v/>
      </c>
      <c r="H238" s="21">
        <f>100*(H104-H103)</f>
        <v/>
      </c>
      <c r="I238" s="21">
        <f>100*(I104-I103)</f>
        <v/>
      </c>
      <c r="J238" s="21">
        <f>100*(J104-J103)</f>
        <v/>
      </c>
      <c r="K238" s="21">
        <f>100*(K104-K103)</f>
        <v/>
      </c>
      <c r="L238" s="21">
        <f>100*(L104-L103)</f>
        <v/>
      </c>
      <c r="M238" s="21">
        <f>100*(M104-M103)</f>
        <v/>
      </c>
      <c r="N238" s="21">
        <f>100*(N104-N103)</f>
        <v/>
      </c>
      <c r="O238" s="21">
        <f>100*(O104-O103)</f>
        <v/>
      </c>
      <c r="P238" s="21">
        <f>100*(P104-P103)</f>
        <v/>
      </c>
      <c r="Q238" s="21">
        <f>100*(Q104-Q103)</f>
        <v/>
      </c>
      <c r="R238" s="21">
        <f>100*(R104-R103)</f>
        <v/>
      </c>
      <c r="S238" s="21">
        <f>100*(S104-S103)</f>
        <v/>
      </c>
      <c r="T238" s="21">
        <f>100*(T104-T103)</f>
        <v/>
      </c>
      <c r="U238" s="21">
        <f>100*(U104-U103)</f>
        <v/>
      </c>
      <c r="V238" s="21">
        <f>100*(V104-V103)</f>
        <v/>
      </c>
      <c r="W238" s="21">
        <f>100*(W104-W103)</f>
        <v/>
      </c>
      <c r="X238" s="21">
        <f>100*(X104-X103)</f>
        <v/>
      </c>
      <c r="Y238" s="21">
        <f>100*(Y104-Y103)</f>
        <v/>
      </c>
      <c r="Z238" s="21">
        <f>100*(Z104-Z103)</f>
        <v/>
      </c>
      <c r="AA238" s="21">
        <f>100*(AA104-AA103)</f>
        <v/>
      </c>
      <c r="AB238" s="21">
        <f>100*(AB104-AB103)</f>
        <v/>
      </c>
      <c r="AC238" s="21">
        <f>100*(AC104-AC103)</f>
        <v/>
      </c>
      <c r="AD238" s="21">
        <f>100*(AD104-AD103)</f>
        <v/>
      </c>
      <c r="AE238" s="21">
        <f>100*(AE104-AE103)</f>
        <v/>
      </c>
      <c r="AF238" s="21">
        <f>100*(AF104-AF103)</f>
        <v/>
      </c>
      <c r="AG238" s="21">
        <f>100*(AG104-AG103)</f>
        <v/>
      </c>
      <c r="AH238" s="21">
        <f>100*(AH104-AH103)</f>
        <v/>
      </c>
      <c r="AI238" s="21">
        <f>100*(AI104-AI103)</f>
        <v/>
      </c>
      <c r="AJ238" s="21">
        <f>100*(AJ104-AJ103)</f>
        <v/>
      </c>
      <c r="AK238" s="21">
        <f>100*(AK104-AK103)</f>
        <v/>
      </c>
      <c r="AL238" s="21">
        <f>AVERAGE(C238:AK238)</f>
        <v/>
      </c>
    </row>
    <row r="239">
      <c r="A239" s="19">
        <f>A105</f>
        <v/>
      </c>
      <c r="B239" s="20">
        <f>B105</f>
        <v/>
      </c>
      <c r="C239" s="21">
        <f>100*(C105-C104)</f>
        <v/>
      </c>
      <c r="D239" s="21">
        <f>100*(D105-D104)</f>
        <v/>
      </c>
      <c r="E239" s="21">
        <f>100*(E105-E104)</f>
        <v/>
      </c>
      <c r="F239" s="21">
        <f>100*(F105-F104)</f>
        <v/>
      </c>
      <c r="G239" s="21">
        <f>100*(G105-G104)</f>
        <v/>
      </c>
      <c r="H239" s="21">
        <f>100*(H105-H104)</f>
        <v/>
      </c>
      <c r="I239" s="21">
        <f>100*(I105-I104)</f>
        <v/>
      </c>
      <c r="J239" s="21">
        <f>100*(J105-J104)</f>
        <v/>
      </c>
      <c r="K239" s="21">
        <f>100*(K105-K104)</f>
        <v/>
      </c>
      <c r="L239" s="21">
        <f>100*(L105-L104)</f>
        <v/>
      </c>
      <c r="M239" s="21">
        <f>100*(M105-M104)</f>
        <v/>
      </c>
      <c r="N239" s="21">
        <f>100*(N105-N104)</f>
        <v/>
      </c>
      <c r="O239" s="21">
        <f>100*(O105-O104)</f>
        <v/>
      </c>
      <c r="P239" s="21">
        <f>100*(P105-P104)</f>
        <v/>
      </c>
      <c r="Q239" s="21">
        <f>100*(Q105-Q104)</f>
        <v/>
      </c>
      <c r="R239" s="21">
        <f>100*(R105-R104)</f>
        <v/>
      </c>
      <c r="S239" s="21">
        <f>100*(S105-S104)</f>
        <v/>
      </c>
      <c r="T239" s="21">
        <f>100*(T105-T104)</f>
        <v/>
      </c>
      <c r="U239" s="21">
        <f>100*(U105-U104)</f>
        <v/>
      </c>
      <c r="V239" s="21">
        <f>100*(V105-V104)</f>
        <v/>
      </c>
      <c r="W239" s="21">
        <f>100*(W105-W104)</f>
        <v/>
      </c>
      <c r="X239" s="21">
        <f>100*(X105-X104)</f>
        <v/>
      </c>
      <c r="Y239" s="21">
        <f>100*(Y105-Y104)</f>
        <v/>
      </c>
      <c r="Z239" s="21">
        <f>100*(Z105-Z104)</f>
        <v/>
      </c>
      <c r="AA239" s="21">
        <f>100*(AA105-AA104)</f>
        <v/>
      </c>
      <c r="AB239" s="21">
        <f>100*(AB105-AB104)</f>
        <v/>
      </c>
      <c r="AC239" s="21">
        <f>100*(AC105-AC104)</f>
        <v/>
      </c>
      <c r="AD239" s="21">
        <f>100*(AD105-AD104)</f>
        <v/>
      </c>
      <c r="AE239" s="21">
        <f>100*(AE105-AE104)</f>
        <v/>
      </c>
      <c r="AF239" s="21">
        <f>100*(AF105-AF104)</f>
        <v/>
      </c>
      <c r="AG239" s="21">
        <f>100*(AG105-AG104)</f>
        <v/>
      </c>
      <c r="AH239" s="21">
        <f>100*(AH105-AH104)</f>
        <v/>
      </c>
      <c r="AI239" s="21">
        <f>100*(AI105-AI104)</f>
        <v/>
      </c>
      <c r="AJ239" s="21">
        <f>100*(AJ105-AJ104)</f>
        <v/>
      </c>
      <c r="AK239" s="21">
        <f>100*(AK105-AK104)</f>
        <v/>
      </c>
      <c r="AL239" s="21">
        <f>AVERAGE(C239:AK239)</f>
        <v/>
      </c>
    </row>
    <row r="240">
      <c r="A240" s="19">
        <f>A106</f>
        <v/>
      </c>
      <c r="B240" s="20">
        <f>B106</f>
        <v/>
      </c>
      <c r="C240" s="21">
        <f>100*(C106-C105)</f>
        <v/>
      </c>
      <c r="D240" s="21">
        <f>100*(D106-D105)</f>
        <v/>
      </c>
      <c r="E240" s="21">
        <f>100*(E106-E105)</f>
        <v/>
      </c>
      <c r="F240" s="21">
        <f>100*(F106-F105)</f>
        <v/>
      </c>
      <c r="G240" s="21">
        <f>100*(G106-G105)</f>
        <v/>
      </c>
      <c r="H240" s="21">
        <f>100*(H106-H105)</f>
        <v/>
      </c>
      <c r="I240" s="21">
        <f>100*(I106-I105)</f>
        <v/>
      </c>
      <c r="J240" s="21">
        <f>100*(J106-J105)</f>
        <v/>
      </c>
      <c r="K240" s="21">
        <f>100*(K106-K105)</f>
        <v/>
      </c>
      <c r="L240" s="21">
        <f>100*(L106-L105)</f>
        <v/>
      </c>
      <c r="M240" s="21">
        <f>100*(M106-M105)</f>
        <v/>
      </c>
      <c r="N240" s="21">
        <f>100*(N106-N105)</f>
        <v/>
      </c>
      <c r="O240" s="21">
        <f>100*(O106-O105)</f>
        <v/>
      </c>
      <c r="P240" s="21">
        <f>100*(P106-P105)</f>
        <v/>
      </c>
      <c r="Q240" s="21">
        <f>100*(Q106-Q105)</f>
        <v/>
      </c>
      <c r="R240" s="21">
        <f>100*(R106-R105)</f>
        <v/>
      </c>
      <c r="S240" s="21">
        <f>100*(S106-S105)</f>
        <v/>
      </c>
      <c r="T240" s="21">
        <f>100*(T106-T105)</f>
        <v/>
      </c>
      <c r="U240" s="21">
        <f>100*(U106-U105)</f>
        <v/>
      </c>
      <c r="V240" s="21">
        <f>100*(V106-V105)</f>
        <v/>
      </c>
      <c r="W240" s="21">
        <f>100*(W106-W105)</f>
        <v/>
      </c>
      <c r="X240" s="21">
        <f>100*(X106-X105)</f>
        <v/>
      </c>
      <c r="Y240" s="21">
        <f>100*(Y106-Y105)</f>
        <v/>
      </c>
      <c r="Z240" s="21">
        <f>100*(Z106-Z105)</f>
        <v/>
      </c>
      <c r="AA240" s="21">
        <f>100*(AA106-AA105)</f>
        <v/>
      </c>
      <c r="AB240" s="21">
        <f>100*(AB106-AB105)</f>
        <v/>
      </c>
      <c r="AC240" s="21">
        <f>100*(AC106-AC105)</f>
        <v/>
      </c>
      <c r="AD240" s="21">
        <f>100*(AD106-AD105)</f>
        <v/>
      </c>
      <c r="AE240" s="21">
        <f>100*(AE106-AE105)</f>
        <v/>
      </c>
      <c r="AF240" s="21">
        <f>100*(AF106-AF105)</f>
        <v/>
      </c>
      <c r="AG240" s="21">
        <f>100*(AG106-AG105)</f>
        <v/>
      </c>
      <c r="AH240" s="21">
        <f>100*(AH106-AH105)</f>
        <v/>
      </c>
      <c r="AI240" s="21">
        <f>100*(AI106-AI105)</f>
        <v/>
      </c>
      <c r="AJ240" s="21">
        <f>100*(AJ106-AJ105)</f>
        <v/>
      </c>
      <c r="AK240" s="21">
        <f>100*(AK106-AK105)</f>
        <v/>
      </c>
      <c r="AL240" s="21">
        <f>AVERAGE(C240:AK240)</f>
        <v/>
      </c>
    </row>
    <row r="241">
      <c r="A241" s="19">
        <f>A107</f>
        <v/>
      </c>
      <c r="B241" s="20">
        <f>B107</f>
        <v/>
      </c>
      <c r="C241" s="21">
        <f>100*(C107-C106)</f>
        <v/>
      </c>
      <c r="D241" s="21">
        <f>100*(D107-D106)</f>
        <v/>
      </c>
      <c r="E241" s="21">
        <f>100*(E107-E106)</f>
        <v/>
      </c>
      <c r="F241" s="21">
        <f>100*(F107-F106)</f>
        <v/>
      </c>
      <c r="G241" s="21">
        <f>100*(G107-G106)</f>
        <v/>
      </c>
      <c r="H241" s="21">
        <f>100*(H107-H106)</f>
        <v/>
      </c>
      <c r="I241" s="21">
        <f>100*(I107-I106)</f>
        <v/>
      </c>
      <c r="J241" s="21">
        <f>100*(J107-J106)</f>
        <v/>
      </c>
      <c r="K241" s="21">
        <f>100*(K107-K106)</f>
        <v/>
      </c>
      <c r="L241" s="21">
        <f>100*(L107-L106)</f>
        <v/>
      </c>
      <c r="M241" s="21">
        <f>100*(M107-M106)</f>
        <v/>
      </c>
      <c r="N241" s="21">
        <f>100*(N107-N106)</f>
        <v/>
      </c>
      <c r="O241" s="21">
        <f>100*(O107-O106)</f>
        <v/>
      </c>
      <c r="P241" s="21">
        <f>100*(P107-P106)</f>
        <v/>
      </c>
      <c r="Q241" s="21">
        <f>100*(Q107-Q106)</f>
        <v/>
      </c>
      <c r="R241" s="21">
        <f>100*(R107-R106)</f>
        <v/>
      </c>
      <c r="S241" s="21">
        <f>100*(S107-S106)</f>
        <v/>
      </c>
      <c r="T241" s="21">
        <f>100*(T107-T106)</f>
        <v/>
      </c>
      <c r="U241" s="21">
        <f>100*(U107-U106)</f>
        <v/>
      </c>
      <c r="V241" s="21">
        <f>100*(V107-V106)</f>
        <v/>
      </c>
      <c r="W241" s="21">
        <f>100*(W107-W106)</f>
        <v/>
      </c>
      <c r="X241" s="21">
        <f>100*(X107-X106)</f>
        <v/>
      </c>
      <c r="Y241" s="21">
        <f>100*(Y107-Y106)</f>
        <v/>
      </c>
      <c r="Z241" s="21">
        <f>100*(Z107-Z106)</f>
        <v/>
      </c>
      <c r="AA241" s="21">
        <f>100*(AA107-AA106)</f>
        <v/>
      </c>
      <c r="AB241" s="21">
        <f>100*(AB107-AB106)</f>
        <v/>
      </c>
      <c r="AC241" s="21">
        <f>100*(AC107-AC106)</f>
        <v/>
      </c>
      <c r="AD241" s="21">
        <f>100*(AD107-AD106)</f>
        <v/>
      </c>
      <c r="AE241" s="21">
        <f>100*(AE107-AE106)</f>
        <v/>
      </c>
      <c r="AF241" s="21">
        <f>100*(AF107-AF106)</f>
        <v/>
      </c>
      <c r="AG241" s="21">
        <f>100*(AG107-AG106)</f>
        <v/>
      </c>
      <c r="AH241" s="21">
        <f>100*(AH107-AH106)</f>
        <v/>
      </c>
      <c r="AI241" s="21">
        <f>100*(AI107-AI106)</f>
        <v/>
      </c>
      <c r="AJ241" s="21">
        <f>100*(AJ107-AJ106)</f>
        <v/>
      </c>
      <c r="AK241" s="21">
        <f>100*(AK107-AK106)</f>
        <v/>
      </c>
      <c r="AL241" s="21">
        <f>AVERAGE(C241:AK241)</f>
        <v/>
      </c>
    </row>
    <row r="242">
      <c r="A242" s="19">
        <f>A108</f>
        <v/>
      </c>
      <c r="B242" s="20">
        <f>B108</f>
        <v/>
      </c>
      <c r="C242" s="21">
        <f>100*(C108-C107)</f>
        <v/>
      </c>
      <c r="D242" s="21">
        <f>100*(D108-D107)</f>
        <v/>
      </c>
      <c r="E242" s="21">
        <f>100*(E108-E107)</f>
        <v/>
      </c>
      <c r="F242" s="21">
        <f>100*(F108-F107)</f>
        <v/>
      </c>
      <c r="G242" s="21">
        <f>100*(G108-G107)</f>
        <v/>
      </c>
      <c r="H242" s="21">
        <f>100*(H108-H107)</f>
        <v/>
      </c>
      <c r="I242" s="21">
        <f>100*(I108-I107)</f>
        <v/>
      </c>
      <c r="J242" s="21">
        <f>100*(J108-J107)</f>
        <v/>
      </c>
      <c r="K242" s="21">
        <f>100*(K108-K107)</f>
        <v/>
      </c>
      <c r="L242" s="21">
        <f>100*(L108-L107)</f>
        <v/>
      </c>
      <c r="M242" s="21">
        <f>100*(M108-M107)</f>
        <v/>
      </c>
      <c r="N242" s="21">
        <f>100*(N108-N107)</f>
        <v/>
      </c>
      <c r="O242" s="21">
        <f>100*(O108-O107)</f>
        <v/>
      </c>
      <c r="P242" s="21">
        <f>100*(P108-P107)</f>
        <v/>
      </c>
      <c r="Q242" s="21">
        <f>100*(Q108-Q107)</f>
        <v/>
      </c>
      <c r="R242" s="21">
        <f>100*(R108-R107)</f>
        <v/>
      </c>
      <c r="S242" s="21">
        <f>100*(S108-S107)</f>
        <v/>
      </c>
      <c r="T242" s="21">
        <f>100*(T108-T107)</f>
        <v/>
      </c>
      <c r="U242" s="21">
        <f>100*(U108-U107)</f>
        <v/>
      </c>
      <c r="V242" s="21">
        <f>100*(V108-V107)</f>
        <v/>
      </c>
      <c r="W242" s="21">
        <f>100*(W108-W107)</f>
        <v/>
      </c>
      <c r="X242" s="21">
        <f>100*(X108-X107)</f>
        <v/>
      </c>
      <c r="Y242" s="21">
        <f>100*(Y108-Y107)</f>
        <v/>
      </c>
      <c r="Z242" s="21">
        <f>100*(Z108-Z107)</f>
        <v/>
      </c>
      <c r="AA242" s="21">
        <f>100*(AA108-AA107)</f>
        <v/>
      </c>
      <c r="AB242" s="21">
        <f>100*(AB108-AB107)</f>
        <v/>
      </c>
      <c r="AC242" s="21">
        <f>100*(AC108-AC107)</f>
        <v/>
      </c>
      <c r="AD242" s="21">
        <f>100*(AD108-AD107)</f>
        <v/>
      </c>
      <c r="AE242" s="21">
        <f>100*(AE108-AE107)</f>
        <v/>
      </c>
      <c r="AF242" s="21">
        <f>100*(AF108-AF107)</f>
        <v/>
      </c>
      <c r="AG242" s="21">
        <f>100*(AG108-AG107)</f>
        <v/>
      </c>
      <c r="AH242" s="21">
        <f>100*(AH108-AH107)</f>
        <v/>
      </c>
      <c r="AI242" s="21">
        <f>100*(AI108-AI107)</f>
        <v/>
      </c>
      <c r="AJ242" s="21">
        <f>100*(AJ108-AJ107)</f>
        <v/>
      </c>
      <c r="AK242" s="21">
        <f>100*(AK108-AK107)</f>
        <v/>
      </c>
      <c r="AL242" s="21">
        <f>AVERAGE(C242:AK242)</f>
        <v/>
      </c>
    </row>
    <row r="243">
      <c r="A243" s="19">
        <f>A109</f>
        <v/>
      </c>
      <c r="B243" s="20">
        <f>B109</f>
        <v/>
      </c>
      <c r="C243" s="21">
        <f>100*(C109-C108)</f>
        <v/>
      </c>
      <c r="D243" s="21">
        <f>100*(D109-D108)</f>
        <v/>
      </c>
      <c r="E243" s="21">
        <f>100*(E109-E108)</f>
        <v/>
      </c>
      <c r="F243" s="21">
        <f>100*(F109-F108)</f>
        <v/>
      </c>
      <c r="G243" s="21">
        <f>100*(G109-G108)</f>
        <v/>
      </c>
      <c r="H243" s="21">
        <f>100*(H109-H108)</f>
        <v/>
      </c>
      <c r="I243" s="21">
        <f>100*(I109-I108)</f>
        <v/>
      </c>
      <c r="J243" s="21">
        <f>100*(J109-J108)</f>
        <v/>
      </c>
      <c r="K243" s="21">
        <f>100*(K109-K108)</f>
        <v/>
      </c>
      <c r="L243" s="21">
        <f>100*(L109-L108)</f>
        <v/>
      </c>
      <c r="M243" s="21">
        <f>100*(M109-M108)</f>
        <v/>
      </c>
      <c r="N243" s="21">
        <f>100*(N109-N108)</f>
        <v/>
      </c>
      <c r="O243" s="21">
        <f>100*(O109-O108)</f>
        <v/>
      </c>
      <c r="P243" s="21">
        <f>100*(P109-P108)</f>
        <v/>
      </c>
      <c r="Q243" s="21">
        <f>100*(Q109-Q108)</f>
        <v/>
      </c>
      <c r="R243" s="21">
        <f>100*(R109-R108)</f>
        <v/>
      </c>
      <c r="S243" s="21">
        <f>100*(S109-S108)</f>
        <v/>
      </c>
      <c r="T243" s="21">
        <f>100*(T109-T108)</f>
        <v/>
      </c>
      <c r="U243" s="21">
        <f>100*(U109-U108)</f>
        <v/>
      </c>
      <c r="V243" s="21">
        <f>100*(V109-V108)</f>
        <v/>
      </c>
      <c r="W243" s="21">
        <f>100*(W109-W108)</f>
        <v/>
      </c>
      <c r="X243" s="21">
        <f>100*(X109-X108)</f>
        <v/>
      </c>
      <c r="Y243" s="21">
        <f>100*(Y109-Y108)</f>
        <v/>
      </c>
      <c r="Z243" s="21">
        <f>100*(Z109-Z108)</f>
        <v/>
      </c>
      <c r="AA243" s="21">
        <f>100*(AA109-AA108)</f>
        <v/>
      </c>
      <c r="AB243" s="21">
        <f>100*(AB109-AB108)</f>
        <v/>
      </c>
      <c r="AC243" s="21">
        <f>100*(AC109-AC108)</f>
        <v/>
      </c>
      <c r="AD243" s="21">
        <f>100*(AD109-AD108)</f>
        <v/>
      </c>
      <c r="AE243" s="21">
        <f>100*(AE109-AE108)</f>
        <v/>
      </c>
      <c r="AF243" s="21">
        <f>100*(AF109-AF108)</f>
        <v/>
      </c>
      <c r="AG243" s="21">
        <f>100*(AG109-AG108)</f>
        <v/>
      </c>
      <c r="AH243" s="21">
        <f>100*(AH109-AH108)</f>
        <v/>
      </c>
      <c r="AI243" s="21">
        <f>100*(AI109-AI108)</f>
        <v/>
      </c>
      <c r="AJ243" s="21">
        <f>100*(AJ109-AJ108)</f>
        <v/>
      </c>
      <c r="AK243" s="21">
        <f>100*(AK109-AK108)</f>
        <v/>
      </c>
      <c r="AL243" s="21">
        <f>AVERAGE(C243:AK243)</f>
        <v/>
      </c>
    </row>
    <row r="244">
      <c r="A244" s="19">
        <f>A110</f>
        <v/>
      </c>
      <c r="B244" s="20">
        <f>B110</f>
        <v/>
      </c>
      <c r="C244" s="21">
        <f>100*(C110-C109)</f>
        <v/>
      </c>
      <c r="D244" s="21">
        <f>100*(D110-D109)</f>
        <v/>
      </c>
      <c r="E244" s="21">
        <f>100*(E110-E109)</f>
        <v/>
      </c>
      <c r="F244" s="21">
        <f>100*(F110-F109)</f>
        <v/>
      </c>
      <c r="G244" s="21">
        <f>100*(G110-G109)</f>
        <v/>
      </c>
      <c r="H244" s="21">
        <f>100*(H110-H109)</f>
        <v/>
      </c>
      <c r="I244" s="21">
        <f>100*(I110-I109)</f>
        <v/>
      </c>
      <c r="J244" s="21">
        <f>100*(J110-J109)</f>
        <v/>
      </c>
      <c r="K244" s="21">
        <f>100*(K110-K109)</f>
        <v/>
      </c>
      <c r="L244" s="21">
        <f>100*(L110-L109)</f>
        <v/>
      </c>
      <c r="M244" s="21">
        <f>100*(M110-M109)</f>
        <v/>
      </c>
      <c r="N244" s="21">
        <f>100*(N110-N109)</f>
        <v/>
      </c>
      <c r="O244" s="21">
        <f>100*(O110-O109)</f>
        <v/>
      </c>
      <c r="P244" s="21">
        <f>100*(P110-P109)</f>
        <v/>
      </c>
      <c r="Q244" s="21">
        <f>100*(Q110-Q109)</f>
        <v/>
      </c>
      <c r="R244" s="21">
        <f>100*(R110-R109)</f>
        <v/>
      </c>
      <c r="S244" s="21">
        <f>100*(S110-S109)</f>
        <v/>
      </c>
      <c r="T244" s="21">
        <f>100*(T110-T109)</f>
        <v/>
      </c>
      <c r="U244" s="21">
        <f>100*(U110-U109)</f>
        <v/>
      </c>
      <c r="V244" s="21">
        <f>100*(V110-V109)</f>
        <v/>
      </c>
      <c r="W244" s="21">
        <f>100*(W110-W109)</f>
        <v/>
      </c>
      <c r="X244" s="21">
        <f>100*(X110-X109)</f>
        <v/>
      </c>
      <c r="Y244" s="21">
        <f>100*(Y110-Y109)</f>
        <v/>
      </c>
      <c r="Z244" s="21">
        <f>100*(Z110-Z109)</f>
        <v/>
      </c>
      <c r="AA244" s="21">
        <f>100*(AA110-AA109)</f>
        <v/>
      </c>
      <c r="AB244" s="21">
        <f>100*(AB110-AB109)</f>
        <v/>
      </c>
      <c r="AC244" s="21">
        <f>100*(AC110-AC109)</f>
        <v/>
      </c>
      <c r="AD244" s="21">
        <f>100*(AD110-AD109)</f>
        <v/>
      </c>
      <c r="AE244" s="21">
        <f>100*(AE110-AE109)</f>
        <v/>
      </c>
      <c r="AF244" s="21">
        <f>100*(AF110-AF109)</f>
        <v/>
      </c>
      <c r="AG244" s="21">
        <f>100*(AG110-AG109)</f>
        <v/>
      </c>
      <c r="AH244" s="21">
        <f>100*(AH110-AH109)</f>
        <v/>
      </c>
      <c r="AI244" s="21">
        <f>100*(AI110-AI109)</f>
        <v/>
      </c>
      <c r="AJ244" s="21">
        <f>100*(AJ110-AJ109)</f>
        <v/>
      </c>
      <c r="AK244" s="21">
        <f>100*(AK110-AK109)</f>
        <v/>
      </c>
      <c r="AL244" s="21">
        <f>AVERAGE(C244:AK244)</f>
        <v/>
      </c>
    </row>
    <row r="245">
      <c r="A245" s="19">
        <f>A111</f>
        <v/>
      </c>
      <c r="B245" s="20">
        <f>B111</f>
        <v/>
      </c>
      <c r="C245" s="21">
        <f>100*(C111-C110)</f>
        <v/>
      </c>
      <c r="D245" s="21">
        <f>100*(D111-D110)</f>
        <v/>
      </c>
      <c r="E245" s="21">
        <f>100*(E111-E110)</f>
        <v/>
      </c>
      <c r="F245" s="21">
        <f>100*(F111-F110)</f>
        <v/>
      </c>
      <c r="G245" s="21">
        <f>100*(G111-G110)</f>
        <v/>
      </c>
      <c r="H245" s="21">
        <f>100*(H111-H110)</f>
        <v/>
      </c>
      <c r="I245" s="21">
        <f>100*(I111-I110)</f>
        <v/>
      </c>
      <c r="J245" s="21">
        <f>100*(J111-J110)</f>
        <v/>
      </c>
      <c r="K245" s="21">
        <f>100*(K111-K110)</f>
        <v/>
      </c>
      <c r="L245" s="21">
        <f>100*(L111-L110)</f>
        <v/>
      </c>
      <c r="M245" s="21">
        <f>100*(M111-M110)</f>
        <v/>
      </c>
      <c r="N245" s="21">
        <f>100*(N111-N110)</f>
        <v/>
      </c>
      <c r="O245" s="21">
        <f>100*(O111-O110)</f>
        <v/>
      </c>
      <c r="P245" s="21">
        <f>100*(P111-P110)</f>
        <v/>
      </c>
      <c r="Q245" s="21">
        <f>100*(Q111-Q110)</f>
        <v/>
      </c>
      <c r="R245" s="21">
        <f>100*(R111-R110)</f>
        <v/>
      </c>
      <c r="S245" s="21">
        <f>100*(S111-S110)</f>
        <v/>
      </c>
      <c r="T245" s="21">
        <f>100*(T111-T110)</f>
        <v/>
      </c>
      <c r="U245" s="21">
        <f>100*(U111-U110)</f>
        <v/>
      </c>
      <c r="V245" s="21">
        <f>100*(V111-V110)</f>
        <v/>
      </c>
      <c r="W245" s="21">
        <f>100*(W111-W110)</f>
        <v/>
      </c>
      <c r="X245" s="21">
        <f>100*(X111-X110)</f>
        <v/>
      </c>
      <c r="Y245" s="21">
        <f>100*(Y111-Y110)</f>
        <v/>
      </c>
      <c r="Z245" s="21">
        <f>100*(Z111-Z110)</f>
        <v/>
      </c>
      <c r="AA245" s="21">
        <f>100*(AA111-AA110)</f>
        <v/>
      </c>
      <c r="AB245" s="21">
        <f>100*(AB111-AB110)</f>
        <v/>
      </c>
      <c r="AC245" s="21">
        <f>100*(AC111-AC110)</f>
        <v/>
      </c>
      <c r="AD245" s="21">
        <f>100*(AD111-AD110)</f>
        <v/>
      </c>
      <c r="AE245" s="21">
        <f>100*(AE111-AE110)</f>
        <v/>
      </c>
      <c r="AF245" s="21">
        <f>100*(AF111-AF110)</f>
        <v/>
      </c>
      <c r="AG245" s="21">
        <f>100*(AG111-AG110)</f>
        <v/>
      </c>
      <c r="AH245" s="21">
        <f>100*(AH111-AH110)</f>
        <v/>
      </c>
      <c r="AI245" s="21">
        <f>100*(AI111-AI110)</f>
        <v/>
      </c>
      <c r="AJ245" s="21">
        <f>100*(AJ111-AJ110)</f>
        <v/>
      </c>
      <c r="AK245" s="21">
        <f>100*(AK111-AK110)</f>
        <v/>
      </c>
      <c r="AL245" s="21">
        <f>AVERAGE(C245:AK245)</f>
        <v/>
      </c>
    </row>
    <row r="246">
      <c r="A246" s="19">
        <f>A112</f>
        <v/>
      </c>
      <c r="B246" s="20">
        <f>B112</f>
        <v/>
      </c>
      <c r="C246" s="21">
        <f>100*(C112-C111)</f>
        <v/>
      </c>
      <c r="D246" s="21">
        <f>100*(D112-D111)</f>
        <v/>
      </c>
      <c r="E246" s="21">
        <f>100*(E112-E111)</f>
        <v/>
      </c>
      <c r="F246" s="21">
        <f>100*(F112-F111)</f>
        <v/>
      </c>
      <c r="G246" s="21">
        <f>100*(G112-G111)</f>
        <v/>
      </c>
      <c r="H246" s="21">
        <f>100*(H112-H111)</f>
        <v/>
      </c>
      <c r="I246" s="21">
        <f>100*(I112-I111)</f>
        <v/>
      </c>
      <c r="J246" s="21">
        <f>100*(J112-J111)</f>
        <v/>
      </c>
      <c r="K246" s="21">
        <f>100*(K112-K111)</f>
        <v/>
      </c>
      <c r="L246" s="21">
        <f>100*(L112-L111)</f>
        <v/>
      </c>
      <c r="M246" s="21">
        <f>100*(M112-M111)</f>
        <v/>
      </c>
      <c r="N246" s="21">
        <f>100*(N112-N111)</f>
        <v/>
      </c>
      <c r="O246" s="21">
        <f>100*(O112-O111)</f>
        <v/>
      </c>
      <c r="P246" s="21">
        <f>100*(P112-P111)</f>
        <v/>
      </c>
      <c r="Q246" s="21">
        <f>100*(Q112-Q111)</f>
        <v/>
      </c>
      <c r="R246" s="21">
        <f>100*(R112-R111)</f>
        <v/>
      </c>
      <c r="S246" s="21">
        <f>100*(S112-S111)</f>
        <v/>
      </c>
      <c r="T246" s="21">
        <f>100*(T112-T111)</f>
        <v/>
      </c>
      <c r="U246" s="21">
        <f>100*(U112-U111)</f>
        <v/>
      </c>
      <c r="V246" s="21">
        <f>100*(V112-V111)</f>
        <v/>
      </c>
      <c r="W246" s="21">
        <f>100*(W112-W111)</f>
        <v/>
      </c>
      <c r="X246" s="21">
        <f>100*(X112-X111)</f>
        <v/>
      </c>
      <c r="Y246" s="21">
        <f>100*(Y112-Y111)</f>
        <v/>
      </c>
      <c r="Z246" s="21">
        <f>100*(Z112-Z111)</f>
        <v/>
      </c>
      <c r="AA246" s="21">
        <f>100*(AA112-AA111)</f>
        <v/>
      </c>
      <c r="AB246" s="21">
        <f>100*(AB112-AB111)</f>
        <v/>
      </c>
      <c r="AC246" s="21">
        <f>100*(AC112-AC111)</f>
        <v/>
      </c>
      <c r="AD246" s="21">
        <f>100*(AD112-AD111)</f>
        <v/>
      </c>
      <c r="AE246" s="21">
        <f>100*(AE112-AE111)</f>
        <v/>
      </c>
      <c r="AF246" s="21">
        <f>100*(AF112-AF111)</f>
        <v/>
      </c>
      <c r="AG246" s="21">
        <f>100*(AG112-AG111)</f>
        <v/>
      </c>
      <c r="AH246" s="21">
        <f>100*(AH112-AH111)</f>
        <v/>
      </c>
      <c r="AI246" s="21">
        <f>100*(AI112-AI111)</f>
        <v/>
      </c>
      <c r="AJ246" s="21">
        <f>100*(AJ112-AJ111)</f>
        <v/>
      </c>
      <c r="AK246" s="21">
        <f>100*(AK112-AK111)</f>
        <v/>
      </c>
      <c r="AL246" s="21">
        <f>AVERAGE(C246:AK246)</f>
        <v/>
      </c>
    </row>
    <row r="247">
      <c r="A247" s="19">
        <f>A113</f>
        <v/>
      </c>
      <c r="B247" s="20">
        <f>B113</f>
        <v/>
      </c>
      <c r="C247" s="21">
        <f>100*(C113-C112)</f>
        <v/>
      </c>
      <c r="D247" s="21">
        <f>100*(D113-D112)</f>
        <v/>
      </c>
      <c r="E247" s="21">
        <f>100*(E113-E112)</f>
        <v/>
      </c>
      <c r="F247" s="21">
        <f>100*(F113-F112)</f>
        <v/>
      </c>
      <c r="G247" s="21">
        <f>100*(G113-G112)</f>
        <v/>
      </c>
      <c r="H247" s="21">
        <f>100*(H113-H112)</f>
        <v/>
      </c>
      <c r="I247" s="21">
        <f>100*(I113-I112)</f>
        <v/>
      </c>
      <c r="J247" s="21">
        <f>100*(J113-J112)</f>
        <v/>
      </c>
      <c r="K247" s="21">
        <f>100*(K113-K112)</f>
        <v/>
      </c>
      <c r="L247" s="21">
        <f>100*(L113-L112)</f>
        <v/>
      </c>
      <c r="M247" s="21">
        <f>100*(M113-M112)</f>
        <v/>
      </c>
      <c r="N247" s="21">
        <f>100*(N113-N112)</f>
        <v/>
      </c>
      <c r="O247" s="21">
        <f>100*(O113-O112)</f>
        <v/>
      </c>
      <c r="P247" s="21">
        <f>100*(P113-P112)</f>
        <v/>
      </c>
      <c r="Q247" s="21">
        <f>100*(Q113-Q112)</f>
        <v/>
      </c>
      <c r="R247" s="21">
        <f>100*(R113-R112)</f>
        <v/>
      </c>
      <c r="S247" s="21">
        <f>100*(S113-S112)</f>
        <v/>
      </c>
      <c r="T247" s="21">
        <f>100*(T113-T112)</f>
        <v/>
      </c>
      <c r="U247" s="21">
        <f>100*(U113-U112)</f>
        <v/>
      </c>
      <c r="V247" s="21">
        <f>100*(V113-V112)</f>
        <v/>
      </c>
      <c r="W247" s="21">
        <f>100*(W113-W112)</f>
        <v/>
      </c>
      <c r="X247" s="21">
        <f>100*(X113-X112)</f>
        <v/>
      </c>
      <c r="Y247" s="21">
        <f>100*(Y113-Y112)</f>
        <v/>
      </c>
      <c r="Z247" s="21">
        <f>100*(Z113-Z112)</f>
        <v/>
      </c>
      <c r="AA247" s="21">
        <f>100*(AA113-AA112)</f>
        <v/>
      </c>
      <c r="AB247" s="21">
        <f>100*(AB113-AB112)</f>
        <v/>
      </c>
      <c r="AC247" s="21">
        <f>100*(AC113-AC112)</f>
        <v/>
      </c>
      <c r="AD247" s="21">
        <f>100*(AD113-AD112)</f>
        <v/>
      </c>
      <c r="AE247" s="21">
        <f>100*(AE113-AE112)</f>
        <v/>
      </c>
      <c r="AF247" s="21">
        <f>100*(AF113-AF112)</f>
        <v/>
      </c>
      <c r="AG247" s="21">
        <f>100*(AG113-AG112)</f>
        <v/>
      </c>
      <c r="AH247" s="21">
        <f>100*(AH113-AH112)</f>
        <v/>
      </c>
      <c r="AI247" s="21">
        <f>100*(AI113-AI112)</f>
        <v/>
      </c>
      <c r="AJ247" s="21">
        <f>100*(AJ113-AJ112)</f>
        <v/>
      </c>
      <c r="AK247" s="21">
        <f>100*(AK113-AK112)</f>
        <v/>
      </c>
      <c r="AL247" s="21">
        <f>AVERAGE(C247:AK247)</f>
        <v/>
      </c>
    </row>
    <row r="248">
      <c r="A248" s="19">
        <f>A114</f>
        <v/>
      </c>
      <c r="B248" s="20">
        <f>B114</f>
        <v/>
      </c>
      <c r="C248" s="21">
        <f>100*(C114-C113)</f>
        <v/>
      </c>
      <c r="D248" s="21">
        <f>100*(D114-D113)</f>
        <v/>
      </c>
      <c r="E248" s="21">
        <f>100*(E114-E113)</f>
        <v/>
      </c>
      <c r="F248" s="21">
        <f>100*(F114-F113)</f>
        <v/>
      </c>
      <c r="G248" s="21">
        <f>100*(G114-G113)</f>
        <v/>
      </c>
      <c r="H248" s="21">
        <f>100*(H114-H113)</f>
        <v/>
      </c>
      <c r="I248" s="21">
        <f>100*(I114-I113)</f>
        <v/>
      </c>
      <c r="J248" s="21">
        <f>100*(J114-J113)</f>
        <v/>
      </c>
      <c r="K248" s="21">
        <f>100*(K114-K113)</f>
        <v/>
      </c>
      <c r="L248" s="21">
        <f>100*(L114-L113)</f>
        <v/>
      </c>
      <c r="M248" s="21">
        <f>100*(M114-M113)</f>
        <v/>
      </c>
      <c r="N248" s="21">
        <f>100*(N114-N113)</f>
        <v/>
      </c>
      <c r="O248" s="21">
        <f>100*(O114-O113)</f>
        <v/>
      </c>
      <c r="P248" s="21">
        <f>100*(P114-P113)</f>
        <v/>
      </c>
      <c r="Q248" s="21">
        <f>100*(Q114-Q113)</f>
        <v/>
      </c>
      <c r="R248" s="21">
        <f>100*(R114-R113)</f>
        <v/>
      </c>
      <c r="S248" s="21">
        <f>100*(S114-S113)</f>
        <v/>
      </c>
      <c r="T248" s="21">
        <f>100*(T114-T113)</f>
        <v/>
      </c>
      <c r="U248" s="21">
        <f>100*(U114-U113)</f>
        <v/>
      </c>
      <c r="V248" s="21">
        <f>100*(V114-V113)</f>
        <v/>
      </c>
      <c r="W248" s="21">
        <f>100*(W114-W113)</f>
        <v/>
      </c>
      <c r="X248" s="21">
        <f>100*(X114-X113)</f>
        <v/>
      </c>
      <c r="Y248" s="21">
        <f>100*(Y114-Y113)</f>
        <v/>
      </c>
      <c r="Z248" s="21">
        <f>100*(Z114-Z113)</f>
        <v/>
      </c>
      <c r="AA248" s="21">
        <f>100*(AA114-AA113)</f>
        <v/>
      </c>
      <c r="AB248" s="21">
        <f>100*(AB114-AB113)</f>
        <v/>
      </c>
      <c r="AC248" s="21">
        <f>100*(AC114-AC113)</f>
        <v/>
      </c>
      <c r="AD248" s="21">
        <f>100*(AD114-AD113)</f>
        <v/>
      </c>
      <c r="AE248" s="21">
        <f>100*(AE114-AE113)</f>
        <v/>
      </c>
      <c r="AF248" s="21">
        <f>100*(AF114-AF113)</f>
        <v/>
      </c>
      <c r="AG248" s="21">
        <f>100*(AG114-AG113)</f>
        <v/>
      </c>
      <c r="AH248" s="21">
        <f>100*(AH114-AH113)</f>
        <v/>
      </c>
      <c r="AI248" s="21">
        <f>100*(AI114-AI113)</f>
        <v/>
      </c>
      <c r="AJ248" s="21">
        <f>100*(AJ114-AJ113)</f>
        <v/>
      </c>
      <c r="AK248" s="21">
        <f>100*(AK114-AK113)</f>
        <v/>
      </c>
      <c r="AL248" s="21">
        <f>AVERAGE(C248:AK248)</f>
        <v/>
      </c>
    </row>
    <row r="249">
      <c r="A249" s="19">
        <f>A115</f>
        <v/>
      </c>
      <c r="B249" s="20">
        <f>B115</f>
        <v/>
      </c>
      <c r="C249" s="21">
        <f>100*(C115-C114)</f>
        <v/>
      </c>
      <c r="D249" s="21">
        <f>100*(D115-D114)</f>
        <v/>
      </c>
      <c r="E249" s="21">
        <f>100*(E115-E114)</f>
        <v/>
      </c>
      <c r="F249" s="21">
        <f>100*(F115-F114)</f>
        <v/>
      </c>
      <c r="G249" s="21">
        <f>100*(G115-G114)</f>
        <v/>
      </c>
      <c r="H249" s="21">
        <f>100*(H115-H114)</f>
        <v/>
      </c>
      <c r="I249" s="21">
        <f>100*(I115-I114)</f>
        <v/>
      </c>
      <c r="J249" s="21">
        <f>100*(J115-J114)</f>
        <v/>
      </c>
      <c r="K249" s="21">
        <f>100*(K115-K114)</f>
        <v/>
      </c>
      <c r="L249" s="21">
        <f>100*(L115-L114)</f>
        <v/>
      </c>
      <c r="M249" s="21">
        <f>100*(M115-M114)</f>
        <v/>
      </c>
      <c r="N249" s="21">
        <f>100*(N115-N114)</f>
        <v/>
      </c>
      <c r="O249" s="21">
        <f>100*(O115-O114)</f>
        <v/>
      </c>
      <c r="P249" s="21">
        <f>100*(P115-P114)</f>
        <v/>
      </c>
      <c r="Q249" s="21">
        <f>100*(Q115-Q114)</f>
        <v/>
      </c>
      <c r="R249" s="21">
        <f>100*(R115-R114)</f>
        <v/>
      </c>
      <c r="S249" s="21">
        <f>100*(S115-S114)</f>
        <v/>
      </c>
      <c r="T249" s="21">
        <f>100*(T115-T114)</f>
        <v/>
      </c>
      <c r="U249" s="21">
        <f>100*(U115-U114)</f>
        <v/>
      </c>
      <c r="V249" s="21">
        <f>100*(V115-V114)</f>
        <v/>
      </c>
      <c r="W249" s="21">
        <f>100*(W115-W114)</f>
        <v/>
      </c>
      <c r="X249" s="21">
        <f>100*(X115-X114)</f>
        <v/>
      </c>
      <c r="Y249" s="21">
        <f>100*(Y115-Y114)</f>
        <v/>
      </c>
      <c r="Z249" s="21">
        <f>100*(Z115-Z114)</f>
        <v/>
      </c>
      <c r="AA249" s="21">
        <f>100*(AA115-AA114)</f>
        <v/>
      </c>
      <c r="AB249" s="21">
        <f>100*(AB115-AB114)</f>
        <v/>
      </c>
      <c r="AC249" s="21">
        <f>100*(AC115-AC114)</f>
        <v/>
      </c>
      <c r="AD249" s="21">
        <f>100*(AD115-AD114)</f>
        <v/>
      </c>
      <c r="AE249" s="21">
        <f>100*(AE115-AE114)</f>
        <v/>
      </c>
      <c r="AF249" s="21">
        <f>100*(AF115-AF114)</f>
        <v/>
      </c>
      <c r="AG249" s="21">
        <f>100*(AG115-AG114)</f>
        <v/>
      </c>
      <c r="AH249" s="21">
        <f>100*(AH115-AH114)</f>
        <v/>
      </c>
      <c r="AI249" s="21">
        <f>100*(AI115-AI114)</f>
        <v/>
      </c>
      <c r="AJ249" s="21">
        <f>100*(AJ115-AJ114)</f>
        <v/>
      </c>
      <c r="AK249" s="21">
        <f>100*(AK115-AK114)</f>
        <v/>
      </c>
      <c r="AL249" s="21">
        <f>AVERAGE(C249:AK249)</f>
        <v/>
      </c>
    </row>
    <row r="250">
      <c r="A250" s="19">
        <f>A116</f>
        <v/>
      </c>
      <c r="B250" s="20">
        <f>B116</f>
        <v/>
      </c>
      <c r="C250" s="21">
        <f>100*(C116-C115)</f>
        <v/>
      </c>
      <c r="D250" s="21">
        <f>100*(D116-D115)</f>
        <v/>
      </c>
      <c r="E250" s="21">
        <f>100*(E116-E115)</f>
        <v/>
      </c>
      <c r="F250" s="21">
        <f>100*(F116-F115)</f>
        <v/>
      </c>
      <c r="G250" s="21">
        <f>100*(G116-G115)</f>
        <v/>
      </c>
      <c r="H250" s="21">
        <f>100*(H116-H115)</f>
        <v/>
      </c>
      <c r="I250" s="21">
        <f>100*(I116-I115)</f>
        <v/>
      </c>
      <c r="J250" s="21">
        <f>100*(J116-J115)</f>
        <v/>
      </c>
      <c r="K250" s="21">
        <f>100*(K116-K115)</f>
        <v/>
      </c>
      <c r="L250" s="21">
        <f>100*(L116-L115)</f>
        <v/>
      </c>
      <c r="M250" s="21">
        <f>100*(M116-M115)</f>
        <v/>
      </c>
      <c r="N250" s="21">
        <f>100*(N116-N115)</f>
        <v/>
      </c>
      <c r="O250" s="21">
        <f>100*(O116-O115)</f>
        <v/>
      </c>
      <c r="P250" s="21">
        <f>100*(P116-P115)</f>
        <v/>
      </c>
      <c r="Q250" s="21">
        <f>100*(Q116-Q115)</f>
        <v/>
      </c>
      <c r="R250" s="21">
        <f>100*(R116-R115)</f>
        <v/>
      </c>
      <c r="S250" s="21">
        <f>100*(S116-S115)</f>
        <v/>
      </c>
      <c r="T250" s="21">
        <f>100*(T116-T115)</f>
        <v/>
      </c>
      <c r="U250" s="21">
        <f>100*(U116-U115)</f>
        <v/>
      </c>
      <c r="V250" s="21">
        <f>100*(V116-V115)</f>
        <v/>
      </c>
      <c r="W250" s="21">
        <f>100*(W116-W115)</f>
        <v/>
      </c>
      <c r="X250" s="21">
        <f>100*(X116-X115)</f>
        <v/>
      </c>
      <c r="Y250" s="21">
        <f>100*(Y116-Y115)</f>
        <v/>
      </c>
      <c r="Z250" s="21">
        <f>100*(Z116-Z115)</f>
        <v/>
      </c>
      <c r="AA250" s="21">
        <f>100*(AA116-AA115)</f>
        <v/>
      </c>
      <c r="AB250" s="21">
        <f>100*(AB116-AB115)</f>
        <v/>
      </c>
      <c r="AC250" s="21">
        <f>100*(AC116-AC115)</f>
        <v/>
      </c>
      <c r="AD250" s="21">
        <f>100*(AD116-AD115)</f>
        <v/>
      </c>
      <c r="AE250" s="21">
        <f>100*(AE116-AE115)</f>
        <v/>
      </c>
      <c r="AF250" s="21">
        <f>100*(AF116-AF115)</f>
        <v/>
      </c>
      <c r="AG250" s="21">
        <f>100*(AG116-AG115)</f>
        <v/>
      </c>
      <c r="AH250" s="21">
        <f>100*(AH116-AH115)</f>
        <v/>
      </c>
      <c r="AI250" s="21">
        <f>100*(AI116-AI115)</f>
        <v/>
      </c>
      <c r="AJ250" s="21">
        <f>100*(AJ116-AJ115)</f>
        <v/>
      </c>
      <c r="AK250" s="21">
        <f>100*(AK116-AK115)</f>
        <v/>
      </c>
      <c r="AL250" s="21">
        <f>AVERAGE(C250:AK250)</f>
        <v/>
      </c>
    </row>
    <row r="251">
      <c r="A251" s="19">
        <f>A117</f>
        <v/>
      </c>
      <c r="B251" s="20">
        <f>B117</f>
        <v/>
      </c>
      <c r="C251" s="21">
        <f>100*(C117-C116)</f>
        <v/>
      </c>
      <c r="D251" s="21">
        <f>100*(D117-D116)</f>
        <v/>
      </c>
      <c r="E251" s="21">
        <f>100*(E117-E116)</f>
        <v/>
      </c>
      <c r="F251" s="21">
        <f>100*(F117-F116)</f>
        <v/>
      </c>
      <c r="G251" s="21">
        <f>100*(G117-G116)</f>
        <v/>
      </c>
      <c r="H251" s="21">
        <f>100*(H117-H116)</f>
        <v/>
      </c>
      <c r="I251" s="21">
        <f>100*(I117-I116)</f>
        <v/>
      </c>
      <c r="J251" s="21">
        <f>100*(J117-J116)</f>
        <v/>
      </c>
      <c r="K251" s="21">
        <f>100*(K117-K116)</f>
        <v/>
      </c>
      <c r="L251" s="21">
        <f>100*(L117-L116)</f>
        <v/>
      </c>
      <c r="M251" s="21">
        <f>100*(M117-M116)</f>
        <v/>
      </c>
      <c r="N251" s="21">
        <f>100*(N117-N116)</f>
        <v/>
      </c>
      <c r="O251" s="21">
        <f>100*(O117-O116)</f>
        <v/>
      </c>
      <c r="P251" s="21">
        <f>100*(P117-P116)</f>
        <v/>
      </c>
      <c r="Q251" s="21">
        <f>100*(Q117-Q116)</f>
        <v/>
      </c>
      <c r="R251" s="21">
        <f>100*(R117-R116)</f>
        <v/>
      </c>
      <c r="S251" s="21">
        <f>100*(S117-S116)</f>
        <v/>
      </c>
      <c r="T251" s="21">
        <f>100*(T117-T116)</f>
        <v/>
      </c>
      <c r="U251" s="21">
        <f>100*(U117-U116)</f>
        <v/>
      </c>
      <c r="V251" s="21">
        <f>100*(V117-V116)</f>
        <v/>
      </c>
      <c r="W251" s="21">
        <f>100*(W117-W116)</f>
        <v/>
      </c>
      <c r="X251" s="21">
        <f>100*(X117-X116)</f>
        <v/>
      </c>
      <c r="Y251" s="21">
        <f>100*(Y117-Y116)</f>
        <v/>
      </c>
      <c r="Z251" s="21">
        <f>100*(Z117-Z116)</f>
        <v/>
      </c>
      <c r="AA251" s="21">
        <f>100*(AA117-AA116)</f>
        <v/>
      </c>
      <c r="AB251" s="21">
        <f>100*(AB117-AB116)</f>
        <v/>
      </c>
      <c r="AC251" s="21">
        <f>100*(AC117-AC116)</f>
        <v/>
      </c>
      <c r="AD251" s="21">
        <f>100*(AD117-AD116)</f>
        <v/>
      </c>
      <c r="AE251" s="21">
        <f>100*(AE117-AE116)</f>
        <v/>
      </c>
      <c r="AF251" s="21">
        <f>100*(AF117-AF116)</f>
        <v/>
      </c>
      <c r="AG251" s="21">
        <f>100*(AG117-AG116)</f>
        <v/>
      </c>
      <c r="AH251" s="21">
        <f>100*(AH117-AH116)</f>
        <v/>
      </c>
      <c r="AI251" s="21">
        <f>100*(AI117-AI116)</f>
        <v/>
      </c>
      <c r="AJ251" s="21">
        <f>100*(AJ117-AJ116)</f>
        <v/>
      </c>
      <c r="AK251" s="21">
        <f>100*(AK117-AK116)</f>
        <v/>
      </c>
      <c r="AL251" s="21">
        <f>AVERAGE(C251:AK251)</f>
        <v/>
      </c>
    </row>
    <row r="252">
      <c r="A252" s="19">
        <f>A118</f>
        <v/>
      </c>
      <c r="B252" s="20">
        <f>B118</f>
        <v/>
      </c>
      <c r="C252" s="21">
        <f>100*(C118-C117)</f>
        <v/>
      </c>
      <c r="D252" s="21">
        <f>100*(D118-D117)</f>
        <v/>
      </c>
      <c r="E252" s="21">
        <f>100*(E118-E117)</f>
        <v/>
      </c>
      <c r="F252" s="21">
        <f>100*(F118-F117)</f>
        <v/>
      </c>
      <c r="G252" s="21">
        <f>100*(G118-G117)</f>
        <v/>
      </c>
      <c r="H252" s="21">
        <f>100*(H118-H117)</f>
        <v/>
      </c>
      <c r="I252" s="21">
        <f>100*(I118-I117)</f>
        <v/>
      </c>
      <c r="J252" s="21">
        <f>100*(J118-J117)</f>
        <v/>
      </c>
      <c r="K252" s="21">
        <f>100*(K118-K117)</f>
        <v/>
      </c>
      <c r="L252" s="21">
        <f>100*(L118-L117)</f>
        <v/>
      </c>
      <c r="M252" s="21">
        <f>100*(M118-M117)</f>
        <v/>
      </c>
      <c r="N252" s="21">
        <f>100*(N118-N117)</f>
        <v/>
      </c>
      <c r="O252" s="21">
        <f>100*(O118-O117)</f>
        <v/>
      </c>
      <c r="P252" s="21">
        <f>100*(P118-P117)</f>
        <v/>
      </c>
      <c r="Q252" s="21">
        <f>100*(Q118-Q117)</f>
        <v/>
      </c>
      <c r="R252" s="21">
        <f>100*(R118-R117)</f>
        <v/>
      </c>
      <c r="S252" s="21">
        <f>100*(S118-S117)</f>
        <v/>
      </c>
      <c r="T252" s="21">
        <f>100*(T118-T117)</f>
        <v/>
      </c>
      <c r="U252" s="21">
        <f>100*(U118-U117)</f>
        <v/>
      </c>
      <c r="V252" s="21">
        <f>100*(V118-V117)</f>
        <v/>
      </c>
      <c r="W252" s="21">
        <f>100*(W118-W117)</f>
        <v/>
      </c>
      <c r="X252" s="21">
        <f>100*(X118-X117)</f>
        <v/>
      </c>
      <c r="Y252" s="21">
        <f>100*(Y118-Y117)</f>
        <v/>
      </c>
      <c r="Z252" s="21">
        <f>100*(Z118-Z117)</f>
        <v/>
      </c>
      <c r="AA252" s="21">
        <f>100*(AA118-AA117)</f>
        <v/>
      </c>
      <c r="AB252" s="21">
        <f>100*(AB118-AB117)</f>
        <v/>
      </c>
      <c r="AC252" s="21">
        <f>100*(AC118-AC117)</f>
        <v/>
      </c>
      <c r="AD252" s="21">
        <f>100*(AD118-AD117)</f>
        <v/>
      </c>
      <c r="AE252" s="21">
        <f>100*(AE118-AE117)</f>
        <v/>
      </c>
      <c r="AF252" s="21">
        <f>100*(AF118-AF117)</f>
        <v/>
      </c>
      <c r="AG252" s="21">
        <f>100*(AG118-AG117)</f>
        <v/>
      </c>
      <c r="AH252" s="21">
        <f>100*(AH118-AH117)</f>
        <v/>
      </c>
      <c r="AI252" s="21">
        <f>100*(AI118-AI117)</f>
        <v/>
      </c>
      <c r="AJ252" s="21">
        <f>100*(AJ118-AJ117)</f>
        <v/>
      </c>
      <c r="AK252" s="21">
        <f>100*(AK118-AK117)</f>
        <v/>
      </c>
      <c r="AL252" s="21">
        <f>AVERAGE(C252:AK252)</f>
        <v/>
      </c>
    </row>
    <row r="253">
      <c r="A253" s="19">
        <f>A119</f>
        <v/>
      </c>
      <c r="B253" s="20">
        <f>B119</f>
        <v/>
      </c>
      <c r="C253" s="21">
        <f>100*(C119-C118)</f>
        <v/>
      </c>
      <c r="D253" s="21">
        <f>100*(D119-D118)</f>
        <v/>
      </c>
      <c r="E253" s="21">
        <f>100*(E119-E118)</f>
        <v/>
      </c>
      <c r="F253" s="21">
        <f>100*(F119-F118)</f>
        <v/>
      </c>
      <c r="G253" s="21">
        <f>100*(G119-G118)</f>
        <v/>
      </c>
      <c r="H253" s="21">
        <f>100*(H119-H118)</f>
        <v/>
      </c>
      <c r="I253" s="21">
        <f>100*(I119-I118)</f>
        <v/>
      </c>
      <c r="J253" s="21">
        <f>100*(J119-J118)</f>
        <v/>
      </c>
      <c r="K253" s="21">
        <f>100*(K119-K118)</f>
        <v/>
      </c>
      <c r="L253" s="21">
        <f>100*(L119-L118)</f>
        <v/>
      </c>
      <c r="M253" s="21">
        <f>100*(M119-M118)</f>
        <v/>
      </c>
      <c r="N253" s="21">
        <f>100*(N119-N118)</f>
        <v/>
      </c>
      <c r="O253" s="21">
        <f>100*(O119-O118)</f>
        <v/>
      </c>
      <c r="P253" s="21">
        <f>100*(P119-P118)</f>
        <v/>
      </c>
      <c r="Q253" s="21">
        <f>100*(Q119-Q118)</f>
        <v/>
      </c>
      <c r="R253" s="21">
        <f>100*(R119-R118)</f>
        <v/>
      </c>
      <c r="S253" s="21">
        <f>100*(S119-S118)</f>
        <v/>
      </c>
      <c r="T253" s="21">
        <f>100*(T119-T118)</f>
        <v/>
      </c>
      <c r="U253" s="21">
        <f>100*(U119-U118)</f>
        <v/>
      </c>
      <c r="V253" s="21">
        <f>100*(V119-V118)</f>
        <v/>
      </c>
      <c r="W253" s="21">
        <f>100*(W119-W118)</f>
        <v/>
      </c>
      <c r="X253" s="21">
        <f>100*(X119-X118)</f>
        <v/>
      </c>
      <c r="Y253" s="21">
        <f>100*(Y119-Y118)</f>
        <v/>
      </c>
      <c r="Z253" s="21">
        <f>100*(Z119-Z118)</f>
        <v/>
      </c>
      <c r="AA253" s="21">
        <f>100*(AA119-AA118)</f>
        <v/>
      </c>
      <c r="AB253" s="21">
        <f>100*(AB119-AB118)</f>
        <v/>
      </c>
      <c r="AC253" s="21">
        <f>100*(AC119-AC118)</f>
        <v/>
      </c>
      <c r="AD253" s="21">
        <f>100*(AD119-AD118)</f>
        <v/>
      </c>
      <c r="AE253" s="21">
        <f>100*(AE119-AE118)</f>
        <v/>
      </c>
      <c r="AF253" s="21">
        <f>100*(AF119-AF118)</f>
        <v/>
      </c>
      <c r="AG253" s="21">
        <f>100*(AG119-AG118)</f>
        <v/>
      </c>
      <c r="AH253" s="21">
        <f>100*(AH119-AH118)</f>
        <v/>
      </c>
      <c r="AI253" s="21">
        <f>100*(AI119-AI118)</f>
        <v/>
      </c>
      <c r="AJ253" s="21">
        <f>100*(AJ119-AJ118)</f>
        <v/>
      </c>
      <c r="AK253" s="21">
        <f>100*(AK119-AK118)</f>
        <v/>
      </c>
      <c r="AL253" s="21">
        <f>AVERAGE(C253:AK253)</f>
        <v/>
      </c>
    </row>
    <row r="254">
      <c r="A254" s="19">
        <f>A120</f>
        <v/>
      </c>
      <c r="B254" s="20">
        <f>B120</f>
        <v/>
      </c>
      <c r="C254" s="21">
        <f>100*(C120-C119)</f>
        <v/>
      </c>
      <c r="D254" s="21">
        <f>100*(D120-D119)</f>
        <v/>
      </c>
      <c r="E254" s="21">
        <f>100*(E120-E119)</f>
        <v/>
      </c>
      <c r="F254" s="21">
        <f>100*(F120-F119)</f>
        <v/>
      </c>
      <c r="G254" s="21">
        <f>100*(G120-G119)</f>
        <v/>
      </c>
      <c r="H254" s="21">
        <f>100*(H120-H119)</f>
        <v/>
      </c>
      <c r="I254" s="21">
        <f>100*(I120-I119)</f>
        <v/>
      </c>
      <c r="J254" s="21">
        <f>100*(J120-J119)</f>
        <v/>
      </c>
      <c r="K254" s="21">
        <f>100*(K120-K119)</f>
        <v/>
      </c>
      <c r="L254" s="21">
        <f>100*(L120-L119)</f>
        <v/>
      </c>
      <c r="M254" s="21">
        <f>100*(M120-M119)</f>
        <v/>
      </c>
      <c r="N254" s="21">
        <f>100*(N120-N119)</f>
        <v/>
      </c>
      <c r="O254" s="21">
        <f>100*(O120-O119)</f>
        <v/>
      </c>
      <c r="P254" s="21">
        <f>100*(P120-P119)</f>
        <v/>
      </c>
      <c r="Q254" s="21">
        <f>100*(Q120-Q119)</f>
        <v/>
      </c>
      <c r="R254" s="21">
        <f>100*(R120-R119)</f>
        <v/>
      </c>
      <c r="S254" s="21">
        <f>100*(S120-S119)</f>
        <v/>
      </c>
      <c r="T254" s="21">
        <f>100*(T120-T119)</f>
        <v/>
      </c>
      <c r="U254" s="21">
        <f>100*(U120-U119)</f>
        <v/>
      </c>
      <c r="V254" s="21">
        <f>100*(V120-V119)</f>
        <v/>
      </c>
      <c r="W254" s="21">
        <f>100*(W120-W119)</f>
        <v/>
      </c>
      <c r="X254" s="21">
        <f>100*(X120-X119)</f>
        <v/>
      </c>
      <c r="Y254" s="21">
        <f>100*(Y120-Y119)</f>
        <v/>
      </c>
      <c r="Z254" s="21">
        <f>100*(Z120-Z119)</f>
        <v/>
      </c>
      <c r="AA254" s="21">
        <f>100*(AA120-AA119)</f>
        <v/>
      </c>
      <c r="AB254" s="21">
        <f>100*(AB120-AB119)</f>
        <v/>
      </c>
      <c r="AC254" s="21">
        <f>100*(AC120-AC119)</f>
        <v/>
      </c>
      <c r="AD254" s="21">
        <f>100*(AD120-AD119)</f>
        <v/>
      </c>
      <c r="AE254" s="21">
        <f>100*(AE120-AE119)</f>
        <v/>
      </c>
      <c r="AF254" s="21">
        <f>100*(AF120-AF119)</f>
        <v/>
      </c>
      <c r="AG254" s="21">
        <f>100*(AG120-AG119)</f>
        <v/>
      </c>
      <c r="AH254" s="21">
        <f>100*(AH120-AH119)</f>
        <v/>
      </c>
      <c r="AI254" s="21">
        <f>100*(AI120-AI119)</f>
        <v/>
      </c>
      <c r="AJ254" s="21">
        <f>100*(AJ120-AJ119)</f>
        <v/>
      </c>
      <c r="AK254" s="21">
        <f>100*(AK120-AK119)</f>
        <v/>
      </c>
      <c r="AL254" s="21">
        <f>AVERAGE(C254:AK254)</f>
        <v/>
      </c>
    </row>
    <row r="255">
      <c r="A255" s="19">
        <f>A121</f>
        <v/>
      </c>
      <c r="B255" s="20">
        <f>B121</f>
        <v/>
      </c>
      <c r="C255" s="21">
        <f>100*(C121-C120)</f>
        <v/>
      </c>
      <c r="D255" s="21">
        <f>100*(D121-D120)</f>
        <v/>
      </c>
      <c r="E255" s="21">
        <f>100*(E121-E120)</f>
        <v/>
      </c>
      <c r="F255" s="21">
        <f>100*(F121-F120)</f>
        <v/>
      </c>
      <c r="G255" s="21">
        <f>100*(G121-G120)</f>
        <v/>
      </c>
      <c r="H255" s="21">
        <f>100*(H121-H120)</f>
        <v/>
      </c>
      <c r="I255" s="21">
        <f>100*(I121-I120)</f>
        <v/>
      </c>
      <c r="J255" s="21">
        <f>100*(J121-J120)</f>
        <v/>
      </c>
      <c r="K255" s="21">
        <f>100*(K121-K120)</f>
        <v/>
      </c>
      <c r="L255" s="21">
        <f>100*(L121-L120)</f>
        <v/>
      </c>
      <c r="M255" s="21">
        <f>100*(M121-M120)</f>
        <v/>
      </c>
      <c r="N255" s="21">
        <f>100*(N121-N120)</f>
        <v/>
      </c>
      <c r="O255" s="21">
        <f>100*(O121-O120)</f>
        <v/>
      </c>
      <c r="P255" s="21">
        <f>100*(P121-P120)</f>
        <v/>
      </c>
      <c r="Q255" s="21">
        <f>100*(Q121-Q120)</f>
        <v/>
      </c>
      <c r="R255" s="21">
        <f>100*(R121-R120)</f>
        <v/>
      </c>
      <c r="S255" s="21">
        <f>100*(S121-S120)</f>
        <v/>
      </c>
      <c r="T255" s="21">
        <f>100*(T121-T120)</f>
        <v/>
      </c>
      <c r="U255" s="21">
        <f>100*(U121-U120)</f>
        <v/>
      </c>
      <c r="V255" s="21">
        <f>100*(V121-V120)</f>
        <v/>
      </c>
      <c r="W255" s="21">
        <f>100*(W121-W120)</f>
        <v/>
      </c>
      <c r="X255" s="21">
        <f>100*(X121-X120)</f>
        <v/>
      </c>
      <c r="Y255" s="21">
        <f>100*(Y121-Y120)</f>
        <v/>
      </c>
      <c r="Z255" s="21">
        <f>100*(Z121-Z120)</f>
        <v/>
      </c>
      <c r="AA255" s="21">
        <f>100*(AA121-AA120)</f>
        <v/>
      </c>
      <c r="AB255" s="21">
        <f>100*(AB121-AB120)</f>
        <v/>
      </c>
      <c r="AC255" s="21">
        <f>100*(AC121-AC120)</f>
        <v/>
      </c>
      <c r="AD255" s="21">
        <f>100*(AD121-AD120)</f>
        <v/>
      </c>
      <c r="AE255" s="21">
        <f>100*(AE121-AE120)</f>
        <v/>
      </c>
      <c r="AF255" s="21">
        <f>100*(AF121-AF120)</f>
        <v/>
      </c>
      <c r="AG255" s="21">
        <f>100*(AG121-AG120)</f>
        <v/>
      </c>
      <c r="AH255" s="21">
        <f>100*(AH121-AH120)</f>
        <v/>
      </c>
      <c r="AI255" s="21">
        <f>100*(AI121-AI120)</f>
        <v/>
      </c>
      <c r="AJ255" s="21">
        <f>100*(AJ121-AJ120)</f>
        <v/>
      </c>
      <c r="AK255" s="21">
        <f>100*(AK121-AK120)</f>
        <v/>
      </c>
      <c r="AL255" s="21">
        <f>AVERAGE(C255:AK255)</f>
        <v/>
      </c>
    </row>
    <row r="256">
      <c r="A256" s="19">
        <f>A122</f>
        <v/>
      </c>
      <c r="B256" s="20">
        <f>B122</f>
        <v/>
      </c>
      <c r="C256" s="21">
        <f>100*(C122-C121)</f>
        <v/>
      </c>
      <c r="D256" s="21">
        <f>100*(D122-D121)</f>
        <v/>
      </c>
      <c r="E256" s="21">
        <f>100*(E122-E121)</f>
        <v/>
      </c>
      <c r="F256" s="21">
        <f>100*(F122-F121)</f>
        <v/>
      </c>
      <c r="G256" s="21">
        <f>100*(G122-G121)</f>
        <v/>
      </c>
      <c r="H256" s="21">
        <f>100*(H122-H121)</f>
        <v/>
      </c>
      <c r="I256" s="21">
        <f>100*(I122-I121)</f>
        <v/>
      </c>
      <c r="J256" s="21">
        <f>100*(J122-J121)</f>
        <v/>
      </c>
      <c r="K256" s="21">
        <f>100*(K122-K121)</f>
        <v/>
      </c>
      <c r="L256" s="21">
        <f>100*(L122-L121)</f>
        <v/>
      </c>
      <c r="M256" s="21">
        <f>100*(M122-M121)</f>
        <v/>
      </c>
      <c r="N256" s="21">
        <f>100*(N122-N121)</f>
        <v/>
      </c>
      <c r="O256" s="21">
        <f>100*(O122-O121)</f>
        <v/>
      </c>
      <c r="P256" s="21">
        <f>100*(P122-P121)</f>
        <v/>
      </c>
      <c r="Q256" s="21">
        <f>100*(Q122-Q121)</f>
        <v/>
      </c>
      <c r="R256" s="21">
        <f>100*(R122-R121)</f>
        <v/>
      </c>
      <c r="S256" s="21">
        <f>100*(S122-S121)</f>
        <v/>
      </c>
      <c r="T256" s="21">
        <f>100*(T122-T121)</f>
        <v/>
      </c>
      <c r="U256" s="21">
        <f>100*(U122-U121)</f>
        <v/>
      </c>
      <c r="V256" s="21">
        <f>100*(V122-V121)</f>
        <v/>
      </c>
      <c r="W256" s="21">
        <f>100*(W122-W121)</f>
        <v/>
      </c>
      <c r="X256" s="21">
        <f>100*(X122-X121)</f>
        <v/>
      </c>
      <c r="Y256" s="21">
        <f>100*(Y122-Y121)</f>
        <v/>
      </c>
      <c r="Z256" s="21">
        <f>100*(Z122-Z121)</f>
        <v/>
      </c>
      <c r="AA256" s="21">
        <f>100*(AA122-AA121)</f>
        <v/>
      </c>
      <c r="AB256" s="21">
        <f>100*(AB122-AB121)</f>
        <v/>
      </c>
      <c r="AC256" s="21">
        <f>100*(AC122-AC121)</f>
        <v/>
      </c>
      <c r="AD256" s="21">
        <f>100*(AD122-AD121)</f>
        <v/>
      </c>
      <c r="AE256" s="21">
        <f>100*(AE122-AE121)</f>
        <v/>
      </c>
      <c r="AF256" s="21">
        <f>100*(AF122-AF121)</f>
        <v/>
      </c>
      <c r="AG256" s="21">
        <f>100*(AG122-AG121)</f>
        <v/>
      </c>
      <c r="AH256" s="21">
        <f>100*(AH122-AH121)</f>
        <v/>
      </c>
      <c r="AI256" s="21">
        <f>100*(AI122-AI121)</f>
        <v/>
      </c>
      <c r="AJ256" s="21">
        <f>100*(AJ122-AJ121)</f>
        <v/>
      </c>
      <c r="AK256" s="21">
        <f>100*(AK122-AK121)</f>
        <v/>
      </c>
      <c r="AL256" s="21">
        <f>AVERAGE(C256:AK256)</f>
        <v/>
      </c>
    </row>
    <row r="257">
      <c r="A257" s="19">
        <f>A123</f>
        <v/>
      </c>
      <c r="B257" s="20">
        <f>B123</f>
        <v/>
      </c>
      <c r="C257" s="21">
        <f>100*(C123-C122)</f>
        <v/>
      </c>
      <c r="D257" s="21">
        <f>100*(D123-D122)</f>
        <v/>
      </c>
      <c r="E257" s="21">
        <f>100*(E123-E122)</f>
        <v/>
      </c>
      <c r="F257" s="21">
        <f>100*(F123-F122)</f>
        <v/>
      </c>
      <c r="G257" s="21">
        <f>100*(G123-G122)</f>
        <v/>
      </c>
      <c r="H257" s="21">
        <f>100*(H123-H122)</f>
        <v/>
      </c>
      <c r="I257" s="21">
        <f>100*(I123-I122)</f>
        <v/>
      </c>
      <c r="J257" s="21">
        <f>100*(J123-J122)</f>
        <v/>
      </c>
      <c r="K257" s="21">
        <f>100*(K123-K122)</f>
        <v/>
      </c>
      <c r="L257" s="21">
        <f>100*(L123-L122)</f>
        <v/>
      </c>
      <c r="M257" s="21">
        <f>100*(M123-M122)</f>
        <v/>
      </c>
      <c r="N257" s="21">
        <f>100*(N123-N122)</f>
        <v/>
      </c>
      <c r="O257" s="21">
        <f>100*(O123-O122)</f>
        <v/>
      </c>
      <c r="P257" s="21">
        <f>100*(P123-P122)</f>
        <v/>
      </c>
      <c r="Q257" s="21">
        <f>100*(Q123-Q122)</f>
        <v/>
      </c>
      <c r="R257" s="21">
        <f>100*(R123-R122)</f>
        <v/>
      </c>
      <c r="S257" s="21">
        <f>100*(S123-S122)</f>
        <v/>
      </c>
      <c r="T257" s="21">
        <f>100*(T123-T122)</f>
        <v/>
      </c>
      <c r="U257" s="21">
        <f>100*(U123-U122)</f>
        <v/>
      </c>
      <c r="V257" s="21">
        <f>100*(V123-V122)</f>
        <v/>
      </c>
      <c r="W257" s="21">
        <f>100*(W123-W122)</f>
        <v/>
      </c>
      <c r="X257" s="21">
        <f>100*(X123-X122)</f>
        <v/>
      </c>
      <c r="Y257" s="21">
        <f>100*(Y123-Y122)</f>
        <v/>
      </c>
      <c r="Z257" s="21">
        <f>100*(Z123-Z122)</f>
        <v/>
      </c>
      <c r="AA257" s="21">
        <f>100*(AA123-AA122)</f>
        <v/>
      </c>
      <c r="AB257" s="21">
        <f>100*(AB123-AB122)</f>
        <v/>
      </c>
      <c r="AC257" s="21">
        <f>100*(AC123-AC122)</f>
        <v/>
      </c>
      <c r="AD257" s="21">
        <f>100*(AD123-AD122)</f>
        <v/>
      </c>
      <c r="AE257" s="21">
        <f>100*(AE123-AE122)</f>
        <v/>
      </c>
      <c r="AF257" s="21">
        <f>100*(AF123-AF122)</f>
        <v/>
      </c>
      <c r="AG257" s="21">
        <f>100*(AG123-AG122)</f>
        <v/>
      </c>
      <c r="AH257" s="21">
        <f>100*(AH123-AH122)</f>
        <v/>
      </c>
      <c r="AI257" s="21">
        <f>100*(AI123-AI122)</f>
        <v/>
      </c>
      <c r="AJ257" s="21">
        <f>100*(AJ123-AJ122)</f>
        <v/>
      </c>
      <c r="AK257" s="21">
        <f>100*(AK123-AK122)</f>
        <v/>
      </c>
      <c r="AL257" s="21">
        <f>AVERAGE(C257:AK257)</f>
        <v/>
      </c>
    </row>
    <row r="258">
      <c r="A258" s="19">
        <f>A124</f>
        <v/>
      </c>
      <c r="B258" s="20">
        <f>B124</f>
        <v/>
      </c>
      <c r="C258" s="21">
        <f>100*(C124-C123)</f>
        <v/>
      </c>
      <c r="D258" s="21">
        <f>100*(D124-D123)</f>
        <v/>
      </c>
      <c r="E258" s="21">
        <f>100*(E124-E123)</f>
        <v/>
      </c>
      <c r="F258" s="21">
        <f>100*(F124-F123)</f>
        <v/>
      </c>
      <c r="G258" s="21">
        <f>100*(G124-G123)</f>
        <v/>
      </c>
      <c r="H258" s="21">
        <f>100*(H124-H123)</f>
        <v/>
      </c>
      <c r="I258" s="21">
        <f>100*(I124-I123)</f>
        <v/>
      </c>
      <c r="J258" s="21">
        <f>100*(J124-J123)</f>
        <v/>
      </c>
      <c r="K258" s="21">
        <f>100*(K124-K123)</f>
        <v/>
      </c>
      <c r="L258" s="21">
        <f>100*(L124-L123)</f>
        <v/>
      </c>
      <c r="M258" s="21">
        <f>100*(M124-M123)</f>
        <v/>
      </c>
      <c r="N258" s="21">
        <f>100*(N124-N123)</f>
        <v/>
      </c>
      <c r="O258" s="21">
        <f>100*(O124-O123)</f>
        <v/>
      </c>
      <c r="P258" s="21">
        <f>100*(P124-P123)</f>
        <v/>
      </c>
      <c r="Q258" s="21">
        <f>100*(Q124-Q123)</f>
        <v/>
      </c>
      <c r="R258" s="21">
        <f>100*(R124-R123)</f>
        <v/>
      </c>
      <c r="S258" s="21">
        <f>100*(S124-S123)</f>
        <v/>
      </c>
      <c r="T258" s="21">
        <f>100*(T124-T123)</f>
        <v/>
      </c>
      <c r="U258" s="21">
        <f>100*(U124-U123)</f>
        <v/>
      </c>
      <c r="V258" s="21">
        <f>100*(V124-V123)</f>
        <v/>
      </c>
      <c r="W258" s="21">
        <f>100*(W124-W123)</f>
        <v/>
      </c>
      <c r="X258" s="21">
        <f>100*(X124-X123)</f>
        <v/>
      </c>
      <c r="Y258" s="21">
        <f>100*(Y124-Y123)</f>
        <v/>
      </c>
      <c r="Z258" s="21">
        <f>100*(Z124-Z123)</f>
        <v/>
      </c>
      <c r="AA258" s="21">
        <f>100*(AA124-AA123)</f>
        <v/>
      </c>
      <c r="AB258" s="21">
        <f>100*(AB124-AB123)</f>
        <v/>
      </c>
      <c r="AC258" s="21">
        <f>100*(AC124-AC123)</f>
        <v/>
      </c>
      <c r="AD258" s="21">
        <f>100*(AD124-AD123)</f>
        <v/>
      </c>
      <c r="AE258" s="21">
        <f>100*(AE124-AE123)</f>
        <v/>
      </c>
      <c r="AF258" s="21">
        <f>100*(AF124-AF123)</f>
        <v/>
      </c>
      <c r="AG258" s="21">
        <f>100*(AG124-AG123)</f>
        <v/>
      </c>
      <c r="AH258" s="21">
        <f>100*(AH124-AH123)</f>
        <v/>
      </c>
      <c r="AI258" s="21">
        <f>100*(AI124-AI123)</f>
        <v/>
      </c>
      <c r="AJ258" s="21">
        <f>100*(AJ124-AJ123)</f>
        <v/>
      </c>
      <c r="AK258" s="21">
        <f>100*(AK124-AK123)</f>
        <v/>
      </c>
      <c r="AL258" s="21">
        <f>AVERAGE(C258:AK258)</f>
        <v/>
      </c>
    </row>
    <row r="259">
      <c r="A259" s="19">
        <f>A125</f>
        <v/>
      </c>
      <c r="B259" s="20">
        <f>B125</f>
        <v/>
      </c>
      <c r="C259" s="21">
        <f>100*(C125-C124)</f>
        <v/>
      </c>
      <c r="D259" s="21">
        <f>100*(D125-D124)</f>
        <v/>
      </c>
      <c r="E259" s="21">
        <f>100*(E125-E124)</f>
        <v/>
      </c>
      <c r="F259" s="21">
        <f>100*(F125-F124)</f>
        <v/>
      </c>
      <c r="G259" s="21">
        <f>100*(G125-G124)</f>
        <v/>
      </c>
      <c r="H259" s="21">
        <f>100*(H125-H124)</f>
        <v/>
      </c>
      <c r="I259" s="21">
        <f>100*(I125-I124)</f>
        <v/>
      </c>
      <c r="J259" s="21">
        <f>100*(J125-J124)</f>
        <v/>
      </c>
      <c r="K259" s="21">
        <f>100*(K125-K124)</f>
        <v/>
      </c>
      <c r="L259" s="21">
        <f>100*(L125-L124)</f>
        <v/>
      </c>
      <c r="M259" s="21">
        <f>100*(M125-M124)</f>
        <v/>
      </c>
      <c r="N259" s="21">
        <f>100*(N125-N124)</f>
        <v/>
      </c>
      <c r="O259" s="21">
        <f>100*(O125-O124)</f>
        <v/>
      </c>
      <c r="P259" s="21">
        <f>100*(P125-P124)</f>
        <v/>
      </c>
      <c r="Q259" s="21">
        <f>100*(Q125-Q124)</f>
        <v/>
      </c>
      <c r="R259" s="21">
        <f>100*(R125-R124)</f>
        <v/>
      </c>
      <c r="S259" s="21">
        <f>100*(S125-S124)</f>
        <v/>
      </c>
      <c r="T259" s="21">
        <f>100*(T125-T124)</f>
        <v/>
      </c>
      <c r="U259" s="21">
        <f>100*(U125-U124)</f>
        <v/>
      </c>
      <c r="V259" s="21">
        <f>100*(V125-V124)</f>
        <v/>
      </c>
      <c r="W259" s="21">
        <f>100*(W125-W124)</f>
        <v/>
      </c>
      <c r="X259" s="21">
        <f>100*(X125-X124)</f>
        <v/>
      </c>
      <c r="Y259" s="21">
        <f>100*(Y125-Y124)</f>
        <v/>
      </c>
      <c r="Z259" s="21">
        <f>100*(Z125-Z124)</f>
        <v/>
      </c>
      <c r="AA259" s="21">
        <f>100*(AA125-AA124)</f>
        <v/>
      </c>
      <c r="AB259" s="21">
        <f>100*(AB125-AB124)</f>
        <v/>
      </c>
      <c r="AC259" s="21">
        <f>100*(AC125-AC124)</f>
        <v/>
      </c>
      <c r="AD259" s="21">
        <f>100*(AD125-AD124)</f>
        <v/>
      </c>
      <c r="AE259" s="21">
        <f>100*(AE125-AE124)</f>
        <v/>
      </c>
      <c r="AF259" s="21">
        <f>100*(AF125-AF124)</f>
        <v/>
      </c>
      <c r="AG259" s="21">
        <f>100*(AG125-AG124)</f>
        <v/>
      </c>
      <c r="AH259" s="21">
        <f>100*(AH125-AH124)</f>
        <v/>
      </c>
      <c r="AI259" s="21">
        <f>100*(AI125-AI124)</f>
        <v/>
      </c>
      <c r="AJ259" s="21">
        <f>100*(AJ125-AJ124)</f>
        <v/>
      </c>
      <c r="AK259" s="21">
        <f>100*(AK125-AK124)</f>
        <v/>
      </c>
      <c r="AL259" s="21">
        <f>AVERAGE(C259:AK259)</f>
        <v/>
      </c>
    </row>
    <row r="260">
      <c r="A260" s="19">
        <f>A126</f>
        <v/>
      </c>
      <c r="B260" s="20">
        <f>B126</f>
        <v/>
      </c>
      <c r="C260" s="21">
        <f>100*(C126-C125)</f>
        <v/>
      </c>
      <c r="D260" s="21">
        <f>100*(D126-D125)</f>
        <v/>
      </c>
      <c r="E260" s="21">
        <f>100*(E126-E125)</f>
        <v/>
      </c>
      <c r="F260" s="21">
        <f>100*(F126-F125)</f>
        <v/>
      </c>
      <c r="G260" s="21">
        <f>100*(G126-G125)</f>
        <v/>
      </c>
      <c r="H260" s="21">
        <f>100*(H126-H125)</f>
        <v/>
      </c>
      <c r="I260" s="21">
        <f>100*(I126-I125)</f>
        <v/>
      </c>
      <c r="J260" s="21">
        <f>100*(J126-J125)</f>
        <v/>
      </c>
      <c r="K260" s="21">
        <f>100*(K126-K125)</f>
        <v/>
      </c>
      <c r="L260" s="21">
        <f>100*(L126-L125)</f>
        <v/>
      </c>
      <c r="M260" s="21">
        <f>100*(M126-M125)</f>
        <v/>
      </c>
      <c r="N260" s="21">
        <f>100*(N126-N125)</f>
        <v/>
      </c>
      <c r="O260" s="21">
        <f>100*(O126-O125)</f>
        <v/>
      </c>
      <c r="P260" s="21">
        <f>100*(P126-P125)</f>
        <v/>
      </c>
      <c r="Q260" s="21">
        <f>100*(Q126-Q125)</f>
        <v/>
      </c>
      <c r="R260" s="21">
        <f>100*(R126-R125)</f>
        <v/>
      </c>
      <c r="S260" s="21">
        <f>100*(S126-S125)</f>
        <v/>
      </c>
      <c r="T260" s="21">
        <f>100*(T126-T125)</f>
        <v/>
      </c>
      <c r="U260" s="21">
        <f>100*(U126-U125)</f>
        <v/>
      </c>
      <c r="V260" s="21">
        <f>100*(V126-V125)</f>
        <v/>
      </c>
      <c r="W260" s="21">
        <f>100*(W126-W125)</f>
        <v/>
      </c>
      <c r="X260" s="21">
        <f>100*(X126-X125)</f>
        <v/>
      </c>
      <c r="Y260" s="21">
        <f>100*(Y126-Y125)</f>
        <v/>
      </c>
      <c r="Z260" s="21">
        <f>100*(Z126-Z125)</f>
        <v/>
      </c>
      <c r="AA260" s="21">
        <f>100*(AA126-AA125)</f>
        <v/>
      </c>
      <c r="AB260" s="21">
        <f>100*(AB126-AB125)</f>
        <v/>
      </c>
      <c r="AC260" s="21">
        <f>100*(AC126-AC125)</f>
        <v/>
      </c>
      <c r="AD260" s="21">
        <f>100*(AD126-AD125)</f>
        <v/>
      </c>
      <c r="AE260" s="21">
        <f>100*(AE126-AE125)</f>
        <v/>
      </c>
      <c r="AF260" s="21">
        <f>100*(AF126-AF125)</f>
        <v/>
      </c>
      <c r="AG260" s="21">
        <f>100*(AG126-AG125)</f>
        <v/>
      </c>
      <c r="AH260" s="21">
        <f>100*(AH126-AH125)</f>
        <v/>
      </c>
      <c r="AI260" s="21">
        <f>100*(AI126-AI125)</f>
        <v/>
      </c>
      <c r="AJ260" s="21">
        <f>100*(AJ126-AJ125)</f>
        <v/>
      </c>
      <c r="AK260" s="21">
        <f>100*(AK126-AK125)</f>
        <v/>
      </c>
      <c r="AL260" s="21">
        <f>AVERAGE(C260:AK260)</f>
        <v/>
      </c>
    </row>
    <row r="261">
      <c r="A261" s="19">
        <f>A127</f>
        <v/>
      </c>
      <c r="B261" s="20">
        <f>B127</f>
        <v/>
      </c>
      <c r="C261" s="21">
        <f>100*(C127-C126)</f>
        <v/>
      </c>
      <c r="D261" s="21">
        <f>100*(D127-D126)</f>
        <v/>
      </c>
      <c r="E261" s="21">
        <f>100*(E127-E126)</f>
        <v/>
      </c>
      <c r="F261" s="21">
        <f>100*(F127-F126)</f>
        <v/>
      </c>
      <c r="G261" s="21">
        <f>100*(G127-G126)</f>
        <v/>
      </c>
      <c r="H261" s="21">
        <f>100*(H127-H126)</f>
        <v/>
      </c>
      <c r="I261" s="21">
        <f>100*(I127-I126)</f>
        <v/>
      </c>
      <c r="J261" s="21">
        <f>100*(J127-J126)</f>
        <v/>
      </c>
      <c r="K261" s="21">
        <f>100*(K127-K126)</f>
        <v/>
      </c>
      <c r="L261" s="21">
        <f>100*(L127-L126)</f>
        <v/>
      </c>
      <c r="M261" s="21">
        <f>100*(M127-M126)</f>
        <v/>
      </c>
      <c r="N261" s="21">
        <f>100*(N127-N126)</f>
        <v/>
      </c>
      <c r="O261" s="21">
        <f>100*(O127-O126)</f>
        <v/>
      </c>
      <c r="P261" s="21">
        <f>100*(P127-P126)</f>
        <v/>
      </c>
      <c r="Q261" s="21">
        <f>100*(Q127-Q126)</f>
        <v/>
      </c>
      <c r="R261" s="21">
        <f>100*(R127-R126)</f>
        <v/>
      </c>
      <c r="S261" s="21">
        <f>100*(S127-S126)</f>
        <v/>
      </c>
      <c r="T261" s="21">
        <f>100*(T127-T126)</f>
        <v/>
      </c>
      <c r="U261" s="21">
        <f>100*(U127-U126)</f>
        <v/>
      </c>
      <c r="V261" s="21">
        <f>100*(V127-V126)</f>
        <v/>
      </c>
      <c r="W261" s="21">
        <f>100*(W127-W126)</f>
        <v/>
      </c>
      <c r="X261" s="21">
        <f>100*(X127-X126)</f>
        <v/>
      </c>
      <c r="Y261" s="21">
        <f>100*(Y127-Y126)</f>
        <v/>
      </c>
      <c r="Z261" s="21">
        <f>100*(Z127-Z126)</f>
        <v/>
      </c>
      <c r="AA261" s="21">
        <f>100*(AA127-AA126)</f>
        <v/>
      </c>
      <c r="AB261" s="21">
        <f>100*(AB127-AB126)</f>
        <v/>
      </c>
      <c r="AC261" s="21">
        <f>100*(AC127-AC126)</f>
        <v/>
      </c>
      <c r="AD261" s="21">
        <f>100*(AD127-AD126)</f>
        <v/>
      </c>
      <c r="AE261" s="21">
        <f>100*(AE127-AE126)</f>
        <v/>
      </c>
      <c r="AF261" s="21">
        <f>100*(AF127-AF126)</f>
        <v/>
      </c>
      <c r="AG261" s="21">
        <f>100*(AG127-AG126)</f>
        <v/>
      </c>
      <c r="AH261" s="21">
        <f>100*(AH127-AH126)</f>
        <v/>
      </c>
      <c r="AI261" s="21">
        <f>100*(AI127-AI126)</f>
        <v/>
      </c>
      <c r="AJ261" s="21">
        <f>100*(AJ127-AJ126)</f>
        <v/>
      </c>
      <c r="AK261" s="21">
        <f>100*(AK127-AK126)</f>
        <v/>
      </c>
      <c r="AL261" s="21">
        <f>AVERAGE(C261:AK261)</f>
        <v/>
      </c>
    </row>
    <row r="262">
      <c r="A262" s="19">
        <f>A128</f>
        <v/>
      </c>
      <c r="B262" s="20">
        <f>B128</f>
        <v/>
      </c>
      <c r="C262" s="21">
        <f>100*(C128-C127)</f>
        <v/>
      </c>
      <c r="D262" s="21">
        <f>100*(D128-D127)</f>
        <v/>
      </c>
      <c r="E262" s="21">
        <f>100*(E128-E127)</f>
        <v/>
      </c>
      <c r="F262" s="21">
        <f>100*(F128-F127)</f>
        <v/>
      </c>
      <c r="G262" s="21">
        <f>100*(G128-G127)</f>
        <v/>
      </c>
      <c r="H262" s="21">
        <f>100*(H128-H127)</f>
        <v/>
      </c>
      <c r="I262" s="21">
        <f>100*(I128-I127)</f>
        <v/>
      </c>
      <c r="J262" s="21">
        <f>100*(J128-J127)</f>
        <v/>
      </c>
      <c r="K262" s="21">
        <f>100*(K128-K127)</f>
        <v/>
      </c>
      <c r="L262" s="21">
        <f>100*(L128-L127)</f>
        <v/>
      </c>
      <c r="M262" s="21">
        <f>100*(M128-M127)</f>
        <v/>
      </c>
      <c r="N262" s="21">
        <f>100*(N128-N127)</f>
        <v/>
      </c>
      <c r="O262" s="21">
        <f>100*(O128-O127)</f>
        <v/>
      </c>
      <c r="P262" s="21">
        <f>100*(P128-P127)</f>
        <v/>
      </c>
      <c r="Q262" s="21">
        <f>100*(Q128-Q127)</f>
        <v/>
      </c>
      <c r="R262" s="21">
        <f>100*(R128-R127)</f>
        <v/>
      </c>
      <c r="S262" s="21">
        <f>100*(S128-S127)</f>
        <v/>
      </c>
      <c r="T262" s="21">
        <f>100*(T128-T127)</f>
        <v/>
      </c>
      <c r="U262" s="21">
        <f>100*(U128-U127)</f>
        <v/>
      </c>
      <c r="V262" s="21">
        <f>100*(V128-V127)</f>
        <v/>
      </c>
      <c r="W262" s="21">
        <f>100*(W128-W127)</f>
        <v/>
      </c>
      <c r="X262" s="21">
        <f>100*(X128-X127)</f>
        <v/>
      </c>
      <c r="Y262" s="21">
        <f>100*(Y128-Y127)</f>
        <v/>
      </c>
      <c r="Z262" s="21">
        <f>100*(Z128-Z127)</f>
        <v/>
      </c>
      <c r="AA262" s="21">
        <f>100*(AA128-AA127)</f>
        <v/>
      </c>
      <c r="AB262" s="21">
        <f>100*(AB128-AB127)</f>
        <v/>
      </c>
      <c r="AC262" s="21">
        <f>100*(AC128-AC127)</f>
        <v/>
      </c>
      <c r="AD262" s="21">
        <f>100*(AD128-AD127)</f>
        <v/>
      </c>
      <c r="AE262" s="21">
        <f>100*(AE128-AE127)</f>
        <v/>
      </c>
      <c r="AF262" s="21">
        <f>100*(AF128-AF127)</f>
        <v/>
      </c>
      <c r="AG262" s="21">
        <f>100*(AG128-AG127)</f>
        <v/>
      </c>
      <c r="AH262" s="21">
        <f>100*(AH128-AH127)</f>
        <v/>
      </c>
      <c r="AI262" s="21">
        <f>100*(AI128-AI127)</f>
        <v/>
      </c>
      <c r="AJ262" s="21">
        <f>100*(AJ128-AJ127)</f>
        <v/>
      </c>
      <c r="AK262" s="21">
        <f>100*(AK128-AK127)</f>
        <v/>
      </c>
      <c r="AL262" s="21">
        <f>AVERAGE(C262:AK262)</f>
        <v/>
      </c>
    </row>
    <row r="263">
      <c r="A263" s="19">
        <f>A129</f>
        <v/>
      </c>
      <c r="B263" s="20">
        <f>B129</f>
        <v/>
      </c>
      <c r="C263" s="21">
        <f>100*(C129-C128)</f>
        <v/>
      </c>
      <c r="D263" s="21">
        <f>100*(D129-D128)</f>
        <v/>
      </c>
      <c r="E263" s="21">
        <f>100*(E129-E128)</f>
        <v/>
      </c>
      <c r="F263" s="21">
        <f>100*(F129-F128)</f>
        <v/>
      </c>
      <c r="G263" s="21">
        <f>100*(G129-G128)</f>
        <v/>
      </c>
      <c r="H263" s="21">
        <f>100*(H129-H128)</f>
        <v/>
      </c>
      <c r="I263" s="21">
        <f>100*(I129-I128)</f>
        <v/>
      </c>
      <c r="J263" s="21">
        <f>100*(J129-J128)</f>
        <v/>
      </c>
      <c r="K263" s="21">
        <f>100*(K129-K128)</f>
        <v/>
      </c>
      <c r="L263" s="21">
        <f>100*(L129-L128)</f>
        <v/>
      </c>
      <c r="M263" s="21">
        <f>100*(M129-M128)</f>
        <v/>
      </c>
      <c r="N263" s="21">
        <f>100*(N129-N128)</f>
        <v/>
      </c>
      <c r="O263" s="21">
        <f>100*(O129-O128)</f>
        <v/>
      </c>
      <c r="P263" s="21">
        <f>100*(P129-P128)</f>
        <v/>
      </c>
      <c r="Q263" s="21">
        <f>100*(Q129-Q128)</f>
        <v/>
      </c>
      <c r="R263" s="21">
        <f>100*(R129-R128)</f>
        <v/>
      </c>
      <c r="S263" s="21">
        <f>100*(S129-S128)</f>
        <v/>
      </c>
      <c r="T263" s="21">
        <f>100*(T129-T128)</f>
        <v/>
      </c>
      <c r="U263" s="21">
        <f>100*(U129-U128)</f>
        <v/>
      </c>
      <c r="V263" s="21">
        <f>100*(V129-V128)</f>
        <v/>
      </c>
      <c r="W263" s="21">
        <f>100*(W129-W128)</f>
        <v/>
      </c>
      <c r="X263" s="21">
        <f>100*(X129-X128)</f>
        <v/>
      </c>
      <c r="Y263" s="21">
        <f>100*(Y129-Y128)</f>
        <v/>
      </c>
      <c r="Z263" s="21">
        <f>100*(Z129-Z128)</f>
        <v/>
      </c>
      <c r="AA263" s="21">
        <f>100*(AA129-AA128)</f>
        <v/>
      </c>
      <c r="AB263" s="21">
        <f>100*(AB129-AB128)</f>
        <v/>
      </c>
      <c r="AC263" s="21">
        <f>100*(AC129-AC128)</f>
        <v/>
      </c>
      <c r="AD263" s="21">
        <f>100*(AD129-AD128)</f>
        <v/>
      </c>
      <c r="AE263" s="21">
        <f>100*(AE129-AE128)</f>
        <v/>
      </c>
      <c r="AF263" s="21">
        <f>100*(AF129-AF128)</f>
        <v/>
      </c>
      <c r="AG263" s="21">
        <f>100*(AG129-AG128)</f>
        <v/>
      </c>
      <c r="AH263" s="21">
        <f>100*(AH129-AH128)</f>
        <v/>
      </c>
      <c r="AI263" s="21">
        <f>100*(AI129-AI128)</f>
        <v/>
      </c>
      <c r="AJ263" s="21">
        <f>100*(AJ129-AJ128)</f>
        <v/>
      </c>
      <c r="AK263" s="21">
        <f>100*(AK129-AK128)</f>
        <v/>
      </c>
      <c r="AL263" s="21">
        <f>AVERAGE(C263:AK263)</f>
        <v/>
      </c>
    </row>
    <row r="264">
      <c r="A264" s="19">
        <f>A130</f>
        <v/>
      </c>
      <c r="B264" s="20">
        <f>B130</f>
        <v/>
      </c>
      <c r="C264" s="21">
        <f>100*(C130-C129)</f>
        <v/>
      </c>
      <c r="D264" s="21">
        <f>100*(D130-D129)</f>
        <v/>
      </c>
      <c r="E264" s="21">
        <f>100*(E130-E129)</f>
        <v/>
      </c>
      <c r="F264" s="21">
        <f>100*(F130-F129)</f>
        <v/>
      </c>
      <c r="G264" s="21">
        <f>100*(G130-G129)</f>
        <v/>
      </c>
      <c r="H264" s="21">
        <f>100*(H130-H129)</f>
        <v/>
      </c>
      <c r="I264" s="21">
        <f>100*(I130-I129)</f>
        <v/>
      </c>
      <c r="J264" s="21">
        <f>100*(J130-J129)</f>
        <v/>
      </c>
      <c r="K264" s="21">
        <f>100*(K130-K129)</f>
        <v/>
      </c>
      <c r="L264" s="21">
        <f>100*(L130-L129)</f>
        <v/>
      </c>
      <c r="M264" s="21">
        <f>100*(M130-M129)</f>
        <v/>
      </c>
      <c r="N264" s="21">
        <f>100*(N130-N129)</f>
        <v/>
      </c>
      <c r="O264" s="21">
        <f>100*(O130-O129)</f>
        <v/>
      </c>
      <c r="P264" s="21">
        <f>100*(P130-P129)</f>
        <v/>
      </c>
      <c r="Q264" s="21">
        <f>100*(Q130-Q129)</f>
        <v/>
      </c>
      <c r="R264" s="21">
        <f>100*(R130-R129)</f>
        <v/>
      </c>
      <c r="S264" s="21">
        <f>100*(S130-S129)</f>
        <v/>
      </c>
      <c r="T264" s="21">
        <f>100*(T130-T129)</f>
        <v/>
      </c>
      <c r="U264" s="21">
        <f>100*(U130-U129)</f>
        <v/>
      </c>
      <c r="V264" s="21">
        <f>100*(V130-V129)</f>
        <v/>
      </c>
      <c r="W264" s="21">
        <f>100*(W130-W129)</f>
        <v/>
      </c>
      <c r="X264" s="21">
        <f>100*(X130-X129)</f>
        <v/>
      </c>
      <c r="Y264" s="21">
        <f>100*(Y130-Y129)</f>
        <v/>
      </c>
      <c r="Z264" s="21">
        <f>100*(Z130-Z129)</f>
        <v/>
      </c>
      <c r="AA264" s="21">
        <f>100*(AA130-AA129)</f>
        <v/>
      </c>
      <c r="AB264" s="21">
        <f>100*(AB130-AB129)</f>
        <v/>
      </c>
      <c r="AC264" s="21">
        <f>100*(AC130-AC129)</f>
        <v/>
      </c>
      <c r="AD264" s="21">
        <f>100*(AD130-AD129)</f>
        <v/>
      </c>
      <c r="AE264" s="21">
        <f>100*(AE130-AE129)</f>
        <v/>
      </c>
      <c r="AF264" s="21">
        <f>100*(AF130-AF129)</f>
        <v/>
      </c>
      <c r="AG264" s="21">
        <f>100*(AG130-AG129)</f>
        <v/>
      </c>
      <c r="AH264" s="21">
        <f>100*(AH130-AH129)</f>
        <v/>
      </c>
      <c r="AI264" s="21">
        <f>100*(AI130-AI129)</f>
        <v/>
      </c>
      <c r="AJ264" s="21">
        <f>100*(AJ130-AJ129)</f>
        <v/>
      </c>
      <c r="AK264" s="21">
        <f>100*(AK130-AK129)</f>
        <v/>
      </c>
      <c r="AL264" s="21">
        <f>AVERAGE(C264:AK264)</f>
        <v/>
      </c>
    </row>
    <row r="265">
      <c r="A265" s="19">
        <f>A131</f>
        <v/>
      </c>
      <c r="B265" s="20">
        <f>B131</f>
        <v/>
      </c>
      <c r="C265" s="21">
        <f>100*(C131-C130)</f>
        <v/>
      </c>
      <c r="D265" s="21">
        <f>100*(D131-D130)</f>
        <v/>
      </c>
      <c r="E265" s="21">
        <f>100*(E131-E130)</f>
        <v/>
      </c>
      <c r="F265" s="21">
        <f>100*(F131-F130)</f>
        <v/>
      </c>
      <c r="G265" s="21">
        <f>100*(G131-G130)</f>
        <v/>
      </c>
      <c r="H265" s="21">
        <f>100*(H131-H130)</f>
        <v/>
      </c>
      <c r="I265" s="21">
        <f>100*(I131-I130)</f>
        <v/>
      </c>
      <c r="J265" s="21">
        <f>100*(J131-J130)</f>
        <v/>
      </c>
      <c r="K265" s="21">
        <f>100*(K131-K130)</f>
        <v/>
      </c>
      <c r="L265" s="21">
        <f>100*(L131-L130)</f>
        <v/>
      </c>
      <c r="M265" s="21">
        <f>100*(M131-M130)</f>
        <v/>
      </c>
      <c r="N265" s="21">
        <f>100*(N131-N130)</f>
        <v/>
      </c>
      <c r="O265" s="21">
        <f>100*(O131-O130)</f>
        <v/>
      </c>
      <c r="P265" s="21">
        <f>100*(P131-P130)</f>
        <v/>
      </c>
      <c r="Q265" s="21">
        <f>100*(Q131-Q130)</f>
        <v/>
      </c>
      <c r="R265" s="21">
        <f>100*(R131-R130)</f>
        <v/>
      </c>
      <c r="S265" s="21">
        <f>100*(S131-S130)</f>
        <v/>
      </c>
      <c r="T265" s="21">
        <f>100*(T131-T130)</f>
        <v/>
      </c>
      <c r="U265" s="21">
        <f>100*(U131-U130)</f>
        <v/>
      </c>
      <c r="V265" s="21">
        <f>100*(V131-V130)</f>
        <v/>
      </c>
      <c r="W265" s="21">
        <f>100*(W131-W130)</f>
        <v/>
      </c>
      <c r="X265" s="21">
        <f>100*(X131-X130)</f>
        <v/>
      </c>
      <c r="Y265" s="21">
        <f>100*(Y131-Y130)</f>
        <v/>
      </c>
      <c r="Z265" s="21">
        <f>100*(Z131-Z130)</f>
        <v/>
      </c>
      <c r="AA265" s="21">
        <f>100*(AA131-AA130)</f>
        <v/>
      </c>
      <c r="AB265" s="21">
        <f>100*(AB131-AB130)</f>
        <v/>
      </c>
      <c r="AC265" s="21">
        <f>100*(AC131-AC130)</f>
        <v/>
      </c>
      <c r="AD265" s="21">
        <f>100*(AD131-AD130)</f>
        <v/>
      </c>
      <c r="AE265" s="21">
        <f>100*(AE131-AE130)</f>
        <v/>
      </c>
      <c r="AF265" s="21">
        <f>100*(AF131-AF130)</f>
        <v/>
      </c>
      <c r="AG265" s="21">
        <f>100*(AG131-AG130)</f>
        <v/>
      </c>
      <c r="AH265" s="21">
        <f>100*(AH131-AH130)</f>
        <v/>
      </c>
      <c r="AI265" s="21">
        <f>100*(AI131-AI130)</f>
        <v/>
      </c>
      <c r="AJ265" s="21">
        <f>100*(AJ131-AJ130)</f>
        <v/>
      </c>
      <c r="AK265" s="21">
        <f>100*(AK131-AK130)</f>
        <v/>
      </c>
      <c r="AL265" s="21">
        <f>AVERAGE(C265:AK265)</f>
        <v/>
      </c>
    </row>
    <row r="266">
      <c r="A266" s="19">
        <f>A132</f>
        <v/>
      </c>
      <c r="B266" s="20">
        <f>B132</f>
        <v/>
      </c>
      <c r="C266" s="21">
        <f>100*(C132-C131)</f>
        <v/>
      </c>
      <c r="D266" s="21">
        <f>100*(D132-D131)</f>
        <v/>
      </c>
      <c r="E266" s="21">
        <f>100*(E132-E131)</f>
        <v/>
      </c>
      <c r="F266" s="21">
        <f>100*(F132-F131)</f>
        <v/>
      </c>
      <c r="G266" s="21">
        <f>100*(G132-G131)</f>
        <v/>
      </c>
      <c r="H266" s="21">
        <f>100*(H132-H131)</f>
        <v/>
      </c>
      <c r="I266" s="21">
        <f>100*(I132-I131)</f>
        <v/>
      </c>
      <c r="J266" s="21">
        <f>100*(J132-J131)</f>
        <v/>
      </c>
      <c r="K266" s="21">
        <f>100*(K132-K131)</f>
        <v/>
      </c>
      <c r="L266" s="21">
        <f>100*(L132-L131)</f>
        <v/>
      </c>
      <c r="M266" s="21">
        <f>100*(M132-M131)</f>
        <v/>
      </c>
      <c r="N266" s="21">
        <f>100*(N132-N131)</f>
        <v/>
      </c>
      <c r="O266" s="21">
        <f>100*(O132-O131)</f>
        <v/>
      </c>
      <c r="P266" s="21">
        <f>100*(P132-P131)</f>
        <v/>
      </c>
      <c r="Q266" s="21">
        <f>100*(Q132-Q131)</f>
        <v/>
      </c>
      <c r="R266" s="21">
        <f>100*(R132-R131)</f>
        <v/>
      </c>
      <c r="S266" s="21">
        <f>100*(S132-S131)</f>
        <v/>
      </c>
      <c r="T266" s="21">
        <f>100*(T132-T131)</f>
        <v/>
      </c>
      <c r="U266" s="21">
        <f>100*(U132-U131)</f>
        <v/>
      </c>
      <c r="V266" s="21">
        <f>100*(V132-V131)</f>
        <v/>
      </c>
      <c r="W266" s="21">
        <f>100*(W132-W131)</f>
        <v/>
      </c>
      <c r="X266" s="21">
        <f>100*(X132-X131)</f>
        <v/>
      </c>
      <c r="Y266" s="21">
        <f>100*(Y132-Y131)</f>
        <v/>
      </c>
      <c r="Z266" s="21">
        <f>100*(Z132-Z131)</f>
        <v/>
      </c>
      <c r="AA266" s="21">
        <f>100*(AA132-AA131)</f>
        <v/>
      </c>
      <c r="AB266" s="21">
        <f>100*(AB132-AB131)</f>
        <v/>
      </c>
      <c r="AC266" s="21">
        <f>100*(AC132-AC131)</f>
        <v/>
      </c>
      <c r="AD266" s="21">
        <f>100*(AD132-AD131)</f>
        <v/>
      </c>
      <c r="AE266" s="21">
        <f>100*(AE132-AE131)</f>
        <v/>
      </c>
      <c r="AF266" s="21">
        <f>100*(AF132-AF131)</f>
        <v/>
      </c>
      <c r="AG266" s="21">
        <f>100*(AG132-AG131)</f>
        <v/>
      </c>
      <c r="AH266" s="21">
        <f>100*(AH132-AH131)</f>
        <v/>
      </c>
      <c r="AI266" s="21">
        <f>100*(AI132-AI131)</f>
        <v/>
      </c>
      <c r="AJ266" s="21">
        <f>100*(AJ132-AJ131)</f>
        <v/>
      </c>
      <c r="AK266" s="21">
        <f>100*(AK132-AK131)</f>
        <v/>
      </c>
      <c r="AL266" s="21">
        <f>AVERAGE(C266:AK266)</f>
        <v/>
      </c>
    </row>
    <row r="267">
      <c r="A267" s="19">
        <f>A133</f>
        <v/>
      </c>
      <c r="B267" s="20">
        <f>B133</f>
        <v/>
      </c>
      <c r="C267" s="21">
        <f>100*(C133-C132)</f>
        <v/>
      </c>
      <c r="D267" s="21">
        <f>100*(D133-D132)</f>
        <v/>
      </c>
      <c r="E267" s="21">
        <f>100*(E133-E132)</f>
        <v/>
      </c>
      <c r="F267" s="21">
        <f>100*(F133-F132)</f>
        <v/>
      </c>
      <c r="G267" s="21">
        <f>100*(G133-G132)</f>
        <v/>
      </c>
      <c r="H267" s="21">
        <f>100*(H133-H132)</f>
        <v/>
      </c>
      <c r="I267" s="21">
        <f>100*(I133-I132)</f>
        <v/>
      </c>
      <c r="J267" s="21">
        <f>100*(J133-J132)</f>
        <v/>
      </c>
      <c r="K267" s="21">
        <f>100*(K133-K132)</f>
        <v/>
      </c>
      <c r="L267" s="21">
        <f>100*(L133-L132)</f>
        <v/>
      </c>
      <c r="M267" s="21">
        <f>100*(M133-M132)</f>
        <v/>
      </c>
      <c r="N267" s="21">
        <f>100*(N133-N132)</f>
        <v/>
      </c>
      <c r="O267" s="21">
        <f>100*(O133-O132)</f>
        <v/>
      </c>
      <c r="P267" s="21">
        <f>100*(P133-P132)</f>
        <v/>
      </c>
      <c r="Q267" s="21">
        <f>100*(Q133-Q132)</f>
        <v/>
      </c>
      <c r="R267" s="21">
        <f>100*(R133-R132)</f>
        <v/>
      </c>
      <c r="S267" s="21">
        <f>100*(S133-S132)</f>
        <v/>
      </c>
      <c r="T267" s="21">
        <f>100*(T133-T132)</f>
        <v/>
      </c>
      <c r="U267" s="21">
        <f>100*(U133-U132)</f>
        <v/>
      </c>
      <c r="V267" s="21">
        <f>100*(V133-V132)</f>
        <v/>
      </c>
      <c r="W267" s="21">
        <f>100*(W133-W132)</f>
        <v/>
      </c>
      <c r="X267" s="21">
        <f>100*(X133-X132)</f>
        <v/>
      </c>
      <c r="Y267" s="21">
        <f>100*(Y133-Y132)</f>
        <v/>
      </c>
      <c r="Z267" s="21">
        <f>100*(Z133-Z132)</f>
        <v/>
      </c>
      <c r="AA267" s="21">
        <f>100*(AA133-AA132)</f>
        <v/>
      </c>
      <c r="AB267" s="21">
        <f>100*(AB133-AB132)</f>
        <v/>
      </c>
      <c r="AC267" s="21">
        <f>100*(AC133-AC132)</f>
        <v/>
      </c>
      <c r="AD267" s="21">
        <f>100*(AD133-AD132)</f>
        <v/>
      </c>
      <c r="AE267" s="21">
        <f>100*(AE133-AE132)</f>
        <v/>
      </c>
      <c r="AF267" s="21">
        <f>100*(AF133-AF132)</f>
        <v/>
      </c>
      <c r="AG267" s="21">
        <f>100*(AG133-AG132)</f>
        <v/>
      </c>
      <c r="AH267" s="21">
        <f>100*(AH133-AH132)</f>
        <v/>
      </c>
      <c r="AI267" s="21">
        <f>100*(AI133-AI132)</f>
        <v/>
      </c>
      <c r="AJ267" s="21">
        <f>100*(AJ133-AJ132)</f>
        <v/>
      </c>
      <c r="AK267" s="21">
        <f>100*(AK133-AK132)</f>
        <v/>
      </c>
      <c r="AL267" s="21">
        <f>AVERAGE(C267:AK267)</f>
        <v/>
      </c>
    </row>
    <row r="268">
      <c r="A268" s="19">
        <f>A134</f>
        <v/>
      </c>
      <c r="B268" s="20">
        <f>B134</f>
        <v/>
      </c>
      <c r="C268" s="21">
        <f>100*(C134-C133)</f>
        <v/>
      </c>
      <c r="D268" s="21">
        <f>100*(D134-D133)</f>
        <v/>
      </c>
      <c r="E268" s="21">
        <f>100*(E134-E133)</f>
        <v/>
      </c>
      <c r="F268" s="21">
        <f>100*(F134-F133)</f>
        <v/>
      </c>
      <c r="G268" s="21">
        <f>100*(G134-G133)</f>
        <v/>
      </c>
      <c r="H268" s="21">
        <f>100*(H134-H133)</f>
        <v/>
      </c>
      <c r="I268" s="21">
        <f>100*(I134-I133)</f>
        <v/>
      </c>
      <c r="J268" s="21">
        <f>100*(J134-J133)</f>
        <v/>
      </c>
      <c r="K268" s="21">
        <f>100*(K134-K133)</f>
        <v/>
      </c>
      <c r="L268" s="21">
        <f>100*(L134-L133)</f>
        <v/>
      </c>
      <c r="M268" s="21">
        <f>100*(M134-M133)</f>
        <v/>
      </c>
      <c r="N268" s="21">
        <f>100*(N134-N133)</f>
        <v/>
      </c>
      <c r="O268" s="21">
        <f>100*(O134-O133)</f>
        <v/>
      </c>
      <c r="P268" s="21">
        <f>100*(P134-P133)</f>
        <v/>
      </c>
      <c r="Q268" s="21">
        <f>100*(Q134-Q133)</f>
        <v/>
      </c>
      <c r="R268" s="21">
        <f>100*(R134-R133)</f>
        <v/>
      </c>
      <c r="S268" s="21">
        <f>100*(S134-S133)</f>
        <v/>
      </c>
      <c r="T268" s="21">
        <f>100*(T134-T133)</f>
        <v/>
      </c>
      <c r="U268" s="21">
        <f>100*(U134-U133)</f>
        <v/>
      </c>
      <c r="V268" s="21">
        <f>100*(V134-V133)</f>
        <v/>
      </c>
      <c r="W268" s="21">
        <f>100*(W134-W133)</f>
        <v/>
      </c>
      <c r="X268" s="21">
        <f>100*(X134-X133)</f>
        <v/>
      </c>
      <c r="Y268" s="21">
        <f>100*(Y134-Y133)</f>
        <v/>
      </c>
      <c r="Z268" s="21">
        <f>100*(Z134-Z133)</f>
        <v/>
      </c>
      <c r="AA268" s="21">
        <f>100*(AA134-AA133)</f>
        <v/>
      </c>
      <c r="AB268" s="21">
        <f>100*(AB134-AB133)</f>
        <v/>
      </c>
      <c r="AC268" s="21">
        <f>100*(AC134-AC133)</f>
        <v/>
      </c>
      <c r="AD268" s="21">
        <f>100*(AD134-AD133)</f>
        <v/>
      </c>
      <c r="AE268" s="21">
        <f>100*(AE134-AE133)</f>
        <v/>
      </c>
      <c r="AF268" s="21">
        <f>100*(AF134-AF133)</f>
        <v/>
      </c>
      <c r="AG268" s="21">
        <f>100*(AG134-AG133)</f>
        <v/>
      </c>
      <c r="AH268" s="21">
        <f>100*(AH134-AH133)</f>
        <v/>
      </c>
      <c r="AI268" s="21">
        <f>100*(AI134-AI133)</f>
        <v/>
      </c>
      <c r="AJ268" s="21">
        <f>100*(AJ134-AJ133)</f>
        <v/>
      </c>
      <c r="AK268" s="21">
        <f>100*(AK134-AK133)</f>
        <v/>
      </c>
      <c r="AL268" s="21">
        <f>AVERAGE(C268:AK268)</f>
        <v/>
      </c>
    </row>
    <row r="269">
      <c r="A269" s="19">
        <f>A135</f>
        <v/>
      </c>
      <c r="B269" s="20">
        <f>B135</f>
        <v/>
      </c>
      <c r="C269" s="21">
        <f>100*(C135-C134)</f>
        <v/>
      </c>
      <c r="D269" s="21">
        <f>100*(D135-D134)</f>
        <v/>
      </c>
      <c r="E269" s="21">
        <f>100*(E135-E134)</f>
        <v/>
      </c>
      <c r="F269" s="21">
        <f>100*(F135-F134)</f>
        <v/>
      </c>
      <c r="G269" s="21">
        <f>100*(G135-G134)</f>
        <v/>
      </c>
      <c r="H269" s="21">
        <f>100*(H135-H134)</f>
        <v/>
      </c>
      <c r="I269" s="21">
        <f>100*(I135-I134)</f>
        <v/>
      </c>
      <c r="J269" s="21">
        <f>100*(J135-J134)</f>
        <v/>
      </c>
      <c r="K269" s="21">
        <f>100*(K135-K134)</f>
        <v/>
      </c>
      <c r="L269" s="21">
        <f>100*(L135-L134)</f>
        <v/>
      </c>
      <c r="M269" s="21">
        <f>100*(M135-M134)</f>
        <v/>
      </c>
      <c r="N269" s="21">
        <f>100*(N135-N134)</f>
        <v/>
      </c>
      <c r="O269" s="21">
        <f>100*(O135-O134)</f>
        <v/>
      </c>
      <c r="P269" s="21">
        <f>100*(P135-P134)</f>
        <v/>
      </c>
      <c r="Q269" s="21">
        <f>100*(Q135-Q134)</f>
        <v/>
      </c>
      <c r="R269" s="21">
        <f>100*(R135-R134)</f>
        <v/>
      </c>
      <c r="S269" s="21">
        <f>100*(S135-S134)</f>
        <v/>
      </c>
      <c r="T269" s="21">
        <f>100*(T135-T134)</f>
        <v/>
      </c>
      <c r="U269" s="21">
        <f>100*(U135-U134)</f>
        <v/>
      </c>
      <c r="V269" s="21">
        <f>100*(V135-V134)</f>
        <v/>
      </c>
      <c r="W269" s="21">
        <f>100*(W135-W134)</f>
        <v/>
      </c>
      <c r="X269" s="21">
        <f>100*(X135-X134)</f>
        <v/>
      </c>
      <c r="Y269" s="21">
        <f>100*(Y135-Y134)</f>
        <v/>
      </c>
      <c r="Z269" s="21">
        <f>100*(Z135-Z134)</f>
        <v/>
      </c>
      <c r="AA269" s="21">
        <f>100*(AA135-AA134)</f>
        <v/>
      </c>
      <c r="AB269" s="21">
        <f>100*(AB135-AB134)</f>
        <v/>
      </c>
      <c r="AC269" s="21">
        <f>100*(AC135-AC134)</f>
        <v/>
      </c>
      <c r="AD269" s="21">
        <f>100*(AD135-AD134)</f>
        <v/>
      </c>
      <c r="AE269" s="21">
        <f>100*(AE135-AE134)</f>
        <v/>
      </c>
      <c r="AF269" s="21">
        <f>100*(AF135-AF134)</f>
        <v/>
      </c>
      <c r="AG269" s="21">
        <f>100*(AG135-AG134)</f>
        <v/>
      </c>
      <c r="AH269" s="21">
        <f>100*(AH135-AH134)</f>
        <v/>
      </c>
      <c r="AI269" s="21">
        <f>100*(AI135-AI134)</f>
        <v/>
      </c>
      <c r="AJ269" s="21">
        <f>100*(AJ135-AJ134)</f>
        <v/>
      </c>
      <c r="AK269" s="21">
        <f>100*(AK135-AK134)</f>
        <v/>
      </c>
      <c r="AL269" s="21">
        <f>AVERAGE(C269:AK269)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5" t="inlineStr">
        <is>
          <t>A3: 4¼% Treasury Stock 2032, auction 09 Oct 2012 - M2 with control B-β (decision #13)</t>
        </is>
      </c>
    </row>
    <row r="3">
      <c r="A3" s="3" t="inlineStr">
        <is>
          <t>k</t>
        </is>
      </c>
      <c r="B3" s="3" t="inlineStr">
        <is>
          <t>Date</t>
        </is>
      </c>
      <c r="C3" s="3" t="inlineStr">
        <is>
          <t>Model yield y (%)</t>
        </is>
      </c>
      <c r="D3" s="3" t="inlineStr">
        <is>
          <t>Δy (bp)</t>
        </is>
      </c>
      <c r="E3" s="3" t="inlineStr">
        <is>
          <t>Δc (bp), from control sheet</t>
        </is>
      </c>
      <c r="F3" s="3" t="inlineStr">
        <is>
          <t>In β window (1/0)</t>
        </is>
      </c>
      <c r="G3" s="3" t="inlineStr">
        <is>
          <t>AR B-β = Δy - β·Δc</t>
        </is>
      </c>
      <c r="H3" s="3" t="inlineStr">
        <is>
          <t>CAR B-β (base T-6)</t>
        </is>
      </c>
      <c r="I3" s="3" t="inlineStr">
        <is>
          <t>AR B (β = 1)</t>
        </is>
      </c>
      <c r="J3" s="3" t="inlineStr">
        <is>
          <t>CAR B</t>
        </is>
      </c>
      <c r="K3" s="3" t="inlineStr">
        <is>
          <t>Raw cumulative Δy</t>
        </is>
      </c>
    </row>
    <row r="4">
      <c r="A4" s="9" t="n">
        <v>-121</v>
      </c>
      <c r="B4" s="7" t="n">
        <v>41016</v>
      </c>
      <c r="C4" s="14" t="n">
        <v>3.06256569347</v>
      </c>
      <c r="F4" s="9" t="n">
        <v>0</v>
      </c>
    </row>
    <row r="5">
      <c r="A5" s="9" t="n">
        <v>-120</v>
      </c>
      <c r="B5" s="7" t="n">
        <v>41017</v>
      </c>
      <c r="C5" s="14" t="n">
        <v>3.07238214473</v>
      </c>
      <c r="D5" s="21">
        <f>100*(C5-C4)</f>
        <v/>
      </c>
      <c r="E5" s="22">
        <f>'A3 control'!AL139</f>
        <v/>
      </c>
      <c r="F5" s="9" t="n">
        <v>1</v>
      </c>
    </row>
    <row r="6">
      <c r="A6" s="9" t="n">
        <v>-119</v>
      </c>
      <c r="B6" s="7" t="n">
        <v>41018</v>
      </c>
      <c r="C6" s="14" t="n">
        <v>3.0923836822</v>
      </c>
      <c r="D6" s="21">
        <f>100*(C6-C5)</f>
        <v/>
      </c>
      <c r="E6" s="22">
        <f>'A3 control'!AL140</f>
        <v/>
      </c>
      <c r="F6" s="9" t="n">
        <v>1</v>
      </c>
    </row>
    <row r="7">
      <c r="A7" s="9" t="n">
        <v>-118</v>
      </c>
      <c r="B7" s="7" t="n">
        <v>41019</v>
      </c>
      <c r="C7" s="14" t="n">
        <v>3.10739700745</v>
      </c>
      <c r="D7" s="21">
        <f>100*(C7-C6)</f>
        <v/>
      </c>
      <c r="E7" s="22">
        <f>'A3 control'!AL141</f>
        <v/>
      </c>
      <c r="F7" s="9" t="n">
        <v>1</v>
      </c>
    </row>
    <row r="8">
      <c r="A8" s="9" t="n">
        <v>-117</v>
      </c>
      <c r="B8" s="7" t="n">
        <v>41022</v>
      </c>
      <c r="C8" s="14" t="n">
        <v>3.08453800508</v>
      </c>
      <c r="D8" s="21">
        <f>100*(C8-C7)</f>
        <v/>
      </c>
      <c r="E8" s="22">
        <f>'A3 control'!AL142</f>
        <v/>
      </c>
      <c r="F8" s="9" t="n">
        <v>1</v>
      </c>
    </row>
    <row r="9">
      <c r="A9" s="9" t="n">
        <v>-116</v>
      </c>
      <c r="B9" s="7" t="n">
        <v>41023</v>
      </c>
      <c r="C9" s="14" t="n">
        <v>3.06339504992</v>
      </c>
      <c r="D9" s="21">
        <f>100*(C9-C8)</f>
        <v/>
      </c>
      <c r="E9" s="22">
        <f>'A3 control'!AL143</f>
        <v/>
      </c>
      <c r="F9" s="9" t="n">
        <v>1</v>
      </c>
    </row>
    <row r="10">
      <c r="A10" s="9" t="n">
        <v>-115</v>
      </c>
      <c r="B10" s="7" t="n">
        <v>41024</v>
      </c>
      <c r="C10" s="14" t="n">
        <v>3.07622325288</v>
      </c>
      <c r="D10" s="21">
        <f>100*(C10-C9)</f>
        <v/>
      </c>
      <c r="E10" s="22">
        <f>'A3 control'!AL144</f>
        <v/>
      </c>
      <c r="F10" s="9" t="n">
        <v>1</v>
      </c>
    </row>
    <row r="11">
      <c r="A11" s="9" t="n">
        <v>-114</v>
      </c>
      <c r="B11" s="7" t="n">
        <v>41025</v>
      </c>
      <c r="C11" s="14" t="n">
        <v>3.05168307592</v>
      </c>
      <c r="D11" s="21">
        <f>100*(C11-C10)</f>
        <v/>
      </c>
      <c r="E11" s="22">
        <f>'A3 control'!AL145</f>
        <v/>
      </c>
      <c r="F11" s="9" t="n">
        <v>1</v>
      </c>
    </row>
    <row r="12">
      <c r="A12" s="9" t="n">
        <v>-113</v>
      </c>
      <c r="B12" s="7" t="n">
        <v>41026</v>
      </c>
      <c r="C12" s="14" t="n">
        <v>3.07915082668</v>
      </c>
      <c r="D12" s="21">
        <f>100*(C12-C11)</f>
        <v/>
      </c>
      <c r="E12" s="22">
        <f>'A3 control'!AL146</f>
        <v/>
      </c>
      <c r="F12" s="9" t="n">
        <v>1</v>
      </c>
    </row>
    <row r="13">
      <c r="A13" s="9" t="n">
        <v>-112</v>
      </c>
      <c r="B13" s="7" t="n">
        <v>41029</v>
      </c>
      <c r="C13" s="14" t="n">
        <v>3.0778837699</v>
      </c>
      <c r="D13" s="21">
        <f>100*(C13-C12)</f>
        <v/>
      </c>
      <c r="E13" s="22">
        <f>'A3 control'!AL147</f>
        <v/>
      </c>
      <c r="F13" s="9" t="n">
        <v>1</v>
      </c>
    </row>
    <row r="14">
      <c r="A14" s="9" t="n">
        <v>-111</v>
      </c>
      <c r="B14" s="7" t="n">
        <v>41030</v>
      </c>
      <c r="C14" s="14" t="n">
        <v>3.0592889284</v>
      </c>
      <c r="D14" s="21">
        <f>100*(C14-C13)</f>
        <v/>
      </c>
      <c r="E14" s="22">
        <f>'A3 control'!AL148</f>
        <v/>
      </c>
      <c r="F14" s="9" t="n">
        <v>1</v>
      </c>
    </row>
    <row r="15">
      <c r="A15" s="9" t="n">
        <v>-110</v>
      </c>
      <c r="B15" s="7" t="n">
        <v>41031</v>
      </c>
      <c r="C15" s="14" t="n">
        <v>3.00989401425</v>
      </c>
      <c r="D15" s="21">
        <f>100*(C15-C14)</f>
        <v/>
      </c>
      <c r="E15" s="22">
        <f>'A3 control'!AL149</f>
        <v/>
      </c>
      <c r="F15" s="9" t="n">
        <v>1</v>
      </c>
    </row>
    <row r="16">
      <c r="A16" s="9" t="n">
        <v>-109</v>
      </c>
      <c r="B16" s="7" t="n">
        <v>41032</v>
      </c>
      <c r="C16" s="14" t="n">
        <v>3.01056845335</v>
      </c>
      <c r="D16" s="21">
        <f>100*(C16-C15)</f>
        <v/>
      </c>
      <c r="E16" s="22">
        <f>'A3 control'!AL150</f>
        <v/>
      </c>
      <c r="F16" s="9" t="n">
        <v>1</v>
      </c>
    </row>
    <row r="17">
      <c r="A17" s="9" t="n">
        <v>-108</v>
      </c>
      <c r="B17" s="7" t="n">
        <v>41033</v>
      </c>
      <c r="C17" s="14" t="n">
        <v>2.9781618727</v>
      </c>
      <c r="D17" s="21">
        <f>100*(C17-C16)</f>
        <v/>
      </c>
      <c r="E17" s="22">
        <f>'A3 control'!AL151</f>
        <v/>
      </c>
      <c r="F17" s="9" t="n">
        <v>1</v>
      </c>
    </row>
    <row r="18">
      <c r="A18" s="9" t="n">
        <v>-107</v>
      </c>
      <c r="B18" s="7" t="n">
        <v>41037</v>
      </c>
      <c r="C18" s="14" t="n">
        <v>2.9309142942</v>
      </c>
      <c r="D18" s="21">
        <f>100*(C18-C17)</f>
        <v/>
      </c>
      <c r="E18" s="22">
        <f>'A3 control'!AL152</f>
        <v/>
      </c>
      <c r="F18" s="9" t="n">
        <v>1</v>
      </c>
    </row>
    <row r="19">
      <c r="A19" s="9" t="n">
        <v>-106</v>
      </c>
      <c r="B19" s="7" t="n">
        <v>41038</v>
      </c>
      <c r="C19" s="14" t="n">
        <v>2.90863600334</v>
      </c>
      <c r="D19" s="21">
        <f>100*(C19-C18)</f>
        <v/>
      </c>
      <c r="E19" s="22">
        <f>'A3 control'!AL153</f>
        <v/>
      </c>
      <c r="F19" s="9" t="n">
        <v>1</v>
      </c>
    </row>
    <row r="20">
      <c r="A20" s="9" t="n">
        <v>-105</v>
      </c>
      <c r="B20" s="7" t="n">
        <v>41039</v>
      </c>
      <c r="C20" s="14" t="n">
        <v>2.96783508217</v>
      </c>
      <c r="D20" s="21">
        <f>100*(C20-C19)</f>
        <v/>
      </c>
      <c r="E20" s="22">
        <f>'A3 control'!AL154</f>
        <v/>
      </c>
      <c r="F20" s="9" t="n">
        <v>1</v>
      </c>
    </row>
    <row r="21">
      <c r="A21" s="9" t="n">
        <v>-104</v>
      </c>
      <c r="B21" s="7" t="n">
        <v>41040</v>
      </c>
      <c r="C21" s="14" t="n">
        <v>2.95515932003</v>
      </c>
      <c r="D21" s="21">
        <f>100*(C21-C20)</f>
        <v/>
      </c>
      <c r="E21" s="22">
        <f>'A3 control'!AL155</f>
        <v/>
      </c>
      <c r="F21" s="9" t="n">
        <v>1</v>
      </c>
    </row>
    <row r="22">
      <c r="A22" s="9" t="n">
        <v>-103</v>
      </c>
      <c r="B22" s="7" t="n">
        <v>41043</v>
      </c>
      <c r="C22" s="14" t="n">
        <v>2.87582921079</v>
      </c>
      <c r="D22" s="21">
        <f>100*(C22-C21)</f>
        <v/>
      </c>
      <c r="E22" s="22">
        <f>'A3 control'!AL156</f>
        <v/>
      </c>
      <c r="F22" s="9" t="n">
        <v>1</v>
      </c>
    </row>
    <row r="23">
      <c r="A23" s="9" t="n">
        <v>-102</v>
      </c>
      <c r="B23" s="7" t="n">
        <v>41044</v>
      </c>
      <c r="C23" s="14" t="n">
        <v>2.89540475414</v>
      </c>
      <c r="D23" s="21">
        <f>100*(C23-C22)</f>
        <v/>
      </c>
      <c r="E23" s="22">
        <f>'A3 control'!AL157</f>
        <v/>
      </c>
      <c r="F23" s="9" t="n">
        <v>1</v>
      </c>
    </row>
    <row r="24">
      <c r="A24" s="9" t="n">
        <v>-101</v>
      </c>
      <c r="B24" s="7" t="n">
        <v>41045</v>
      </c>
      <c r="C24" s="14" t="n">
        <v>2.85979702065</v>
      </c>
      <c r="D24" s="21">
        <f>100*(C24-C23)</f>
        <v/>
      </c>
      <c r="E24" s="22">
        <f>'A3 control'!AL158</f>
        <v/>
      </c>
      <c r="F24" s="9" t="n">
        <v>1</v>
      </c>
    </row>
    <row r="25">
      <c r="A25" s="9" t="n">
        <v>-100</v>
      </c>
      <c r="B25" s="7" t="n">
        <v>41046</v>
      </c>
      <c r="C25" s="14" t="n">
        <v>2.8205474731</v>
      </c>
      <c r="D25" s="21">
        <f>100*(C25-C24)</f>
        <v/>
      </c>
      <c r="E25" s="22">
        <f>'A3 control'!AL159</f>
        <v/>
      </c>
      <c r="F25" s="9" t="n">
        <v>1</v>
      </c>
    </row>
    <row r="26">
      <c r="A26" s="9" t="n">
        <v>-99</v>
      </c>
      <c r="B26" s="7" t="n">
        <v>41047</v>
      </c>
      <c r="C26" s="14" t="n">
        <v>2.78012700056</v>
      </c>
      <c r="D26" s="21">
        <f>100*(C26-C25)</f>
        <v/>
      </c>
      <c r="E26" s="22">
        <f>'A3 control'!AL160</f>
        <v/>
      </c>
      <c r="F26" s="9" t="n">
        <v>1</v>
      </c>
    </row>
    <row r="27">
      <c r="A27" s="9" t="n">
        <v>-98</v>
      </c>
      <c r="B27" s="7" t="n">
        <v>41050</v>
      </c>
      <c r="C27" s="14" t="n">
        <v>2.81024742276</v>
      </c>
      <c r="D27" s="21">
        <f>100*(C27-C26)</f>
        <v/>
      </c>
      <c r="E27" s="22">
        <f>'A3 control'!AL161</f>
        <v/>
      </c>
      <c r="F27" s="9" t="n">
        <v>1</v>
      </c>
    </row>
    <row r="28">
      <c r="A28" s="9" t="n">
        <v>-97</v>
      </c>
      <c r="B28" s="7" t="n">
        <v>41051</v>
      </c>
      <c r="C28" s="14" t="n">
        <v>2.83733711213</v>
      </c>
      <c r="D28" s="21">
        <f>100*(C28-C27)</f>
        <v/>
      </c>
      <c r="E28" s="22">
        <f>'A3 control'!AL162</f>
        <v/>
      </c>
      <c r="F28" s="9" t="n">
        <v>1</v>
      </c>
    </row>
    <row r="29">
      <c r="A29" s="9" t="n">
        <v>-96</v>
      </c>
      <c r="B29" s="7" t="n">
        <v>41052</v>
      </c>
      <c r="C29" s="14" t="n">
        <v>2.76556681291</v>
      </c>
      <c r="D29" s="21">
        <f>100*(C29-C28)</f>
        <v/>
      </c>
      <c r="E29" s="22">
        <f>'A3 control'!AL163</f>
        <v/>
      </c>
      <c r="F29" s="9" t="n">
        <v>1</v>
      </c>
    </row>
    <row r="30">
      <c r="A30" s="9" t="n">
        <v>-95</v>
      </c>
      <c r="B30" s="7" t="n">
        <v>41053</v>
      </c>
      <c r="C30" s="14" t="n">
        <v>2.75174923995</v>
      </c>
      <c r="D30" s="21">
        <f>100*(C30-C29)</f>
        <v/>
      </c>
      <c r="E30" s="22">
        <f>'A3 control'!AL164</f>
        <v/>
      </c>
      <c r="F30" s="9" t="n">
        <v>1</v>
      </c>
    </row>
    <row r="31">
      <c r="A31" s="9" t="n">
        <v>-94</v>
      </c>
      <c r="B31" s="7" t="n">
        <v>41054</v>
      </c>
      <c r="C31" s="14" t="n">
        <v>2.73787880051</v>
      </c>
      <c r="D31" s="21">
        <f>100*(C31-C30)</f>
        <v/>
      </c>
      <c r="E31" s="22">
        <f>'A3 control'!AL165</f>
        <v/>
      </c>
      <c r="F31" s="9" t="n">
        <v>1</v>
      </c>
    </row>
    <row r="32">
      <c r="A32" s="9" t="n">
        <v>-93</v>
      </c>
      <c r="B32" s="7" t="n">
        <v>41057</v>
      </c>
      <c r="C32" s="14" t="n">
        <v>2.7570404201</v>
      </c>
      <c r="D32" s="21">
        <f>100*(C32-C31)</f>
        <v/>
      </c>
      <c r="E32" s="22">
        <f>'A3 control'!AL166</f>
        <v/>
      </c>
      <c r="F32" s="9" t="n">
        <v>1</v>
      </c>
    </row>
    <row r="33">
      <c r="A33" s="9" t="n">
        <v>-92</v>
      </c>
      <c r="B33" s="7" t="n">
        <v>41058</v>
      </c>
      <c r="C33" s="14" t="n">
        <v>2.77439295702</v>
      </c>
      <c r="D33" s="21">
        <f>100*(C33-C32)</f>
        <v/>
      </c>
      <c r="E33" s="22">
        <f>'A3 control'!AL167</f>
        <v/>
      </c>
      <c r="F33" s="9" t="n">
        <v>1</v>
      </c>
    </row>
    <row r="34">
      <c r="A34" s="9" t="n">
        <v>-91</v>
      </c>
      <c r="B34" s="7" t="n">
        <v>41059</v>
      </c>
      <c r="C34" s="14" t="n">
        <v>2.68172835084</v>
      </c>
      <c r="D34" s="21">
        <f>100*(C34-C33)</f>
        <v/>
      </c>
      <c r="E34" s="22">
        <f>'A3 control'!AL168</f>
        <v/>
      </c>
      <c r="F34" s="9" t="n">
        <v>1</v>
      </c>
    </row>
    <row r="35">
      <c r="A35" s="9" t="n">
        <v>-90</v>
      </c>
      <c r="B35" s="7" t="n">
        <v>41060</v>
      </c>
      <c r="C35" s="14" t="n">
        <v>2.60237915825</v>
      </c>
      <c r="D35" s="21">
        <f>100*(C35-C34)</f>
        <v/>
      </c>
      <c r="E35" s="22">
        <f>'A3 control'!AL169</f>
        <v/>
      </c>
      <c r="F35" s="9" t="n">
        <v>1</v>
      </c>
    </row>
    <row r="36">
      <c r="A36" s="9" t="n">
        <v>-89</v>
      </c>
      <c r="B36" s="7" t="n">
        <v>41061</v>
      </c>
      <c r="C36" s="14" t="n">
        <v>2.52376280019</v>
      </c>
      <c r="D36" s="21">
        <f>100*(C36-C35)</f>
        <v/>
      </c>
      <c r="E36" s="22">
        <f>'A3 control'!AL170</f>
        <v/>
      </c>
      <c r="F36" s="9" t="n">
        <v>1</v>
      </c>
    </row>
    <row r="37">
      <c r="A37" s="9" t="n">
        <v>-88</v>
      </c>
      <c r="B37" s="7" t="n">
        <v>41066</v>
      </c>
      <c r="C37" s="14" t="n">
        <v>2.62506044839</v>
      </c>
      <c r="D37" s="21">
        <f>100*(C37-C36)</f>
        <v/>
      </c>
      <c r="E37" s="22">
        <f>'A3 control'!AL171</f>
        <v/>
      </c>
      <c r="F37" s="9" t="n">
        <v>1</v>
      </c>
    </row>
    <row r="38">
      <c r="A38" s="9" t="n">
        <v>-87</v>
      </c>
      <c r="B38" s="7" t="n">
        <v>41067</v>
      </c>
      <c r="C38" s="14" t="n">
        <v>2.67909334182</v>
      </c>
      <c r="D38" s="21">
        <f>100*(C38-C37)</f>
        <v/>
      </c>
      <c r="E38" s="22">
        <f>'A3 control'!AL172</f>
        <v/>
      </c>
      <c r="F38" s="9" t="n">
        <v>1</v>
      </c>
    </row>
    <row r="39">
      <c r="A39" s="9" t="n">
        <v>-86</v>
      </c>
      <c r="B39" s="7" t="n">
        <v>41068</v>
      </c>
      <c r="C39" s="14" t="n">
        <v>2.59234519712</v>
      </c>
      <c r="D39" s="21">
        <f>100*(C39-C38)</f>
        <v/>
      </c>
      <c r="E39" s="22">
        <f>'A3 control'!AL173</f>
        <v/>
      </c>
      <c r="F39" s="9" t="n">
        <v>1</v>
      </c>
    </row>
    <row r="40">
      <c r="A40" s="9" t="n">
        <v>-85</v>
      </c>
      <c r="B40" s="7" t="n">
        <v>41071</v>
      </c>
      <c r="C40" s="14" t="n">
        <v>2.62565966917</v>
      </c>
      <c r="D40" s="21">
        <f>100*(C40-C39)</f>
        <v/>
      </c>
      <c r="E40" s="22">
        <f>'A3 control'!AL174</f>
        <v/>
      </c>
      <c r="F40" s="9" t="n">
        <v>1</v>
      </c>
    </row>
    <row r="41">
      <c r="A41" s="9" t="n">
        <v>-84</v>
      </c>
      <c r="B41" s="7" t="n">
        <v>41072</v>
      </c>
      <c r="C41" s="14" t="n">
        <v>2.65427308676</v>
      </c>
      <c r="D41" s="21">
        <f>100*(C41-C40)</f>
        <v/>
      </c>
      <c r="E41" s="22">
        <f>'A3 control'!AL175</f>
        <v/>
      </c>
      <c r="F41" s="9" t="n">
        <v>1</v>
      </c>
    </row>
    <row r="42">
      <c r="A42" s="9" t="n">
        <v>-83</v>
      </c>
      <c r="B42" s="7" t="n">
        <v>41073</v>
      </c>
      <c r="C42" s="14" t="n">
        <v>2.72597160937</v>
      </c>
      <c r="D42" s="21">
        <f>100*(C42-C41)</f>
        <v/>
      </c>
      <c r="E42" s="22">
        <f>'A3 control'!AL176</f>
        <v/>
      </c>
      <c r="F42" s="9" t="n">
        <v>1</v>
      </c>
    </row>
    <row r="43">
      <c r="A43" s="9" t="n">
        <v>-82</v>
      </c>
      <c r="B43" s="7" t="n">
        <v>41074</v>
      </c>
      <c r="C43" s="14" t="n">
        <v>2.7468763497</v>
      </c>
      <c r="D43" s="21">
        <f>100*(C43-C42)</f>
        <v/>
      </c>
      <c r="E43" s="22">
        <f>'A3 control'!AL177</f>
        <v/>
      </c>
      <c r="F43" s="9" t="n">
        <v>1</v>
      </c>
    </row>
    <row r="44">
      <c r="A44" s="9" t="n">
        <v>-81</v>
      </c>
      <c r="B44" s="7" t="n">
        <v>41075</v>
      </c>
      <c r="C44" s="14" t="n">
        <v>2.66645049321</v>
      </c>
      <c r="D44" s="21">
        <f>100*(C44-C43)</f>
        <v/>
      </c>
      <c r="E44" s="22">
        <f>'A3 control'!AL178</f>
        <v/>
      </c>
      <c r="F44" s="9" t="n">
        <v>1</v>
      </c>
    </row>
    <row r="45">
      <c r="A45" s="9" t="n">
        <v>-80</v>
      </c>
      <c r="B45" s="7" t="n">
        <v>41078</v>
      </c>
      <c r="C45" s="14" t="n">
        <v>2.63932623496</v>
      </c>
      <c r="D45" s="21">
        <f>100*(C45-C44)</f>
        <v/>
      </c>
      <c r="E45" s="22">
        <f>'A3 control'!AL179</f>
        <v/>
      </c>
      <c r="F45" s="9" t="n">
        <v>1</v>
      </c>
    </row>
    <row r="46">
      <c r="A46" s="9" t="n">
        <v>-79</v>
      </c>
      <c r="B46" s="7" t="n">
        <v>41079</v>
      </c>
      <c r="C46" s="14" t="n">
        <v>2.6953772778</v>
      </c>
      <c r="D46" s="21">
        <f>100*(C46-C45)</f>
        <v/>
      </c>
      <c r="E46" s="22">
        <f>'A3 control'!AL180</f>
        <v/>
      </c>
      <c r="F46" s="9" t="n">
        <v>1</v>
      </c>
    </row>
    <row r="47">
      <c r="A47" s="9" t="n">
        <v>-78</v>
      </c>
      <c r="B47" s="7" t="n">
        <v>41080</v>
      </c>
      <c r="C47" s="14" t="n">
        <v>2.71480681172</v>
      </c>
      <c r="D47" s="21">
        <f>100*(C47-C46)</f>
        <v/>
      </c>
      <c r="E47" s="22">
        <f>'A3 control'!AL181</f>
        <v/>
      </c>
      <c r="F47" s="9" t="n">
        <v>1</v>
      </c>
    </row>
    <row r="48">
      <c r="A48" s="9" t="n">
        <v>-77</v>
      </c>
      <c r="B48" s="7" t="n">
        <v>41081</v>
      </c>
      <c r="C48" s="14" t="n">
        <v>2.64113834755</v>
      </c>
      <c r="D48" s="21">
        <f>100*(C48-C47)</f>
        <v/>
      </c>
      <c r="E48" s="22">
        <f>'A3 control'!AL182</f>
        <v/>
      </c>
      <c r="F48" s="9" t="n">
        <v>1</v>
      </c>
    </row>
    <row r="49">
      <c r="A49" s="9" t="n">
        <v>-76</v>
      </c>
      <c r="B49" s="7" t="n">
        <v>41082</v>
      </c>
      <c r="C49" s="14" t="n">
        <v>2.63009364118</v>
      </c>
      <c r="D49" s="21">
        <f>100*(C49-C48)</f>
        <v/>
      </c>
      <c r="E49" s="22">
        <f>'A3 control'!AL183</f>
        <v/>
      </c>
      <c r="F49" s="9" t="n">
        <v>1</v>
      </c>
    </row>
    <row r="50">
      <c r="A50" s="9" t="n">
        <v>-75</v>
      </c>
      <c r="B50" s="7" t="n">
        <v>41085</v>
      </c>
      <c r="C50" s="14" t="n">
        <v>2.59802482285</v>
      </c>
      <c r="D50" s="21">
        <f>100*(C50-C49)</f>
        <v/>
      </c>
      <c r="E50" s="22">
        <f>'A3 control'!AL184</f>
        <v/>
      </c>
      <c r="F50" s="9" t="n">
        <v>1</v>
      </c>
    </row>
    <row r="51">
      <c r="A51" s="9" t="n">
        <v>-74</v>
      </c>
      <c r="B51" s="7" t="n">
        <v>41086</v>
      </c>
      <c r="C51" s="14" t="n">
        <v>2.6289050601</v>
      </c>
      <c r="D51" s="21">
        <f>100*(C51-C50)</f>
        <v/>
      </c>
      <c r="E51" s="22">
        <f>'A3 control'!AL185</f>
        <v/>
      </c>
      <c r="F51" s="9" t="n">
        <v>1</v>
      </c>
    </row>
    <row r="52">
      <c r="A52" s="9" t="n">
        <v>-73</v>
      </c>
      <c r="B52" s="7" t="n">
        <v>41087</v>
      </c>
      <c r="C52" s="14" t="n">
        <v>2.63972721575</v>
      </c>
      <c r="D52" s="21">
        <f>100*(C52-C51)</f>
        <v/>
      </c>
      <c r="E52" s="22">
        <f>'A3 control'!AL186</f>
        <v/>
      </c>
      <c r="F52" s="9" t="n">
        <v>1</v>
      </c>
    </row>
    <row r="53">
      <c r="A53" s="9" t="n">
        <v>-72</v>
      </c>
      <c r="B53" s="7" t="n">
        <v>41088</v>
      </c>
      <c r="C53" s="14" t="n">
        <v>2.60478847355</v>
      </c>
      <c r="D53" s="21">
        <f>100*(C53-C52)</f>
        <v/>
      </c>
      <c r="E53" s="22">
        <f>'A3 control'!AL187</f>
        <v/>
      </c>
      <c r="F53" s="9" t="n">
        <v>1</v>
      </c>
    </row>
    <row r="54">
      <c r="A54" s="9" t="n">
        <v>-71</v>
      </c>
      <c r="B54" s="7" t="n">
        <v>41089</v>
      </c>
      <c r="C54" s="14" t="n">
        <v>2.69466709965</v>
      </c>
      <c r="D54" s="21">
        <f>100*(C54-C53)</f>
        <v/>
      </c>
      <c r="E54" s="22">
        <f>'A3 control'!AL188</f>
        <v/>
      </c>
      <c r="F54" s="9" t="n">
        <v>1</v>
      </c>
    </row>
    <row r="55">
      <c r="A55" s="9" t="n">
        <v>-70</v>
      </c>
      <c r="B55" s="7" t="n">
        <v>41092</v>
      </c>
      <c r="C55" s="14" t="n">
        <v>2.66299172673</v>
      </c>
      <c r="D55" s="21">
        <f>100*(C55-C54)</f>
        <v/>
      </c>
      <c r="E55" s="22">
        <f>'A3 control'!AL189</f>
        <v/>
      </c>
      <c r="F55" s="9" t="n">
        <v>1</v>
      </c>
    </row>
    <row r="56">
      <c r="A56" s="9" t="n">
        <v>-69</v>
      </c>
      <c r="B56" s="7" t="n">
        <v>41093</v>
      </c>
      <c r="C56" s="14" t="n">
        <v>2.72876584163</v>
      </c>
      <c r="D56" s="21">
        <f>100*(C56-C55)</f>
        <v/>
      </c>
      <c r="E56" s="22">
        <f>'A3 control'!AL190</f>
        <v/>
      </c>
      <c r="F56" s="9" t="n">
        <v>1</v>
      </c>
    </row>
    <row r="57">
      <c r="A57" s="9" t="n">
        <v>-68</v>
      </c>
      <c r="B57" s="7" t="n">
        <v>41094</v>
      </c>
      <c r="C57" s="14" t="n">
        <v>2.69516391634</v>
      </c>
      <c r="D57" s="21">
        <f>100*(C57-C56)</f>
        <v/>
      </c>
      <c r="E57" s="22">
        <f>'A3 control'!AL191</f>
        <v/>
      </c>
      <c r="F57" s="9" t="n">
        <v>1</v>
      </c>
    </row>
    <row r="58">
      <c r="A58" s="9" t="n">
        <v>-67</v>
      </c>
      <c r="B58" s="7" t="n">
        <v>41095</v>
      </c>
      <c r="C58" s="14" t="n">
        <v>2.66329008657</v>
      </c>
      <c r="D58" s="21">
        <f>100*(C58-C57)</f>
        <v/>
      </c>
      <c r="E58" s="22">
        <f>'A3 control'!AL192</f>
        <v/>
      </c>
      <c r="F58" s="9" t="n">
        <v>1</v>
      </c>
    </row>
    <row r="59">
      <c r="A59" s="9" t="n">
        <v>-66</v>
      </c>
      <c r="B59" s="7" t="n">
        <v>41096</v>
      </c>
      <c r="C59" s="14" t="n">
        <v>2.61352469862</v>
      </c>
      <c r="D59" s="21">
        <f>100*(C59-C58)</f>
        <v/>
      </c>
      <c r="E59" s="22">
        <f>'A3 control'!AL193</f>
        <v/>
      </c>
      <c r="F59" s="9" t="n">
        <v>1</v>
      </c>
    </row>
    <row r="60">
      <c r="A60" s="9" t="n">
        <v>-65</v>
      </c>
      <c r="B60" s="7" t="n">
        <v>41099</v>
      </c>
      <c r="C60" s="14" t="n">
        <v>2.59228452985</v>
      </c>
      <c r="D60" s="21">
        <f>100*(C60-C59)</f>
        <v/>
      </c>
      <c r="E60" s="22">
        <f>'A3 control'!AL194</f>
        <v/>
      </c>
      <c r="F60" s="9" t="n">
        <v>1</v>
      </c>
    </row>
    <row r="61">
      <c r="A61" s="9" t="n">
        <v>-64</v>
      </c>
      <c r="B61" s="7" t="n">
        <v>41100</v>
      </c>
      <c r="C61" s="14" t="n">
        <v>2.59833529025</v>
      </c>
      <c r="D61" s="21">
        <f>100*(C61-C60)</f>
        <v/>
      </c>
      <c r="E61" s="22">
        <f>'A3 control'!AL195</f>
        <v/>
      </c>
      <c r="F61" s="9" t="n">
        <v>1</v>
      </c>
    </row>
    <row r="62">
      <c r="A62" s="9" t="n">
        <v>-63</v>
      </c>
      <c r="B62" s="7" t="n">
        <v>41101</v>
      </c>
      <c r="C62" s="14" t="n">
        <v>2.5845895961</v>
      </c>
      <c r="D62" s="21">
        <f>100*(C62-C61)</f>
        <v/>
      </c>
      <c r="E62" s="22">
        <f>'A3 control'!AL196</f>
        <v/>
      </c>
      <c r="F62" s="9" t="n">
        <v>1</v>
      </c>
    </row>
    <row r="63">
      <c r="A63" s="9" t="n">
        <v>-62</v>
      </c>
      <c r="B63" s="7" t="n">
        <v>41102</v>
      </c>
      <c r="C63" s="14" t="n">
        <v>2.53970583649</v>
      </c>
      <c r="D63" s="21">
        <f>100*(C63-C62)</f>
        <v/>
      </c>
      <c r="E63" s="22">
        <f>'A3 control'!AL197</f>
        <v/>
      </c>
      <c r="F63" s="9" t="n">
        <v>1</v>
      </c>
    </row>
    <row r="64">
      <c r="A64" s="9" t="n">
        <v>-61</v>
      </c>
      <c r="B64" s="7" t="n">
        <v>41103</v>
      </c>
      <c r="C64" s="14" t="n">
        <v>2.53944363094</v>
      </c>
      <c r="D64" s="21">
        <f>100*(C64-C63)</f>
        <v/>
      </c>
      <c r="E64" s="22">
        <f>'A3 control'!AL198</f>
        <v/>
      </c>
      <c r="F64" s="9" t="n">
        <v>1</v>
      </c>
    </row>
    <row r="65">
      <c r="A65" s="9" t="n">
        <v>-60</v>
      </c>
      <c r="B65" s="7" t="n">
        <v>41106</v>
      </c>
      <c r="C65" s="14" t="n">
        <v>2.48915784976</v>
      </c>
      <c r="D65" s="21">
        <f>100*(C65-C64)</f>
        <v/>
      </c>
      <c r="E65" s="22">
        <f>'A3 control'!AL199</f>
        <v/>
      </c>
      <c r="F65" s="9" t="n">
        <v>1</v>
      </c>
    </row>
    <row r="66">
      <c r="A66" s="9" t="n">
        <v>-59</v>
      </c>
      <c r="B66" s="7" t="n">
        <v>41107</v>
      </c>
      <c r="C66" s="14" t="n">
        <v>2.50365623446</v>
      </c>
      <c r="D66" s="21">
        <f>100*(C66-C65)</f>
        <v/>
      </c>
      <c r="E66" s="22">
        <f>'A3 control'!AL200</f>
        <v/>
      </c>
      <c r="F66" s="9" t="n">
        <v>1</v>
      </c>
    </row>
    <row r="67">
      <c r="A67" s="9" t="n">
        <v>-58</v>
      </c>
      <c r="B67" s="7" t="n">
        <v>41108</v>
      </c>
      <c r="C67" s="14" t="n">
        <v>2.47334576126</v>
      </c>
      <c r="D67" s="21">
        <f>100*(C67-C66)</f>
        <v/>
      </c>
      <c r="E67" s="22">
        <f>'A3 control'!AL201</f>
        <v/>
      </c>
      <c r="F67" s="9" t="n">
        <v>1</v>
      </c>
    </row>
    <row r="68">
      <c r="A68" s="9" t="n">
        <v>-57</v>
      </c>
      <c r="B68" s="7" t="n">
        <v>41109</v>
      </c>
      <c r="C68" s="14" t="n">
        <v>2.52607479282</v>
      </c>
      <c r="D68" s="21">
        <f>100*(C68-C67)</f>
        <v/>
      </c>
      <c r="E68" s="22">
        <f>'A3 control'!AL202</f>
        <v/>
      </c>
      <c r="F68" s="9" t="n">
        <v>1</v>
      </c>
    </row>
    <row r="69">
      <c r="A69" s="9" t="n">
        <v>-56</v>
      </c>
      <c r="B69" s="7" t="n">
        <v>41110</v>
      </c>
      <c r="C69" s="14" t="n">
        <v>2.50418305747</v>
      </c>
      <c r="D69" s="21">
        <f>100*(C69-C68)</f>
        <v/>
      </c>
      <c r="E69" s="22">
        <f>'A3 control'!AL203</f>
        <v/>
      </c>
      <c r="F69" s="9" t="n">
        <v>1</v>
      </c>
    </row>
    <row r="70">
      <c r="A70" s="9" t="n">
        <v>-55</v>
      </c>
      <c r="B70" s="7" t="n">
        <v>41113</v>
      </c>
      <c r="C70" s="14" t="n">
        <v>2.50453500861</v>
      </c>
      <c r="D70" s="21">
        <f>100*(C70-C69)</f>
        <v/>
      </c>
      <c r="E70" s="22">
        <f>'A3 control'!AL204</f>
        <v/>
      </c>
      <c r="F70" s="9" t="n">
        <v>1</v>
      </c>
    </row>
    <row r="71">
      <c r="A71" s="9" t="n">
        <v>-54</v>
      </c>
      <c r="B71" s="7" t="n">
        <v>41114</v>
      </c>
      <c r="C71" s="14" t="n">
        <v>2.49399643639</v>
      </c>
      <c r="D71" s="21">
        <f>100*(C71-C70)</f>
        <v/>
      </c>
      <c r="E71" s="22">
        <f>'A3 control'!AL205</f>
        <v/>
      </c>
      <c r="F71" s="9" t="n">
        <v>1</v>
      </c>
    </row>
    <row r="72">
      <c r="A72" s="9" t="n">
        <v>-53</v>
      </c>
      <c r="B72" s="7" t="n">
        <v>41115</v>
      </c>
      <c r="C72" s="14" t="n">
        <v>2.4961292899</v>
      </c>
      <c r="D72" s="21">
        <f>100*(C72-C71)</f>
        <v/>
      </c>
      <c r="E72" s="22">
        <f>'A3 control'!AL206</f>
        <v/>
      </c>
      <c r="F72" s="9" t="n">
        <v>1</v>
      </c>
    </row>
    <row r="73">
      <c r="A73" s="9" t="n">
        <v>-52</v>
      </c>
      <c r="B73" s="7" t="n">
        <v>41116</v>
      </c>
      <c r="C73" s="14" t="n">
        <v>2.50249492009</v>
      </c>
      <c r="D73" s="21">
        <f>100*(C73-C72)</f>
        <v/>
      </c>
      <c r="E73" s="22">
        <f>'A3 control'!AL207</f>
        <v/>
      </c>
      <c r="F73" s="9" t="n">
        <v>1</v>
      </c>
    </row>
    <row r="74">
      <c r="A74" s="9" t="n">
        <v>-51</v>
      </c>
      <c r="B74" s="7" t="n">
        <v>41117</v>
      </c>
      <c r="C74" s="14" t="n">
        <v>2.54708144562</v>
      </c>
      <c r="D74" s="21">
        <f>100*(C74-C73)</f>
        <v/>
      </c>
      <c r="E74" s="22">
        <f>'A3 control'!AL208</f>
        <v/>
      </c>
      <c r="F74" s="9" t="n">
        <v>1</v>
      </c>
    </row>
    <row r="75">
      <c r="A75" s="9" t="n">
        <v>-50</v>
      </c>
      <c r="B75" s="7" t="n">
        <v>41120</v>
      </c>
      <c r="C75" s="14" t="n">
        <v>2.55491148882</v>
      </c>
      <c r="D75" s="21">
        <f>100*(C75-C74)</f>
        <v/>
      </c>
      <c r="E75" s="22">
        <f>'A3 control'!AL209</f>
        <v/>
      </c>
      <c r="F75" s="9" t="n">
        <v>1</v>
      </c>
    </row>
    <row r="76">
      <c r="A76" s="9" t="n">
        <v>-49</v>
      </c>
      <c r="B76" s="7" t="n">
        <v>41121</v>
      </c>
      <c r="C76" s="14" t="n">
        <v>2.49222105723</v>
      </c>
      <c r="D76" s="21">
        <f>100*(C76-C75)</f>
        <v/>
      </c>
      <c r="E76" s="22">
        <f>'A3 control'!AL210</f>
        <v/>
      </c>
      <c r="F76" s="9" t="n">
        <v>1</v>
      </c>
    </row>
    <row r="77">
      <c r="A77" s="9" t="n">
        <v>-48</v>
      </c>
      <c r="B77" s="7" t="n">
        <v>41122</v>
      </c>
      <c r="C77" s="14" t="n">
        <v>2.52530635201</v>
      </c>
      <c r="D77" s="21">
        <f>100*(C77-C76)</f>
        <v/>
      </c>
      <c r="E77" s="22">
        <f>'A3 control'!AL211</f>
        <v/>
      </c>
      <c r="F77" s="9" t="n">
        <v>1</v>
      </c>
    </row>
    <row r="78">
      <c r="A78" s="9" t="n">
        <v>-47</v>
      </c>
      <c r="B78" s="7" t="n">
        <v>41123</v>
      </c>
      <c r="C78" s="14" t="n">
        <v>2.46449519277</v>
      </c>
      <c r="D78" s="21">
        <f>100*(C78-C77)</f>
        <v/>
      </c>
      <c r="E78" s="22">
        <f>'A3 control'!AL212</f>
        <v/>
      </c>
      <c r="F78" s="9" t="n">
        <v>1</v>
      </c>
    </row>
    <row r="79">
      <c r="A79" s="9" t="n">
        <v>-46</v>
      </c>
      <c r="B79" s="7" t="n">
        <v>41124</v>
      </c>
      <c r="C79" s="14" t="n">
        <v>2.55732463473</v>
      </c>
      <c r="D79" s="21">
        <f>100*(C79-C78)</f>
        <v/>
      </c>
      <c r="E79" s="22">
        <f>'A3 control'!AL213</f>
        <v/>
      </c>
      <c r="F79" s="9" t="n">
        <v>1</v>
      </c>
    </row>
    <row r="80">
      <c r="A80" s="9" t="n">
        <v>-45</v>
      </c>
      <c r="B80" s="7" t="n">
        <v>41127</v>
      </c>
      <c r="C80" s="14" t="n">
        <v>2.47984620189</v>
      </c>
      <c r="D80" s="21">
        <f>100*(C80-C79)</f>
        <v/>
      </c>
      <c r="E80" s="22">
        <f>'A3 control'!AL214</f>
        <v/>
      </c>
      <c r="F80" s="9" t="n">
        <v>1</v>
      </c>
    </row>
    <row r="81">
      <c r="A81" s="9" t="n">
        <v>-44</v>
      </c>
      <c r="B81" s="7" t="n">
        <v>41128</v>
      </c>
      <c r="C81" s="14" t="n">
        <v>2.56990899702</v>
      </c>
      <c r="D81" s="21">
        <f>100*(C81-C80)</f>
        <v/>
      </c>
      <c r="E81" s="22">
        <f>'A3 control'!AL215</f>
        <v/>
      </c>
      <c r="F81" s="9" t="n">
        <v>1</v>
      </c>
    </row>
    <row r="82">
      <c r="A82" s="9" t="n">
        <v>-43</v>
      </c>
      <c r="B82" s="7" t="n">
        <v>41129</v>
      </c>
      <c r="C82" s="14" t="n">
        <v>2.5269090003</v>
      </c>
      <c r="D82" s="21">
        <f>100*(C82-C81)</f>
        <v/>
      </c>
      <c r="E82" s="22">
        <f>'A3 control'!AL216</f>
        <v/>
      </c>
      <c r="F82" s="9" t="n">
        <v>1</v>
      </c>
    </row>
    <row r="83">
      <c r="A83" s="9" t="n">
        <v>-42</v>
      </c>
      <c r="B83" s="7" t="n">
        <v>41130</v>
      </c>
      <c r="C83" s="14" t="n">
        <v>2.56766948142</v>
      </c>
      <c r="D83" s="21">
        <f>100*(C83-C82)</f>
        <v/>
      </c>
      <c r="E83" s="22">
        <f>'A3 control'!AL217</f>
        <v/>
      </c>
      <c r="F83" s="9" t="n">
        <v>1</v>
      </c>
    </row>
    <row r="84">
      <c r="A84" s="9" t="n">
        <v>-41</v>
      </c>
      <c r="B84" s="7" t="n">
        <v>41131</v>
      </c>
      <c r="C84" s="14" t="n">
        <v>2.50052514414</v>
      </c>
      <c r="D84" s="21">
        <f>100*(C84-C83)</f>
        <v/>
      </c>
      <c r="E84" s="22">
        <f>'A3 control'!AL218</f>
        <v/>
      </c>
      <c r="F84" s="9" t="n">
        <v>1</v>
      </c>
    </row>
    <row r="85">
      <c r="A85" s="9" t="n">
        <v>-40</v>
      </c>
      <c r="B85" s="7" t="n">
        <v>41134</v>
      </c>
      <c r="C85" s="14" t="n">
        <v>2.53412346234</v>
      </c>
      <c r="D85" s="21">
        <f>100*(C85-C84)</f>
        <v/>
      </c>
      <c r="E85" s="22">
        <f>'A3 control'!AL219</f>
        <v/>
      </c>
      <c r="F85" s="9" t="n">
        <v>1</v>
      </c>
    </row>
    <row r="86">
      <c r="A86" s="9" t="n">
        <v>-39</v>
      </c>
      <c r="B86" s="7" t="n">
        <v>41135</v>
      </c>
      <c r="C86" s="14" t="n">
        <v>2.56753110956</v>
      </c>
      <c r="D86" s="21">
        <f>100*(C86-C85)</f>
        <v/>
      </c>
      <c r="E86" s="22">
        <f>'A3 control'!AL220</f>
        <v/>
      </c>
      <c r="F86" s="9" t="n">
        <v>1</v>
      </c>
    </row>
    <row r="87">
      <c r="A87" s="9" t="n">
        <v>-38</v>
      </c>
      <c r="B87" s="7" t="n">
        <v>41136</v>
      </c>
      <c r="C87" s="14" t="n">
        <v>2.64273561792</v>
      </c>
      <c r="D87" s="21">
        <f>100*(C87-C86)</f>
        <v/>
      </c>
      <c r="E87" s="22">
        <f>'A3 control'!AL221</f>
        <v/>
      </c>
      <c r="F87" s="9" t="n">
        <v>1</v>
      </c>
    </row>
    <row r="88">
      <c r="A88" s="9" t="n">
        <v>-37</v>
      </c>
      <c r="B88" s="7" t="n">
        <v>41137</v>
      </c>
      <c r="C88" s="14" t="n">
        <v>2.64866965188</v>
      </c>
      <c r="D88" s="21">
        <f>100*(C88-C87)</f>
        <v/>
      </c>
      <c r="E88" s="22">
        <f>'A3 control'!AL222</f>
        <v/>
      </c>
      <c r="F88" s="9" t="n">
        <v>1</v>
      </c>
    </row>
    <row r="89">
      <c r="A89" s="9" t="n">
        <v>-36</v>
      </c>
      <c r="B89" s="7" t="n">
        <v>41138</v>
      </c>
      <c r="C89" s="14" t="n">
        <v>2.62030307056</v>
      </c>
      <c r="D89" s="21">
        <f>100*(C89-C88)</f>
        <v/>
      </c>
      <c r="E89" s="22">
        <f>'A3 control'!AL223</f>
        <v/>
      </c>
      <c r="F89" s="9" t="n">
        <v>1</v>
      </c>
    </row>
    <row r="90">
      <c r="A90" s="9" t="n">
        <v>-35</v>
      </c>
      <c r="B90" s="7" t="n">
        <v>41141</v>
      </c>
      <c r="C90" s="14" t="n">
        <v>2.61329416071</v>
      </c>
      <c r="D90" s="21">
        <f>100*(C90-C89)</f>
        <v/>
      </c>
      <c r="E90" s="22">
        <f>'A3 control'!AL224</f>
        <v/>
      </c>
      <c r="F90" s="9" t="n">
        <v>1</v>
      </c>
    </row>
    <row r="91">
      <c r="A91" s="9" t="n">
        <v>-34</v>
      </c>
      <c r="B91" s="7" t="n">
        <v>41142</v>
      </c>
      <c r="C91" s="14" t="n">
        <v>2.6716700616</v>
      </c>
      <c r="D91" s="21">
        <f>100*(C91-C90)</f>
        <v/>
      </c>
      <c r="E91" s="22">
        <f>'A3 control'!AL225</f>
        <v/>
      </c>
      <c r="F91" s="9" t="n">
        <v>1</v>
      </c>
    </row>
    <row r="92">
      <c r="A92" s="9" t="n">
        <v>-33</v>
      </c>
      <c r="B92" s="7" t="n">
        <v>41143</v>
      </c>
      <c r="C92" s="14" t="n">
        <v>2.62333538423</v>
      </c>
      <c r="D92" s="21">
        <f>100*(C92-C91)</f>
        <v/>
      </c>
      <c r="E92" s="22">
        <f>'A3 control'!AL226</f>
        <v/>
      </c>
      <c r="F92" s="9" t="n">
        <v>1</v>
      </c>
    </row>
    <row r="93">
      <c r="A93" s="9" t="n">
        <v>-32</v>
      </c>
      <c r="B93" s="7" t="n">
        <v>41144</v>
      </c>
      <c r="C93" s="14" t="n">
        <v>2.56756770673</v>
      </c>
      <c r="D93" s="21">
        <f>100*(C93-C92)</f>
        <v/>
      </c>
      <c r="E93" s="22">
        <f>'A3 control'!AL227</f>
        <v/>
      </c>
      <c r="F93" s="9" t="n">
        <v>1</v>
      </c>
    </row>
    <row r="94">
      <c r="A94" s="9" t="n">
        <v>-31</v>
      </c>
      <c r="B94" s="7" t="n">
        <v>41145</v>
      </c>
      <c r="C94" s="14" t="n">
        <v>2.53138571664</v>
      </c>
      <c r="D94" s="21">
        <f>100*(C94-C93)</f>
        <v/>
      </c>
      <c r="E94" s="22">
        <f>'A3 control'!AL228</f>
        <v/>
      </c>
      <c r="F94" s="9" t="n">
        <v>1</v>
      </c>
    </row>
    <row r="95">
      <c r="A95" s="9" t="n">
        <v>-30</v>
      </c>
      <c r="B95" s="7" t="n">
        <v>41149</v>
      </c>
      <c r="C95" s="14" t="n">
        <v>2.50326108308</v>
      </c>
      <c r="D95" s="21">
        <f>100*(C95-C94)</f>
        <v/>
      </c>
      <c r="E95" s="22">
        <f>'A3 control'!AL229</f>
        <v/>
      </c>
      <c r="F95" s="9" t="n">
        <v>1</v>
      </c>
    </row>
    <row r="96">
      <c r="A96" s="9" t="n">
        <v>-29</v>
      </c>
      <c r="B96" s="7" t="n">
        <v>41150</v>
      </c>
      <c r="C96" s="14" t="n">
        <v>2.51082753376</v>
      </c>
      <c r="D96" s="21">
        <f>100*(C96-C95)</f>
        <v/>
      </c>
      <c r="E96" s="22">
        <f>'A3 control'!AL230</f>
        <v/>
      </c>
      <c r="F96" s="9" t="n">
        <v>1</v>
      </c>
    </row>
    <row r="97">
      <c r="A97" s="9" t="n">
        <v>-28</v>
      </c>
      <c r="B97" s="7" t="n">
        <v>41151</v>
      </c>
      <c r="C97" s="14" t="n">
        <v>2.4670084594</v>
      </c>
      <c r="D97" s="21">
        <f>100*(C97-C96)</f>
        <v/>
      </c>
      <c r="E97" s="22">
        <f>'A3 control'!AL231</f>
        <v/>
      </c>
      <c r="F97" s="9" t="n">
        <v>1</v>
      </c>
    </row>
    <row r="98">
      <c r="A98" s="9" t="n">
        <v>-27</v>
      </c>
      <c r="B98" s="7" t="n">
        <v>41152</v>
      </c>
      <c r="C98" s="14" t="n">
        <v>2.49473637625</v>
      </c>
      <c r="D98" s="21">
        <f>100*(C98-C97)</f>
        <v/>
      </c>
      <c r="E98" s="22">
        <f>'A3 control'!AL232</f>
        <v/>
      </c>
      <c r="F98" s="9" t="n">
        <v>1</v>
      </c>
    </row>
    <row r="99">
      <c r="A99" s="9" t="n">
        <v>-26</v>
      </c>
      <c r="B99" s="7" t="n">
        <v>41155</v>
      </c>
      <c r="C99" s="14" t="n">
        <v>2.51545402941</v>
      </c>
      <c r="D99" s="21">
        <f>100*(C99-C98)</f>
        <v/>
      </c>
      <c r="E99" s="22">
        <f>'A3 control'!AL233</f>
        <v/>
      </c>
      <c r="F99" s="9" t="n">
        <v>1</v>
      </c>
    </row>
    <row r="100">
      <c r="A100" s="9" t="n">
        <v>-25</v>
      </c>
      <c r="B100" s="7" t="n">
        <v>41156</v>
      </c>
      <c r="C100" s="14" t="n">
        <v>2.49377201751</v>
      </c>
      <c r="D100" s="21">
        <f>100*(C100-C99)</f>
        <v/>
      </c>
      <c r="E100" s="22">
        <f>'A3 control'!AL234</f>
        <v/>
      </c>
      <c r="F100" s="9" t="n">
        <v>1</v>
      </c>
    </row>
    <row r="101">
      <c r="A101" s="9" t="n">
        <v>-24</v>
      </c>
      <c r="B101" s="7" t="n">
        <v>41157</v>
      </c>
      <c r="C101" s="14" t="n">
        <v>2.52284500572</v>
      </c>
      <c r="D101" s="21">
        <f>100*(C101-C100)</f>
        <v/>
      </c>
      <c r="E101" s="22">
        <f>'A3 control'!AL235</f>
        <v/>
      </c>
      <c r="F101" s="9" t="n">
        <v>1</v>
      </c>
    </row>
    <row r="102">
      <c r="A102" s="9" t="n">
        <v>-23</v>
      </c>
      <c r="B102" s="7" t="n">
        <v>41158</v>
      </c>
      <c r="C102" s="14" t="n">
        <v>2.59999023938</v>
      </c>
      <c r="D102" s="21">
        <f>100*(C102-C101)</f>
        <v/>
      </c>
      <c r="E102" s="22">
        <f>'A3 control'!AL236</f>
        <v/>
      </c>
      <c r="F102" s="9" t="n">
        <v>1</v>
      </c>
    </row>
    <row r="103">
      <c r="A103" s="9" t="n">
        <v>-22</v>
      </c>
      <c r="B103" s="7" t="n">
        <v>41159</v>
      </c>
      <c r="C103" s="14" t="n">
        <v>2.57709504004</v>
      </c>
      <c r="D103" s="21">
        <f>100*(C103-C102)</f>
        <v/>
      </c>
      <c r="E103" s="22">
        <f>'A3 control'!AL237</f>
        <v/>
      </c>
      <c r="F103" s="9" t="n">
        <v>1</v>
      </c>
    </row>
    <row r="104">
      <c r="A104" s="9" t="n">
        <v>-21</v>
      </c>
      <c r="B104" s="7" t="n">
        <v>41162</v>
      </c>
      <c r="C104" s="14" t="n">
        <v>2.63247703784</v>
      </c>
      <c r="D104" s="21">
        <f>100*(C104-C103)</f>
        <v/>
      </c>
      <c r="E104" s="22">
        <f>'A3 control'!AL238</f>
        <v/>
      </c>
      <c r="F104" s="9" t="n">
        <v>1</v>
      </c>
    </row>
    <row r="105">
      <c r="A105" s="9" t="n">
        <v>-20</v>
      </c>
      <c r="B105" s="7" t="n">
        <v>41163</v>
      </c>
      <c r="C105" s="14" t="n">
        <v>2.65127994719</v>
      </c>
      <c r="D105" s="21">
        <f>100*(C105-C104)</f>
        <v/>
      </c>
      <c r="E105" s="22">
        <f>'A3 control'!AL239</f>
        <v/>
      </c>
      <c r="F105" s="9" t="n">
        <v>0</v>
      </c>
    </row>
    <row r="106">
      <c r="A106" s="9" t="n">
        <v>-19</v>
      </c>
      <c r="B106" s="7" t="n">
        <v>41164</v>
      </c>
      <c r="C106" s="14" t="n">
        <v>2.71124537489</v>
      </c>
      <c r="D106" s="21">
        <f>100*(C106-C105)</f>
        <v/>
      </c>
      <c r="E106" s="22">
        <f>'A3 control'!AL240</f>
        <v/>
      </c>
      <c r="F106" s="9" t="n">
        <v>0</v>
      </c>
    </row>
    <row r="107">
      <c r="A107" s="9" t="n">
        <v>-18</v>
      </c>
      <c r="B107" s="7" t="n">
        <v>41165</v>
      </c>
      <c r="C107" s="14" t="n">
        <v>2.68257779555</v>
      </c>
      <c r="D107" s="21">
        <f>100*(C107-C106)</f>
        <v/>
      </c>
      <c r="E107" s="22">
        <f>'A3 control'!AL241</f>
        <v/>
      </c>
      <c r="F107" s="9" t="n">
        <v>0</v>
      </c>
    </row>
    <row r="108">
      <c r="A108" s="9" t="n">
        <v>-17</v>
      </c>
      <c r="B108" s="7" t="n">
        <v>41166</v>
      </c>
      <c r="C108" s="14" t="n">
        <v>2.81699494571</v>
      </c>
      <c r="D108" s="21">
        <f>100*(C108-C107)</f>
        <v/>
      </c>
      <c r="E108" s="22">
        <f>'A3 control'!AL242</f>
        <v/>
      </c>
      <c r="F108" s="9" t="n">
        <v>0</v>
      </c>
    </row>
    <row r="109">
      <c r="A109" s="9" t="n">
        <v>-16</v>
      </c>
      <c r="B109" s="7" t="n">
        <v>41169</v>
      </c>
      <c r="C109" s="14" t="n">
        <v>2.77212285682</v>
      </c>
      <c r="D109" s="21">
        <f>100*(C109-C108)</f>
        <v/>
      </c>
      <c r="E109" s="22">
        <f>'A3 control'!AL243</f>
        <v/>
      </c>
      <c r="F109" s="9" t="n">
        <v>0</v>
      </c>
    </row>
    <row r="110">
      <c r="A110" s="9" t="n">
        <v>-15</v>
      </c>
      <c r="B110" s="7" t="n">
        <v>41170</v>
      </c>
      <c r="C110" s="14" t="n">
        <v>2.73146148945</v>
      </c>
      <c r="D110" s="21">
        <f>100*(C110-C109)</f>
        <v/>
      </c>
      <c r="E110" s="22">
        <f>'A3 control'!AL244</f>
        <v/>
      </c>
      <c r="F110" s="9" t="n">
        <v>0</v>
      </c>
    </row>
    <row r="111">
      <c r="A111" s="9" t="n">
        <v>-14</v>
      </c>
      <c r="B111" s="7" t="n">
        <v>41171</v>
      </c>
      <c r="C111" s="14" t="n">
        <v>2.71115759308</v>
      </c>
      <c r="D111" s="21">
        <f>100*(C111-C110)</f>
        <v/>
      </c>
      <c r="E111" s="22">
        <f>'A3 control'!AL245</f>
        <v/>
      </c>
      <c r="F111" s="9" t="n">
        <v>0</v>
      </c>
    </row>
    <row r="112">
      <c r="A112" s="9" t="n">
        <v>-13</v>
      </c>
      <c r="B112" s="7" t="n">
        <v>41172</v>
      </c>
      <c r="C112" s="14" t="n">
        <v>2.66561810046</v>
      </c>
      <c r="D112" s="21">
        <f>100*(C112-C111)</f>
        <v/>
      </c>
      <c r="E112" s="22">
        <f>'A3 control'!AL246</f>
        <v/>
      </c>
      <c r="F112" s="9" t="n">
        <v>0</v>
      </c>
    </row>
    <row r="113">
      <c r="A113" s="9" t="n">
        <v>-12</v>
      </c>
      <c r="B113" s="7" t="n">
        <v>41173</v>
      </c>
      <c r="C113" s="14" t="n">
        <v>2.70585391407</v>
      </c>
      <c r="D113" s="21">
        <f>100*(C113-C112)</f>
        <v/>
      </c>
      <c r="E113" s="22">
        <f>'A3 control'!AL247</f>
        <v/>
      </c>
      <c r="F113" s="9" t="n">
        <v>0</v>
      </c>
    </row>
    <row r="114">
      <c r="A114" s="9" t="n">
        <v>-11</v>
      </c>
      <c r="B114" s="7" t="n">
        <v>41176</v>
      </c>
      <c r="C114" s="14" t="n">
        <v>2.69567749576</v>
      </c>
      <c r="D114" s="21">
        <f>100*(C114-C113)</f>
        <v/>
      </c>
      <c r="E114" s="22">
        <f>'A3 control'!AL248</f>
        <v/>
      </c>
      <c r="F114" s="9" t="n">
        <v>0</v>
      </c>
    </row>
    <row r="115">
      <c r="A115" s="9" t="n">
        <v>-10</v>
      </c>
      <c r="B115" s="7" t="n">
        <v>41177</v>
      </c>
      <c r="C115" s="14" t="n">
        <v>2.68422087162</v>
      </c>
      <c r="D115" s="21">
        <f>100*(C115-C114)</f>
        <v/>
      </c>
      <c r="E115" s="22">
        <f>'A3 control'!AL249</f>
        <v/>
      </c>
      <c r="F115" s="9" t="n">
        <v>0</v>
      </c>
      <c r="G115" s="21">
        <f>D115-$B$137*E115</f>
        <v/>
      </c>
      <c r="H115" s="21">
        <f>H116-G116</f>
        <v/>
      </c>
      <c r="I115" s="21">
        <f>D115-E115</f>
        <v/>
      </c>
      <c r="J115" s="21">
        <f>J116-I116</f>
        <v/>
      </c>
      <c r="K115" s="21">
        <f>K116-D116</f>
        <v/>
      </c>
    </row>
    <row r="116">
      <c r="A116" s="9" t="n">
        <v>-9</v>
      </c>
      <c r="B116" s="7" t="n">
        <v>41178</v>
      </c>
      <c r="C116" s="14" t="n">
        <v>2.57634429864</v>
      </c>
      <c r="D116" s="21">
        <f>100*(C116-C115)</f>
        <v/>
      </c>
      <c r="E116" s="22">
        <f>'A3 control'!AL250</f>
        <v/>
      </c>
      <c r="F116" s="9" t="n">
        <v>0</v>
      </c>
      <c r="G116" s="21">
        <f>D116-$B$137*E116</f>
        <v/>
      </c>
      <c r="H116" s="21">
        <f>H117-G117</f>
        <v/>
      </c>
      <c r="I116" s="21">
        <f>D116-E116</f>
        <v/>
      </c>
      <c r="J116" s="21">
        <f>J117-I117</f>
        <v/>
      </c>
      <c r="K116" s="21">
        <f>K117-D117</f>
        <v/>
      </c>
    </row>
    <row r="117">
      <c r="A117" s="9" t="n">
        <v>-8</v>
      </c>
      <c r="B117" s="7" t="n">
        <v>41179</v>
      </c>
      <c r="C117" s="14" t="n">
        <v>2.6223320259</v>
      </c>
      <c r="D117" s="21">
        <f>100*(C117-C116)</f>
        <v/>
      </c>
      <c r="E117" s="22">
        <f>'A3 control'!AL251</f>
        <v/>
      </c>
      <c r="F117" s="9" t="n">
        <v>0</v>
      </c>
      <c r="G117" s="21">
        <f>D117-$B$137*E117</f>
        <v/>
      </c>
      <c r="H117" s="21">
        <f>H118-G118</f>
        <v/>
      </c>
      <c r="I117" s="21">
        <f>D117-E117</f>
        <v/>
      </c>
      <c r="J117" s="21">
        <f>J118-I118</f>
        <v/>
      </c>
      <c r="K117" s="21">
        <f>K118-D118</f>
        <v/>
      </c>
    </row>
    <row r="118">
      <c r="A118" s="9" t="n">
        <v>-7</v>
      </c>
      <c r="B118" s="7" t="n">
        <v>41180</v>
      </c>
      <c r="C118" s="14" t="n">
        <v>2.62510535514</v>
      </c>
      <c r="D118" s="21">
        <f>100*(C118-C117)</f>
        <v/>
      </c>
      <c r="E118" s="22">
        <f>'A3 control'!AL252</f>
        <v/>
      </c>
      <c r="F118" s="9" t="n">
        <v>0</v>
      </c>
      <c r="G118" s="21">
        <f>D118-$B$137*E118</f>
        <v/>
      </c>
      <c r="H118" s="21">
        <f>H119-G119</f>
        <v/>
      </c>
      <c r="I118" s="21">
        <f>D118-E118</f>
        <v/>
      </c>
      <c r="J118" s="21">
        <f>J119-I119</f>
        <v/>
      </c>
      <c r="K118" s="21">
        <f>K119-D119</f>
        <v/>
      </c>
    </row>
    <row r="119">
      <c r="A119" s="9" t="n">
        <v>-6</v>
      </c>
      <c r="B119" s="7" t="n">
        <v>41183</v>
      </c>
      <c r="C119" s="14" t="n">
        <v>2.63016955354</v>
      </c>
      <c r="D119" s="21">
        <f>100*(C119-C118)</f>
        <v/>
      </c>
      <c r="E119" s="22">
        <f>'A3 control'!AL253</f>
        <v/>
      </c>
      <c r="F119" s="9" t="n">
        <v>0</v>
      </c>
      <c r="G119" s="21">
        <f>D119-$B$137*E119</f>
        <v/>
      </c>
      <c r="H119" s="21" t="n">
        <v>0</v>
      </c>
      <c r="I119" s="21">
        <f>D119-E119</f>
        <v/>
      </c>
      <c r="J119" s="21" t="n">
        <v>0</v>
      </c>
      <c r="K119" s="21" t="n">
        <v>0</v>
      </c>
    </row>
    <row r="120">
      <c r="A120" s="9" t="n">
        <v>-5</v>
      </c>
      <c r="B120" s="7" t="n">
        <v>41184</v>
      </c>
      <c r="C120" s="14" t="n">
        <v>2.61601709566</v>
      </c>
      <c r="D120" s="21">
        <f>100*(C120-C119)</f>
        <v/>
      </c>
      <c r="E120" s="22">
        <f>'A3 control'!AL254</f>
        <v/>
      </c>
      <c r="F120" s="9" t="n">
        <v>0</v>
      </c>
      <c r="G120" s="21">
        <f>D120-$B$137*E120</f>
        <v/>
      </c>
      <c r="H120" s="21">
        <f>H119+G120</f>
        <v/>
      </c>
      <c r="I120" s="21">
        <f>D120-E120</f>
        <v/>
      </c>
      <c r="J120" s="21">
        <f>J119+I120</f>
        <v/>
      </c>
      <c r="K120" s="21">
        <f>K119+D120</f>
        <v/>
      </c>
    </row>
    <row r="121">
      <c r="A121" s="9" t="n">
        <v>-4</v>
      </c>
      <c r="B121" s="7" t="n">
        <v>41185</v>
      </c>
      <c r="C121" s="14" t="n">
        <v>2.59917775232</v>
      </c>
      <c r="D121" s="21">
        <f>100*(C121-C120)</f>
        <v/>
      </c>
      <c r="E121" s="22">
        <f>'A3 control'!AL255</f>
        <v/>
      </c>
      <c r="F121" s="9" t="n">
        <v>0</v>
      </c>
      <c r="G121" s="21">
        <f>D121-$B$137*E121</f>
        <v/>
      </c>
      <c r="H121" s="21">
        <f>H120+G121</f>
        <v/>
      </c>
      <c r="I121" s="21">
        <f>D121-E121</f>
        <v/>
      </c>
      <c r="J121" s="21">
        <f>J120+I121</f>
        <v/>
      </c>
      <c r="K121" s="21">
        <f>K120+D121</f>
        <v/>
      </c>
    </row>
    <row r="122">
      <c r="A122" s="9" t="n">
        <v>-3</v>
      </c>
      <c r="B122" s="7" t="n">
        <v>41186</v>
      </c>
      <c r="C122" s="14" t="n">
        <v>2.61224582316</v>
      </c>
      <c r="D122" s="21">
        <f>100*(C122-C121)</f>
        <v/>
      </c>
      <c r="E122" s="22">
        <f>'A3 control'!AL256</f>
        <v/>
      </c>
      <c r="F122" s="9" t="n">
        <v>0</v>
      </c>
      <c r="G122" s="21">
        <f>D122-$B$137*E122</f>
        <v/>
      </c>
      <c r="H122" s="21">
        <f>H121+G122</f>
        <v/>
      </c>
      <c r="I122" s="21">
        <f>D122-E122</f>
        <v/>
      </c>
      <c r="J122" s="21">
        <f>J121+I122</f>
        <v/>
      </c>
      <c r="K122" s="21">
        <f>K121+D122</f>
        <v/>
      </c>
    </row>
    <row r="123">
      <c r="A123" s="9" t="n">
        <v>-2</v>
      </c>
      <c r="B123" s="7" t="n">
        <v>41187</v>
      </c>
      <c r="C123" s="14" t="n">
        <v>2.68248341652</v>
      </c>
      <c r="D123" s="21">
        <f>100*(C123-C122)</f>
        <v/>
      </c>
      <c r="E123" s="22">
        <f>'A3 control'!AL257</f>
        <v/>
      </c>
      <c r="F123" s="9" t="n">
        <v>0</v>
      </c>
      <c r="G123" s="21">
        <f>D123-$B$137*E123</f>
        <v/>
      </c>
      <c r="H123" s="21">
        <f>H122+G123</f>
        <v/>
      </c>
      <c r="I123" s="21">
        <f>D123-E123</f>
        <v/>
      </c>
      <c r="J123" s="21">
        <f>J122+I123</f>
        <v/>
      </c>
      <c r="K123" s="21">
        <f>K122+D123</f>
        <v/>
      </c>
    </row>
    <row r="124">
      <c r="A124" s="9" t="n">
        <v>-1</v>
      </c>
      <c r="B124" s="7" t="n">
        <v>41190</v>
      </c>
      <c r="C124" s="14" t="n">
        <v>2.65153918879</v>
      </c>
      <c r="D124" s="21">
        <f>100*(C124-C123)</f>
        <v/>
      </c>
      <c r="E124" s="22">
        <f>'A3 control'!AL258</f>
        <v/>
      </c>
      <c r="F124" s="9" t="n">
        <v>0</v>
      </c>
      <c r="G124" s="21">
        <f>D124-$B$137*E124</f>
        <v/>
      </c>
      <c r="H124" s="21">
        <f>H123+G124</f>
        <v/>
      </c>
      <c r="I124" s="21">
        <f>D124-E124</f>
        <v/>
      </c>
      <c r="J124" s="21">
        <f>J123+I124</f>
        <v/>
      </c>
      <c r="K124" s="21">
        <f>K123+D124</f>
        <v/>
      </c>
    </row>
    <row r="125">
      <c r="A125" s="9" t="n">
        <v>0</v>
      </c>
      <c r="B125" s="7" t="n">
        <v>41191</v>
      </c>
      <c r="C125" s="14" t="n">
        <v>2.63599115159</v>
      </c>
      <c r="D125" s="21">
        <f>100*(C125-C124)</f>
        <v/>
      </c>
      <c r="E125" s="22">
        <f>'A3 control'!AL259</f>
        <v/>
      </c>
      <c r="F125" s="9" t="n">
        <v>0</v>
      </c>
      <c r="G125" s="21">
        <f>D125-$B$137*E125</f>
        <v/>
      </c>
      <c r="H125" s="21">
        <f>H124+G125</f>
        <v/>
      </c>
      <c r="I125" s="21">
        <f>D125-E125</f>
        <v/>
      </c>
      <c r="J125" s="21">
        <f>J124+I125</f>
        <v/>
      </c>
      <c r="K125" s="21">
        <f>K124+D125</f>
        <v/>
      </c>
    </row>
    <row r="126">
      <c r="A126" s="9" t="n">
        <v>1</v>
      </c>
      <c r="B126" s="7" t="n">
        <v>41192</v>
      </c>
      <c r="C126" s="14" t="n">
        <v>2.657474274</v>
      </c>
      <c r="D126" s="21">
        <f>100*(C126-C125)</f>
        <v/>
      </c>
      <c r="E126" s="22">
        <f>'A3 control'!AL260</f>
        <v/>
      </c>
      <c r="F126" s="9" t="n">
        <v>0</v>
      </c>
      <c r="G126" s="21">
        <f>D126-$B$137*E126</f>
        <v/>
      </c>
      <c r="H126" s="21">
        <f>H125+G126</f>
        <v/>
      </c>
      <c r="I126" s="21">
        <f>D126-E126</f>
        <v/>
      </c>
      <c r="J126" s="21">
        <f>J125+I126</f>
        <v/>
      </c>
      <c r="K126" s="21">
        <f>K125+D126</f>
        <v/>
      </c>
    </row>
    <row r="127">
      <c r="A127" s="9" t="n">
        <v>2</v>
      </c>
      <c r="B127" s="7" t="n">
        <v>41193</v>
      </c>
      <c r="C127" s="14" t="n">
        <v>2.67101280036</v>
      </c>
      <c r="D127" s="21">
        <f>100*(C127-C126)</f>
        <v/>
      </c>
      <c r="E127" s="22">
        <f>'A3 control'!AL261</f>
        <v/>
      </c>
      <c r="F127" s="9" t="n">
        <v>0</v>
      </c>
      <c r="G127" s="21">
        <f>D127-$B$137*E127</f>
        <v/>
      </c>
      <c r="H127" s="21">
        <f>H126+G127</f>
        <v/>
      </c>
      <c r="I127" s="21">
        <f>D127-E127</f>
        <v/>
      </c>
      <c r="J127" s="21">
        <f>J126+I127</f>
        <v/>
      </c>
      <c r="K127" s="21">
        <f>K126+D127</f>
        <v/>
      </c>
    </row>
    <row r="128">
      <c r="A128" s="9" t="n">
        <v>3</v>
      </c>
      <c r="B128" s="7" t="n">
        <v>41194</v>
      </c>
      <c r="C128" s="14" t="n">
        <v>2.61773934899</v>
      </c>
      <c r="D128" s="21">
        <f>100*(C128-C127)</f>
        <v/>
      </c>
      <c r="E128" s="22">
        <f>'A3 control'!AL262</f>
        <v/>
      </c>
      <c r="F128" s="9" t="n">
        <v>0</v>
      </c>
      <c r="G128" s="21">
        <f>D128-$B$137*E128</f>
        <v/>
      </c>
      <c r="H128" s="21">
        <f>H127+G128</f>
        <v/>
      </c>
      <c r="I128" s="21">
        <f>D128-E128</f>
        <v/>
      </c>
      <c r="J128" s="21">
        <f>J127+I128</f>
        <v/>
      </c>
      <c r="K128" s="21">
        <f>K127+D128</f>
        <v/>
      </c>
    </row>
    <row r="129">
      <c r="A129" s="9" t="n">
        <v>4</v>
      </c>
      <c r="B129" s="7" t="n">
        <v>41197</v>
      </c>
      <c r="C129" s="14" t="n">
        <v>2.64611694612</v>
      </c>
      <c r="D129" s="21">
        <f>100*(C129-C128)</f>
        <v/>
      </c>
      <c r="E129" s="22">
        <f>'A3 control'!AL263</f>
        <v/>
      </c>
      <c r="F129" s="9" t="n">
        <v>0</v>
      </c>
      <c r="G129" s="21">
        <f>D129-$B$137*E129</f>
        <v/>
      </c>
      <c r="H129" s="21">
        <f>H128+G129</f>
        <v/>
      </c>
      <c r="I129" s="21">
        <f>D129-E129</f>
        <v/>
      </c>
      <c r="J129" s="21">
        <f>J128+I129</f>
        <v/>
      </c>
      <c r="K129" s="21">
        <f>K128+D129</f>
        <v/>
      </c>
    </row>
    <row r="130">
      <c r="A130" s="9" t="n">
        <v>5</v>
      </c>
      <c r="B130" s="7" t="n">
        <v>41198</v>
      </c>
      <c r="C130" s="14" t="n">
        <v>2.70820389201</v>
      </c>
      <c r="D130" s="21">
        <f>100*(C130-C129)</f>
        <v/>
      </c>
      <c r="E130" s="22">
        <f>'A3 control'!AL264</f>
        <v/>
      </c>
      <c r="F130" s="9" t="n">
        <v>0</v>
      </c>
      <c r="G130" s="21">
        <f>D130-$B$137*E130</f>
        <v/>
      </c>
      <c r="H130" s="21">
        <f>H129+G130</f>
        <v/>
      </c>
      <c r="I130" s="21">
        <f>D130-E130</f>
        <v/>
      </c>
      <c r="J130" s="21">
        <f>J129+I130</f>
        <v/>
      </c>
      <c r="K130" s="21">
        <f>K129+D130</f>
        <v/>
      </c>
    </row>
    <row r="131">
      <c r="A131" s="9" t="n">
        <v>6</v>
      </c>
      <c r="B131" s="7" t="n">
        <v>41199</v>
      </c>
      <c r="C131" s="14" t="n">
        <v>2.79105471064</v>
      </c>
      <c r="D131" s="21">
        <f>100*(C131-C130)</f>
        <v/>
      </c>
      <c r="E131" s="22">
        <f>'A3 control'!AL265</f>
        <v/>
      </c>
      <c r="F131" s="9" t="n">
        <v>0</v>
      </c>
      <c r="G131" s="21">
        <f>D131-$B$137*E131</f>
        <v/>
      </c>
      <c r="H131" s="21">
        <f>H130+G131</f>
        <v/>
      </c>
      <c r="I131" s="21">
        <f>D131-E131</f>
        <v/>
      </c>
      <c r="J131" s="21">
        <f>J130+I131</f>
        <v/>
      </c>
      <c r="K131" s="21">
        <f>K130+D131</f>
        <v/>
      </c>
    </row>
    <row r="132">
      <c r="A132" s="9" t="n">
        <v>7</v>
      </c>
      <c r="B132" s="7" t="n">
        <v>41200</v>
      </c>
      <c r="C132" s="14" t="n">
        <v>2.77923217254</v>
      </c>
      <c r="D132" s="21">
        <f>100*(C132-C131)</f>
        <v/>
      </c>
      <c r="E132" s="22">
        <f>'A3 control'!AL266</f>
        <v/>
      </c>
      <c r="F132" s="9" t="n">
        <v>0</v>
      </c>
      <c r="G132" s="21">
        <f>D132-$B$137*E132</f>
        <v/>
      </c>
      <c r="H132" s="21">
        <f>H131+G132</f>
        <v/>
      </c>
      <c r="I132" s="21">
        <f>D132-E132</f>
        <v/>
      </c>
      <c r="J132" s="21">
        <f>J131+I132</f>
        <v/>
      </c>
      <c r="K132" s="21">
        <f>K131+D132</f>
        <v/>
      </c>
    </row>
    <row r="133">
      <c r="A133" s="9" t="n">
        <v>8</v>
      </c>
      <c r="B133" s="7" t="n">
        <v>41201</v>
      </c>
      <c r="C133" s="14" t="n">
        <v>2.76365633507</v>
      </c>
      <c r="D133" s="21">
        <f>100*(C133-C132)</f>
        <v/>
      </c>
      <c r="E133" s="22">
        <f>'A3 control'!AL267</f>
        <v/>
      </c>
      <c r="F133" s="9" t="n">
        <v>0</v>
      </c>
      <c r="G133" s="21">
        <f>D133-$B$137*E133</f>
        <v/>
      </c>
      <c r="H133" s="21">
        <f>H132+G133</f>
        <v/>
      </c>
      <c r="I133" s="21">
        <f>D133-E133</f>
        <v/>
      </c>
      <c r="J133" s="21">
        <f>J132+I133</f>
        <v/>
      </c>
      <c r="K133" s="21">
        <f>K132+D133</f>
        <v/>
      </c>
    </row>
    <row r="134">
      <c r="A134" s="9" t="n">
        <v>9</v>
      </c>
      <c r="B134" s="7" t="n">
        <v>41204</v>
      </c>
      <c r="C134" s="14" t="n">
        <v>2.78977773963</v>
      </c>
      <c r="D134" s="21">
        <f>100*(C134-C133)</f>
        <v/>
      </c>
      <c r="E134" s="22">
        <f>'A3 control'!AL268</f>
        <v/>
      </c>
      <c r="F134" s="9" t="n">
        <v>0</v>
      </c>
      <c r="G134" s="21">
        <f>D134-$B$137*E134</f>
        <v/>
      </c>
      <c r="H134" s="21">
        <f>H133+G134</f>
        <v/>
      </c>
      <c r="I134" s="21">
        <f>D134-E134</f>
        <v/>
      </c>
      <c r="J134" s="21">
        <f>J133+I134</f>
        <v/>
      </c>
      <c r="K134" s="21">
        <f>K133+D134</f>
        <v/>
      </c>
    </row>
    <row r="135">
      <c r="A135" s="9" t="n">
        <v>10</v>
      </c>
      <c r="B135" s="7" t="n">
        <v>41205</v>
      </c>
      <c r="C135" s="14" t="n">
        <v>2.71460044437</v>
      </c>
      <c r="D135" s="21">
        <f>100*(C135-C134)</f>
        <v/>
      </c>
      <c r="E135" s="22">
        <f>'A3 control'!AL269</f>
        <v/>
      </c>
      <c r="F135" s="9" t="n">
        <v>0</v>
      </c>
      <c r="G135" s="21">
        <f>D135-$B$137*E135</f>
        <v/>
      </c>
      <c r="H135" s="21">
        <f>H134+G135</f>
        <v/>
      </c>
      <c r="I135" s="21">
        <f>D135-E135</f>
        <v/>
      </c>
      <c r="J135" s="21">
        <f>J134+I135</f>
        <v/>
      </c>
      <c r="K135" s="21">
        <f>K134+D135</f>
        <v/>
      </c>
    </row>
    <row r="137">
      <c r="A137" s="6" t="inlineStr">
        <is>
          <t>β = SLOPE(Δy, Δc) over k = -120..-21</t>
        </is>
      </c>
      <c r="B137" s="23">
        <f>SLOPE(D5:D104,E5:E104)</f>
        <v/>
      </c>
    </row>
    <row r="138">
      <c r="A138" s="6" t="inlineStr">
        <is>
          <t>α (estimated, not subtracted)</t>
        </is>
      </c>
      <c r="B138" s="21">
        <f>INTERCEPT(D5:D104,E5:E104)</f>
        <v/>
      </c>
    </row>
    <row r="139">
      <c r="A139" s="6" t="inlineStr">
        <is>
          <t>R²</t>
        </is>
      </c>
      <c r="B139" s="17">
        <f>RSQ(D5:D104,E5:E104)</f>
        <v/>
      </c>
    </row>
    <row r="140">
      <c r="A140" s="6" t="inlineStr">
        <is>
          <t>Observations</t>
        </is>
      </c>
      <c r="B140" s="18">
        <f>COUNT(D5:D104)</f>
        <v/>
      </c>
    </row>
    <row r="141">
      <c r="A141" s="6" t="inlineStr">
        <is>
          <t>Python β, for comparison</t>
        </is>
      </c>
      <c r="B141" s="24" t="n">
        <v>0.9915514808918364</v>
      </c>
    </row>
    <row r="143">
      <c r="A143" s="3" t="inlineStr">
        <is>
          <t>The PM's three numbers (bp)</t>
        </is>
      </c>
      <c r="B143" s="3" t="inlineStr">
        <is>
          <t>B-β (main)</t>
        </is>
      </c>
      <c r="C143" s="3" t="inlineStr">
        <is>
          <t>B (β = 1)</t>
        </is>
      </c>
      <c r="D143" s="3" t="inlineStr">
        <is>
          <t>Raw (no control)</t>
        </is>
      </c>
      <c r="E143" s="3" t="inlineStr">
        <is>
          <t>Python B-β</t>
        </is>
      </c>
    </row>
    <row r="144">
      <c r="A144" s="6" t="inlineStr">
        <is>
          <t>Pre-auction cheapening, CAR(T-1) - CAR(T-6)</t>
        </is>
      </c>
      <c r="B144" s="16">
        <f>H124-H119</f>
        <v/>
      </c>
      <c r="C144" s="17">
        <f>J124-J119</f>
        <v/>
      </c>
      <c r="D144" s="17">
        <f>K124-K119</f>
        <v/>
      </c>
      <c r="E144" s="8" t="n">
        <v>1.696067810798845</v>
      </c>
    </row>
    <row r="145">
      <c r="A145" s="6" t="inlineStr">
        <is>
          <t>Auction day, CAR(T) - CAR(T-1)</t>
        </is>
      </c>
      <c r="B145" s="16">
        <f>H125-H124</f>
        <v/>
      </c>
      <c r="C145" s="17">
        <f>J125-J124</f>
        <v/>
      </c>
      <c r="D145" s="17">
        <f>K125-K124</f>
        <v/>
      </c>
      <c r="E145" s="8" t="n">
        <v>-0.8699470473154206</v>
      </c>
    </row>
    <row r="146">
      <c r="A146" s="6" t="inlineStr">
        <is>
          <t>Post-auction, CAR(T+5) - CAR(T)</t>
        </is>
      </c>
      <c r="B146" s="16">
        <f>H130-H125</f>
        <v/>
      </c>
      <c r="C146" s="17">
        <f>J130-J125</f>
        <v/>
      </c>
      <c r="D146" s="17">
        <f>K130-K125</f>
        <v/>
      </c>
      <c r="E146" s="8" t="n">
        <v>-1.500548953243984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5" t="inlineStr">
        <is>
          <t>A4: 1 5/8% Treasury Gilt 2028, auction 15 Mar 2018 - M1 (spec §7)</t>
        </is>
      </c>
    </row>
    <row r="3">
      <c r="A3" s="6" t="inlineStr">
        <is>
          <t>Auction date</t>
        </is>
      </c>
      <c r="B3" s="7" t="n">
        <v>43174</v>
      </c>
    </row>
    <row r="4">
      <c r="A4" s="6" t="inlineStr">
        <is>
          <t>Settlement date (DMO issue date)</t>
        </is>
      </c>
      <c r="B4" s="7" t="n">
        <v>43175</v>
      </c>
    </row>
    <row r="5">
      <c r="A5" s="6" t="inlineStr">
        <is>
          <t>Effective settlement (first issue date if later, decision #10)</t>
        </is>
      </c>
      <c r="B5" s="7" t="n">
        <v>43175</v>
      </c>
    </row>
    <row r="6">
      <c r="A6" s="6" t="inlineStr">
        <is>
          <t>Curve date (T-1 close)</t>
        </is>
      </c>
      <c r="B6" s="7" t="n">
        <v>43173</v>
      </c>
    </row>
    <row r="7">
      <c r="A7" s="6" t="inlineStr">
        <is>
          <t>Coupon (% p.a.)</t>
        </is>
      </c>
      <c r="B7" s="8" t="n">
        <v>1.625</v>
      </c>
    </row>
    <row r="8">
      <c r="A8" s="6" t="inlineStr">
        <is>
          <t>Maturity</t>
        </is>
      </c>
      <c r="B8" s="7" t="n">
        <v>47048</v>
      </c>
    </row>
    <row r="9">
      <c r="A9" s="6" t="inlineStr">
        <is>
          <t>First issue date</t>
        </is>
      </c>
      <c r="B9" s="7" t="n">
        <v>43175</v>
      </c>
    </row>
    <row r="10">
      <c r="A10" s="6" t="inlineStr">
        <is>
          <t>First coupon date (source below)</t>
        </is>
      </c>
      <c r="B10" s="7" t="n">
        <v>43395</v>
      </c>
    </row>
    <row r="11">
      <c r="A11" s="6" t="inlineStr">
        <is>
          <t>First coupon source</t>
        </is>
      </c>
      <c r="B11" s="9" t="inlineStr">
        <is>
          <t>DMO notice (issuance/pre-auction notice or prospectus)</t>
        </is>
      </c>
    </row>
    <row r="12">
      <c r="A12" s="6" t="inlineStr">
        <is>
          <t>Accrued interest at settlement (cash_flows)</t>
        </is>
      </c>
      <c r="B12" s="10" t="n">
        <v>0</v>
      </c>
    </row>
    <row r="13">
      <c r="A13" s="6" t="inlineStr">
        <is>
          <t>Average accepted yield, AAY (% , D2.1A)</t>
        </is>
      </c>
      <c r="B13" s="10" t="n">
        <v>1.579989</v>
      </c>
    </row>
    <row r="14">
      <c r="A14" s="6" t="inlineStr">
        <is>
          <t>Curve: last maturity T (y)</t>
        </is>
      </c>
      <c r="B14" s="11" t="n">
        <v>40</v>
      </c>
    </row>
    <row r="15">
      <c r="A15" s="6" t="inlineStr">
        <is>
          <t>Curve: z(T) (%)</t>
        </is>
      </c>
      <c r="B15" s="10" t="n">
        <v>1.590033565189645</v>
      </c>
    </row>
    <row r="16">
      <c r="A16" s="6" t="inlineStr">
        <is>
          <t>Curve: BoE forward f(T) (%)</t>
        </is>
      </c>
      <c r="B16" s="10" t="n">
        <v>0.8960570630193898</v>
      </c>
    </row>
    <row r="19">
      <c r="A19" s="3" t="inlineStr">
        <is>
          <t>Cash flow date</t>
        </is>
      </c>
      <c r="B19" s="3" t="inlineStr">
        <is>
          <t>Amount per £100</t>
        </is>
      </c>
      <c r="C19" s="3" t="inlineStr">
        <is>
          <t>t = days/365.25</t>
        </is>
      </c>
      <c r="D19" s="3" t="inlineStr">
        <is>
          <t>z(t) % (spline; flat fwd beyond T)</t>
        </is>
      </c>
      <c r="E19" s="3" t="inlineStr">
        <is>
          <t>DF = exp(-z/100·t)</t>
        </is>
      </c>
      <c r="F19" s="3" t="inlineStr">
        <is>
          <t>PV = amount·DF</t>
        </is>
      </c>
      <c r="G19" s="3" t="inlineStr">
        <is>
          <t>Exponent (semi-annual periods)</t>
        </is>
      </c>
      <c r="H19" s="3" t="inlineStr">
        <is>
          <t>v^exponent at model yield</t>
        </is>
      </c>
      <c r="I19" s="3" t="inlineStr">
        <is>
          <t>PV at model yield</t>
        </is>
      </c>
      <c r="J19" s="3" t="inlineStr">
        <is>
          <t>BoE point below</t>
        </is>
      </c>
      <c r="K19" s="3" t="inlineStr">
        <is>
          <t>z below</t>
        </is>
      </c>
      <c r="L19" s="3" t="inlineStr">
        <is>
          <t>BoE point above</t>
        </is>
      </c>
      <c r="M19" s="3" t="inlineStr">
        <is>
          <t>z above</t>
        </is>
      </c>
      <c r="N19" s="3" t="inlineStr">
        <is>
          <t>Linear interp. of z (check)</t>
        </is>
      </c>
    </row>
    <row r="20">
      <c r="A20" s="7" t="n">
        <v>43212</v>
      </c>
      <c r="B20" s="10" t="n">
        <v>0</v>
      </c>
      <c r="C20" s="12">
        <f>(A20-$B$5)/365.25</f>
        <v/>
      </c>
      <c r="D20" s="10" t="n">
        <v>0.4325947837738507</v>
      </c>
      <c r="E20" s="13">
        <f>EXP(-D20/100*C20)</f>
        <v/>
      </c>
      <c r="F20" s="12">
        <f>B20*E20</f>
        <v/>
      </c>
      <c r="G20" s="10" t="n">
        <v>0.2032967032967033</v>
      </c>
      <c r="H20" s="13">
        <f>(1/(1+$B$46/200))^G20</f>
        <v/>
      </c>
      <c r="I20" s="12">
        <f>B20*H20</f>
        <v/>
      </c>
    </row>
    <row r="21">
      <c r="A21" s="7" t="n">
        <v>43395</v>
      </c>
      <c r="B21" s="10" t="n">
        <v>0.9776785714285714</v>
      </c>
      <c r="C21" s="12">
        <f>(A21-$B$5)/365.25</f>
        <v/>
      </c>
      <c r="D21" s="10" t="n">
        <v>0.5065856701620408</v>
      </c>
      <c r="E21" s="13">
        <f>EXP(-D21/100*C21)</f>
        <v/>
      </c>
      <c r="F21" s="12">
        <f>B21*E21</f>
        <v/>
      </c>
      <c r="G21" s="10" t="n">
        <v>1.203296703296703</v>
      </c>
      <c r="H21" s="13">
        <f>(1/(1+$B$46/200))^G21</f>
        <v/>
      </c>
      <c r="I21" s="12">
        <f>B21*H21</f>
        <v/>
      </c>
      <c r="J21" s="8" t="n">
        <v>0.583333</v>
      </c>
      <c r="K21" s="10" t="n">
        <v>0.4998719758907924</v>
      </c>
      <c r="L21" s="8" t="n">
        <v>0.666667</v>
      </c>
      <c r="M21" s="10" t="n">
        <v>0.5280525659315912</v>
      </c>
      <c r="N21" s="12">
        <f>IF(L21=J21,K21,K21+(M21-K21)*(C21-J21)/(L21-J21))</f>
        <v/>
      </c>
    </row>
    <row r="22">
      <c r="A22" s="7" t="n">
        <v>43577</v>
      </c>
      <c r="B22" s="10" t="n">
        <v>0.8125</v>
      </c>
      <c r="C22" s="12">
        <f>(A22-$B$5)/365.25</f>
        <v/>
      </c>
      <c r="D22" s="10" t="n">
        <v>0.6304289670781678</v>
      </c>
      <c r="E22" s="13">
        <f>EXP(-D22/100*C22)</f>
        <v/>
      </c>
      <c r="F22" s="12">
        <f>B22*E22</f>
        <v/>
      </c>
      <c r="G22" s="10" t="n">
        <v>2.203296703296703</v>
      </c>
      <c r="H22" s="13">
        <f>(1/(1+$B$46/200))^G22</f>
        <v/>
      </c>
      <c r="I22" s="12">
        <f>B22*H22</f>
        <v/>
      </c>
      <c r="J22" s="8" t="n">
        <v>1.083333</v>
      </c>
      <c r="K22" s="10" t="n">
        <v>0.6273987986066635</v>
      </c>
      <c r="L22" s="8" t="n">
        <v>1.166667</v>
      </c>
      <c r="M22" s="10" t="n">
        <v>0.6414695785849075</v>
      </c>
      <c r="N22" s="12">
        <f>IF(L22=J22,K22,K22+(M22-K22)*(C22-J22)/(L22-J22))</f>
        <v/>
      </c>
    </row>
    <row r="23">
      <c r="A23" s="7" t="n">
        <v>43760</v>
      </c>
      <c r="B23" s="10" t="n">
        <v>0.8125</v>
      </c>
      <c r="C23" s="12">
        <f>(A23-$B$5)/365.25</f>
        <v/>
      </c>
      <c r="D23" s="10" t="n">
        <v>0.6993605527334557</v>
      </c>
      <c r="E23" s="13">
        <f>EXP(-D23/100*C23)</f>
        <v/>
      </c>
      <c r="F23" s="12">
        <f>B23*E23</f>
        <v/>
      </c>
      <c r="G23" s="10" t="n">
        <v>3.203296703296703</v>
      </c>
      <c r="H23" s="13">
        <f>(1/(1+$B$46/200))^G23</f>
        <v/>
      </c>
      <c r="I23" s="12">
        <f>B23*H23</f>
        <v/>
      </c>
      <c r="J23" s="8" t="n">
        <v>1.583333</v>
      </c>
      <c r="K23" s="10" t="n">
        <v>0.6972736720709383</v>
      </c>
      <c r="L23" s="8" t="n">
        <v>1.666667</v>
      </c>
      <c r="M23" s="10" t="n">
        <v>0.7066165317095239</v>
      </c>
      <c r="N23" s="12">
        <f>IF(L23=J23,K23,K23+(M23-K23)*(C23-J23)/(L23-J23))</f>
        <v/>
      </c>
    </row>
    <row r="24">
      <c r="A24" s="7" t="n">
        <v>43943</v>
      </c>
      <c r="B24" s="10" t="n">
        <v>0.8125</v>
      </c>
      <c r="C24" s="12">
        <f>(A24-$B$5)/365.25</f>
        <v/>
      </c>
      <c r="D24" s="10" t="n">
        <v>0.7512352227033838</v>
      </c>
      <c r="E24" s="13">
        <f>EXP(-D24/100*C24)</f>
        <v/>
      </c>
      <c r="F24" s="12">
        <f>B24*E24</f>
        <v/>
      </c>
      <c r="G24" s="10" t="n">
        <v>4.203296703296703</v>
      </c>
      <c r="H24" s="13">
        <f>(1/(1+$B$46/200))^G24</f>
        <v/>
      </c>
      <c r="I24" s="12">
        <f>B24*H24</f>
        <v/>
      </c>
      <c r="J24" s="8" t="n">
        <v>2.083333</v>
      </c>
      <c r="K24" s="10" t="n">
        <v>0.7493486266805487</v>
      </c>
      <c r="L24" s="8" t="n">
        <v>2.166667</v>
      </c>
      <c r="M24" s="10" t="n">
        <v>0.7574458638469156</v>
      </c>
      <c r="N24" s="12">
        <f>IF(L24=J24,K24,K24+(M24-K24)*(C24-J24)/(L24-J24))</f>
        <v/>
      </c>
    </row>
    <row r="25">
      <c r="A25" s="7" t="n">
        <v>44126</v>
      </c>
      <c r="B25" s="10" t="n">
        <v>0.8125</v>
      </c>
      <c r="C25" s="12">
        <f>(A25-$B$5)/365.25</f>
        <v/>
      </c>
      <c r="D25" s="10" t="n">
        <v>0.7991503489966422</v>
      </c>
      <c r="E25" s="13">
        <f>EXP(-D25/100*C25)</f>
        <v/>
      </c>
      <c r="F25" s="12">
        <f>B25*E25</f>
        <v/>
      </c>
      <c r="G25" s="10" t="n">
        <v>5.203296703296703</v>
      </c>
      <c r="H25" s="13">
        <f>(1/(1+$B$46/200))^G25</f>
        <v/>
      </c>
      <c r="I25" s="12">
        <f>B25*H25</f>
        <v/>
      </c>
      <c r="J25" s="8" t="n">
        <v>2.583333</v>
      </c>
      <c r="K25" s="10" t="n">
        <v>0.7972170806425664</v>
      </c>
      <c r="L25" s="8" t="n">
        <v>2.666667</v>
      </c>
      <c r="M25" s="10" t="n">
        <v>0.8051306317655407</v>
      </c>
      <c r="N25" s="12">
        <f>IF(L25=J25,K25,K25+(M25-K25)*(C25-J25)/(L25-J25))</f>
        <v/>
      </c>
    </row>
    <row r="26">
      <c r="A26" s="7" t="n">
        <v>44308</v>
      </c>
      <c r="B26" s="10" t="n">
        <v>0.8125</v>
      </c>
      <c r="C26" s="12">
        <f>(A26-$B$5)/365.25</f>
        <v/>
      </c>
      <c r="D26" s="10" t="n">
        <v>0.8467359190820342</v>
      </c>
      <c r="E26" s="13">
        <f>EXP(-D26/100*C26)</f>
        <v/>
      </c>
      <c r="F26" s="12">
        <f>B26*E26</f>
        <v/>
      </c>
      <c r="G26" s="10" t="n">
        <v>6.203296703296703</v>
      </c>
      <c r="H26" s="13">
        <f>(1/(1+$B$46/200))^G26</f>
        <v/>
      </c>
      <c r="I26" s="12">
        <f>B26*H26</f>
        <v/>
      </c>
      <c r="J26" s="8" t="n">
        <v>3.083333</v>
      </c>
      <c r="K26" s="10" t="n">
        <v>0.8449396258841128</v>
      </c>
      <c r="L26" s="8" t="n">
        <v>3.166667</v>
      </c>
      <c r="M26" s="10" t="n">
        <v>0.8529764413673324</v>
      </c>
      <c r="N26" s="12">
        <f>IF(L26=J26,K26,K26+(M26-K26)*(C26-J26)/(L26-J26))</f>
        <v/>
      </c>
    </row>
    <row r="27">
      <c r="A27" s="7" t="n">
        <v>44491</v>
      </c>
      <c r="B27" s="10" t="n">
        <v>0.8125</v>
      </c>
      <c r="C27" s="12">
        <f>(A27-$B$5)/365.25</f>
        <v/>
      </c>
      <c r="D27" s="10" t="n">
        <v>0.8955462343494567</v>
      </c>
      <c r="E27" s="13">
        <f>EXP(-D27/100*C27)</f>
        <v/>
      </c>
      <c r="F27" s="12">
        <f>B27*E27</f>
        <v/>
      </c>
      <c r="G27" s="10" t="n">
        <v>7.203296703296703</v>
      </c>
      <c r="H27" s="13">
        <f>(1/(1+$B$46/200))^G27</f>
        <v/>
      </c>
      <c r="I27" s="12">
        <f>B27*H27</f>
        <v/>
      </c>
      <c r="J27" s="8" t="n">
        <v>3.583333</v>
      </c>
      <c r="K27" s="10" t="n">
        <v>0.8936091010181558</v>
      </c>
      <c r="L27" s="8" t="n">
        <v>3.666667</v>
      </c>
      <c r="M27" s="10" t="n">
        <v>0.9018228099744549</v>
      </c>
      <c r="N27" s="12">
        <f>IF(L27=J27,K27,K27+(M27-K27)*(C27-J27)/(L27-J27))</f>
        <v/>
      </c>
    </row>
    <row r="28">
      <c r="A28" s="7" t="n">
        <v>44673</v>
      </c>
      <c r="B28" s="10" t="n">
        <v>0.8125</v>
      </c>
      <c r="C28" s="12">
        <f>(A28-$B$5)/365.25</f>
        <v/>
      </c>
      <c r="D28" s="10" t="n">
        <v>0.9450543982904711</v>
      </c>
      <c r="E28" s="13">
        <f>EXP(-D28/100*C28)</f>
        <v/>
      </c>
      <c r="F28" s="12">
        <f>B28*E28</f>
        <v/>
      </c>
      <c r="G28" s="10" t="n">
        <v>8.203296703296703</v>
      </c>
      <c r="H28" s="13">
        <f>(1/(1+$B$46/200))^G28</f>
        <v/>
      </c>
      <c r="I28" s="12">
        <f>B28*H28</f>
        <v/>
      </c>
      <c r="J28" s="8" t="n">
        <v>4.083333</v>
      </c>
      <c r="K28" s="10" t="n">
        <v>0.9432561631302753</v>
      </c>
      <c r="L28" s="8" t="n">
        <v>4.166666</v>
      </c>
      <c r="M28" s="10" t="n">
        <v>0.951602794931261</v>
      </c>
      <c r="N28" s="12">
        <f>IF(L28=J28,K28,K28+(M28-K28)*(C28-J28)/(L28-J28))</f>
        <v/>
      </c>
    </row>
    <row r="29">
      <c r="A29" s="7" t="n">
        <v>44856</v>
      </c>
      <c r="B29" s="10" t="n">
        <v>0.8125</v>
      </c>
      <c r="C29" s="12">
        <f>(A29-$B$5)/365.25</f>
        <v/>
      </c>
      <c r="D29" s="10" t="n">
        <v>0.9954366535949138</v>
      </c>
      <c r="E29" s="13">
        <f>EXP(-D29/100*C29)</f>
        <v/>
      </c>
      <c r="F29" s="12">
        <f>B29*E29</f>
        <v/>
      </c>
      <c r="G29" s="10" t="n">
        <v>9.203296703296703</v>
      </c>
      <c r="H29" s="13">
        <f>(1/(1+$B$46/200))^G29</f>
        <v/>
      </c>
      <c r="I29" s="12">
        <f>B29*H29</f>
        <v/>
      </c>
      <c r="J29" s="8" t="n">
        <v>4.583333</v>
      </c>
      <c r="K29" s="10" t="n">
        <v>0.9935210415953347</v>
      </c>
      <c r="L29" s="8" t="n">
        <v>4.666666</v>
      </c>
      <c r="M29" s="10" t="n">
        <v>1.001926818303531</v>
      </c>
      <c r="N29" s="12">
        <f>IF(L29=J29,K29,K29+(M29-K29)*(C29-J29)/(L29-J29))</f>
        <v/>
      </c>
    </row>
    <row r="30">
      <c r="A30" s="7" t="n">
        <v>45038</v>
      </c>
      <c r="B30" s="10" t="n">
        <v>0.8125</v>
      </c>
      <c r="C30" s="12">
        <f>(A30-$B$5)/365.25</f>
        <v/>
      </c>
      <c r="D30" s="10" t="n">
        <v>1.045700873536494</v>
      </c>
      <c r="E30" s="13">
        <f>EXP(-D30/100*C30)</f>
        <v/>
      </c>
      <c r="F30" s="12">
        <f>B30*E30</f>
        <v/>
      </c>
      <c r="G30" s="10" t="n">
        <v>10.2032967032967</v>
      </c>
      <c r="H30" s="13">
        <f>(1/(1+$B$46/200))^G30</f>
        <v/>
      </c>
      <c r="I30" s="12">
        <f>B30*H30</f>
        <v/>
      </c>
      <c r="J30" s="8" t="n">
        <v>5</v>
      </c>
      <c r="K30" s="10" t="n">
        <v>1.03555820263977</v>
      </c>
      <c r="L30" s="8" t="n">
        <v>5.5</v>
      </c>
      <c r="M30" s="10" t="n">
        <v>1.085848265438591</v>
      </c>
      <c r="N30" s="12">
        <f>IF(L30=J30,K30,K30+(M30-K30)*(C30-J30)/(L30-J30))</f>
        <v/>
      </c>
    </row>
    <row r="31">
      <c r="A31" s="7" t="n">
        <v>45221</v>
      </c>
      <c r="B31" s="10" t="n">
        <v>0.8125</v>
      </c>
      <c r="C31" s="12">
        <f>(A31-$B$5)/365.25</f>
        <v/>
      </c>
      <c r="D31" s="10" t="n">
        <v>1.096024678245658</v>
      </c>
      <c r="E31" s="13">
        <f>EXP(-D31/100*C31)</f>
        <v/>
      </c>
      <c r="F31" s="12">
        <f>B31*E31</f>
        <v/>
      </c>
      <c r="G31" s="10" t="n">
        <v>11.2032967032967</v>
      </c>
      <c r="H31" s="13">
        <f>(1/(1+$B$46/200))^G31</f>
        <v/>
      </c>
      <c r="I31" s="12">
        <f>B31*H31</f>
        <v/>
      </c>
      <c r="J31" s="8" t="n">
        <v>5.5</v>
      </c>
      <c r="K31" s="10" t="n">
        <v>1.085848265438591</v>
      </c>
      <c r="L31" s="8" t="n">
        <v>6</v>
      </c>
      <c r="M31" s="10" t="n">
        <v>1.135689987860566</v>
      </c>
      <c r="N31" s="12">
        <f>IF(L31=J31,K31,K31+(M31-K31)*(C31-J31)/(L31-J31))</f>
        <v/>
      </c>
    </row>
    <row r="32">
      <c r="A32" s="7" t="n">
        <v>45404</v>
      </c>
      <c r="B32" s="10" t="n">
        <v>0.8125</v>
      </c>
      <c r="C32" s="12">
        <f>(A32-$B$5)/365.25</f>
        <v/>
      </c>
      <c r="D32" s="10" t="n">
        <v>1.145848242965288</v>
      </c>
      <c r="E32" s="13">
        <f>EXP(-D32/100*C32)</f>
        <v/>
      </c>
      <c r="F32" s="12">
        <f>B32*E32</f>
        <v/>
      </c>
      <c r="G32" s="10" t="n">
        <v>12.2032967032967</v>
      </c>
      <c r="H32" s="13">
        <f>(1/(1+$B$46/200))^G32</f>
        <v/>
      </c>
      <c r="I32" s="12">
        <f>B32*H32</f>
        <v/>
      </c>
      <c r="J32" s="8" t="n">
        <v>6</v>
      </c>
      <c r="K32" s="10" t="n">
        <v>1.135689987860566</v>
      </c>
      <c r="L32" s="8" t="n">
        <v>6.5</v>
      </c>
      <c r="M32" s="10" t="n">
        <v>1.184866804247163</v>
      </c>
      <c r="N32" s="12">
        <f>IF(L32=J32,K32,K32+(M32-K32)*(C32-J32)/(L32-J32))</f>
        <v/>
      </c>
    </row>
    <row r="33">
      <c r="A33" s="7" t="n">
        <v>45587</v>
      </c>
      <c r="B33" s="10" t="n">
        <v>0.8125</v>
      </c>
      <c r="C33" s="12">
        <f>(A33-$B$5)/365.25</f>
        <v/>
      </c>
      <c r="D33" s="10" t="n">
        <v>1.194965907023766</v>
      </c>
      <c r="E33" s="13">
        <f>EXP(-D33/100*C33)</f>
        <v/>
      </c>
      <c r="F33" s="12">
        <f>B33*E33</f>
        <v/>
      </c>
      <c r="G33" s="10" t="n">
        <v>13.2032967032967</v>
      </c>
      <c r="H33" s="13">
        <f>(1/(1+$B$46/200))^G33</f>
        <v/>
      </c>
      <c r="I33" s="12">
        <f>B33*H33</f>
        <v/>
      </c>
      <c r="J33" s="8" t="n">
        <v>6.5</v>
      </c>
      <c r="K33" s="10" t="n">
        <v>1.184866804247163</v>
      </c>
      <c r="L33" s="8" t="n">
        <v>7</v>
      </c>
      <c r="M33" s="10" t="n">
        <v>1.233202491587983</v>
      </c>
      <c r="N33" s="12">
        <f>IF(L33=J33,K33,K33+(M33-K33)*(C33-J33)/(L33-J33))</f>
        <v/>
      </c>
    </row>
    <row r="34">
      <c r="A34" s="7" t="n">
        <v>45769</v>
      </c>
      <c r="B34" s="10" t="n">
        <v>0.8125</v>
      </c>
      <c r="C34" s="12">
        <f>(A34-$B$5)/365.25</f>
        <v/>
      </c>
      <c r="D34" s="10" t="n">
        <v>1.242943284571422</v>
      </c>
      <c r="E34" s="13">
        <f>EXP(-D34/100*C34)</f>
        <v/>
      </c>
      <c r="F34" s="12">
        <f>B34*E34</f>
        <v/>
      </c>
      <c r="G34" s="10" t="n">
        <v>14.2032967032967</v>
      </c>
      <c r="H34" s="13">
        <f>(1/(1+$B$46/200))^G34</f>
        <v/>
      </c>
      <c r="I34" s="12">
        <f>B34*H34</f>
        <v/>
      </c>
      <c r="J34" s="8" t="n">
        <v>7</v>
      </c>
      <c r="K34" s="10" t="n">
        <v>1.233202491587983</v>
      </c>
      <c r="L34" s="8" t="n">
        <v>7.5</v>
      </c>
      <c r="M34" s="10" t="n">
        <v>1.280529085257711</v>
      </c>
      <c r="N34" s="12">
        <f>IF(L34=J34,K34,K34+(M34-K34)*(C34-J34)/(L34-J34))</f>
        <v/>
      </c>
    </row>
    <row r="35">
      <c r="A35" s="7" t="n">
        <v>45952</v>
      </c>
      <c r="B35" s="10" t="n">
        <v>0.8125</v>
      </c>
      <c r="C35" s="12">
        <f>(A35-$B$5)/365.25</f>
        <v/>
      </c>
      <c r="D35" s="10" t="n">
        <v>1.290137872517868</v>
      </c>
      <c r="E35" s="13">
        <f>EXP(-D35/100*C35)</f>
        <v/>
      </c>
      <c r="F35" s="12">
        <f>B35*E35</f>
        <v/>
      </c>
      <c r="G35" s="10" t="n">
        <v>15.2032967032967</v>
      </c>
      <c r="H35" s="13">
        <f>(1/(1+$B$46/200))^G35</f>
        <v/>
      </c>
      <c r="I35" s="12">
        <f>B35*H35</f>
        <v/>
      </c>
      <c r="J35" s="8" t="n">
        <v>7.5</v>
      </c>
      <c r="K35" s="10" t="n">
        <v>1.280529085257711</v>
      </c>
      <c r="L35" s="8" t="n">
        <v>8</v>
      </c>
      <c r="M35" s="10" t="n">
        <v>1.326666369043976</v>
      </c>
      <c r="N35" s="12">
        <f>IF(L35=J35,K35,K35+(M35-K35)*(C35-J35)/(L35-J35))</f>
        <v/>
      </c>
    </row>
    <row r="36">
      <c r="A36" s="7" t="n">
        <v>46134</v>
      </c>
      <c r="B36" s="10" t="n">
        <v>0.8125</v>
      </c>
      <c r="C36" s="12">
        <f>(A36-$B$5)/365.25</f>
        <v/>
      </c>
      <c r="D36" s="10" t="n">
        <v>1.335852007856573</v>
      </c>
      <c r="E36" s="13">
        <f>EXP(-D36/100*C36)</f>
        <v/>
      </c>
      <c r="F36" s="12">
        <f>B36*E36</f>
        <v/>
      </c>
      <c r="G36" s="10" t="n">
        <v>16.2032967032967</v>
      </c>
      <c r="H36" s="13">
        <f>(1/(1+$B$46/200))^G36</f>
        <v/>
      </c>
      <c r="I36" s="12">
        <f>B36*H36</f>
        <v/>
      </c>
      <c r="J36" s="8" t="n">
        <v>8</v>
      </c>
      <c r="K36" s="10" t="n">
        <v>1.326666369043976</v>
      </c>
      <c r="L36" s="8" t="n">
        <v>8.5</v>
      </c>
      <c r="M36" s="10" t="n">
        <v>1.371423720901757</v>
      </c>
      <c r="N36" s="12">
        <f>IF(L36=J36,K36,K36+(M36-K36)*(C36-J36)/(L36-J36))</f>
        <v/>
      </c>
    </row>
    <row r="37">
      <c r="A37" s="7" t="n">
        <v>46317</v>
      </c>
      <c r="B37" s="10" t="n">
        <v>0.8125</v>
      </c>
      <c r="C37" s="12">
        <f>(A37-$B$5)/365.25</f>
        <v/>
      </c>
      <c r="D37" s="10" t="n">
        <v>1.380395754856887</v>
      </c>
      <c r="E37" s="13">
        <f>EXP(-D37/100*C37)</f>
        <v/>
      </c>
      <c r="F37" s="12">
        <f>B37*E37</f>
        <v/>
      </c>
      <c r="G37" s="10" t="n">
        <v>17.2032967032967</v>
      </c>
      <c r="H37" s="13">
        <f>(1/(1+$B$46/200))^G37</f>
        <v/>
      </c>
      <c r="I37" s="12">
        <f>B37*H37</f>
        <v/>
      </c>
      <c r="J37" s="8" t="n">
        <v>8.5</v>
      </c>
      <c r="K37" s="10" t="n">
        <v>1.371423720901757</v>
      </c>
      <c r="L37" s="8" t="n">
        <v>9</v>
      </c>
      <c r="M37" s="10" t="n">
        <v>1.414608876655752</v>
      </c>
      <c r="N37" s="12">
        <f>IF(L37=J37,K37,K37+(M37-K37)*(C37-J37)/(L37-J37))</f>
        <v/>
      </c>
    </row>
    <row r="38">
      <c r="A38" s="7" t="n">
        <v>46499</v>
      </c>
      <c r="B38" s="10" t="n">
        <v>0.8125</v>
      </c>
      <c r="C38" s="12">
        <f>(A38-$B$5)/365.25</f>
        <v/>
      </c>
      <c r="D38" s="10" t="n">
        <v>1.423093018054325</v>
      </c>
      <c r="E38" s="13">
        <f>EXP(-D38/100*C38)</f>
        <v/>
      </c>
      <c r="F38" s="12">
        <f>B38*E38</f>
        <v/>
      </c>
      <c r="G38" s="10" t="n">
        <v>18.2032967032967</v>
      </c>
      <c r="H38" s="13">
        <f>(1/(1+$B$46/200))^G38</f>
        <v/>
      </c>
      <c r="I38" s="12">
        <f>B38*H38</f>
        <v/>
      </c>
      <c r="J38" s="8" t="n">
        <v>9</v>
      </c>
      <c r="K38" s="10" t="n">
        <v>1.414608876655752</v>
      </c>
      <c r="L38" s="8" t="n">
        <v>9.5</v>
      </c>
      <c r="M38" s="10" t="n">
        <v>1.456044834205007</v>
      </c>
      <c r="N38" s="12">
        <f>IF(L38=J38,K38,K38+(M38-K38)*(C38-J38)/(L38-J38))</f>
        <v/>
      </c>
    </row>
    <row r="39">
      <c r="A39" s="7" t="n">
        <v>46682</v>
      </c>
      <c r="B39" s="10" t="n">
        <v>0.8125</v>
      </c>
      <c r="C39" s="12">
        <f>(A39-$B$5)/365.25</f>
        <v/>
      </c>
      <c r="D39" s="10" t="n">
        <v>1.464239775176354</v>
      </c>
      <c r="E39" s="13">
        <f>EXP(-D39/100*C39)</f>
        <v/>
      </c>
      <c r="F39" s="12">
        <f>B39*E39</f>
        <v/>
      </c>
      <c r="G39" s="10" t="n">
        <v>19.2032967032967</v>
      </c>
      <c r="H39" s="13">
        <f>(1/(1+$B$46/200))^G39</f>
        <v/>
      </c>
      <c r="I39" s="12">
        <f>B39*H39</f>
        <v/>
      </c>
      <c r="J39" s="8" t="n">
        <v>9.5</v>
      </c>
      <c r="K39" s="10" t="n">
        <v>1.456044834205007</v>
      </c>
      <c r="L39" s="8" t="n">
        <v>10</v>
      </c>
      <c r="M39" s="10" t="n">
        <v>1.495576949144373</v>
      </c>
      <c r="N39" s="12">
        <f>IF(L39=J39,K39,K39+(M39-K39)*(C39-J39)/(L39-J39))</f>
        <v/>
      </c>
    </row>
    <row r="40">
      <c r="A40" s="7" t="n">
        <v>46865</v>
      </c>
      <c r="B40" s="10" t="n">
        <v>0.8125</v>
      </c>
      <c r="C40" s="12">
        <f>(A40-$B$5)/365.25</f>
        <v/>
      </c>
      <c r="D40" s="10" t="n">
        <v>1.503446941225229</v>
      </c>
      <c r="E40" s="13">
        <f>EXP(-D40/100*C40)</f>
        <v/>
      </c>
      <c r="F40" s="12">
        <f>B40*E40</f>
        <v/>
      </c>
      <c r="G40" s="10" t="n">
        <v>20.2032967032967</v>
      </c>
      <c r="H40" s="13">
        <f>(1/(1+$B$46/200))^G40</f>
        <v/>
      </c>
      <c r="I40" s="12">
        <f>B40*H40</f>
        <v/>
      </c>
      <c r="J40" s="8" t="n">
        <v>10</v>
      </c>
      <c r="K40" s="10" t="n">
        <v>1.495576949144373</v>
      </c>
      <c r="L40" s="8" t="n">
        <v>10.5</v>
      </c>
      <c r="M40" s="10" t="n">
        <v>1.533082544024571</v>
      </c>
      <c r="N40" s="12">
        <f>IF(L40=J40,K40,K40+(M40-K40)*(C40-J40)/(L40-J40))</f>
        <v/>
      </c>
    </row>
    <row r="41">
      <c r="A41" s="7" t="n">
        <v>47048</v>
      </c>
      <c r="B41" s="10" t="n">
        <v>100.8125</v>
      </c>
      <c r="C41" s="12">
        <f>(A41-$B$5)/365.25</f>
        <v/>
      </c>
      <c r="D41" s="10" t="n">
        <v>1.540598648034582</v>
      </c>
      <c r="E41" s="13">
        <f>EXP(-D41/100*C41)</f>
        <v/>
      </c>
      <c r="F41" s="12">
        <f>B41*E41</f>
        <v/>
      </c>
      <c r="G41" s="10" t="n">
        <v>21.2032967032967</v>
      </c>
      <c r="H41" s="13">
        <f>(1/(1+$B$46/200))^G41</f>
        <v/>
      </c>
      <c r="I41" s="12">
        <f>B41*H41</f>
        <v/>
      </c>
      <c r="J41" s="8" t="n">
        <v>10.5</v>
      </c>
      <c r="K41" s="10" t="n">
        <v>1.533082544024571</v>
      </c>
      <c r="L41" s="8" t="n">
        <v>11</v>
      </c>
      <c r="M41" s="10" t="n">
        <v>1.56847608089021</v>
      </c>
      <c r="N41" s="12">
        <f>IF(L41=J41,K41,K41+(M41-K41)*(C41-J41)/(L41-J41))</f>
        <v/>
      </c>
    </row>
    <row r="43">
      <c r="A43" s="6" t="inlineStr">
        <is>
          <t>Curve dirty price = SUM(PV)</t>
        </is>
      </c>
      <c r="B43" s="12">
        <f>SUM(F20:F41)</f>
        <v/>
      </c>
    </row>
    <row r="44">
      <c r="A44" s="6" t="inlineStr">
        <is>
          <t>Accrued interest</t>
        </is>
      </c>
      <c r="B44" s="12">
        <f>B12</f>
        <v/>
      </c>
    </row>
    <row r="45">
      <c r="A45" s="6" t="inlineStr">
        <is>
          <t>Curve clean price</t>
        </is>
      </c>
      <c r="B45" s="12">
        <f>B43-B44</f>
        <v/>
      </c>
    </row>
    <row r="46">
      <c r="A46" s="6" t="inlineStr">
        <is>
          <t>Model yield (% , brentq in Python)</t>
        </is>
      </c>
      <c r="B46" s="14" t="n">
        <v>1.519698308315441</v>
      </c>
    </row>
    <row r="47">
      <c r="A47" s="6" t="inlineStr">
        <is>
          <t>Price at the model yield = SUM(PV at model yield)</t>
        </is>
      </c>
      <c r="B47" s="12">
        <f>SUM(I20:I41)</f>
        <v/>
      </c>
    </row>
    <row r="48">
      <c r="A48" s="6" t="inlineStr">
        <is>
          <t>Check: price at model yield - curve dirty (≈ 0)</t>
        </is>
      </c>
      <c r="B48" s="15">
        <f>B47-B43</f>
        <v/>
      </c>
    </row>
    <row r="49">
      <c r="A49" s="6" t="inlineStr">
        <is>
          <t>M1 (bp) = 100·(AAY - model yield)</t>
        </is>
      </c>
      <c r="B49" s="16">
        <f>100*(B13-B46)</f>
        <v/>
      </c>
    </row>
    <row r="50">
      <c r="A50" s="6" t="inlineStr">
        <is>
          <t>Python M1 (bp), for comparison</t>
        </is>
      </c>
      <c r="B50" s="8" t="n">
        <v>6.029069168455914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6" customWidth="1" min="3" max="3"/>
    <col width="18" customWidth="1" min="4" max="4"/>
    <col width="18" customWidth="1" min="5" max="5"/>
    <col width="10" customWidth="1" min="6" max="6"/>
    <col width="52" customWidth="1" min="7" max="7"/>
  </cols>
  <sheetData>
    <row r="1">
      <c r="A1" s="5" t="inlineStr">
        <is>
          <t>A4: 1 5/8% Treasury Gilt 2028, auction 15 Mar 2018 - M1b baseline, T-25 to T-6 (decision #4)</t>
        </is>
      </c>
    </row>
    <row r="3">
      <c r="A3" s="3" t="inlineStr">
        <is>
          <t>k (business days)</t>
        </is>
      </c>
      <c r="B3" s="3" t="inlineStr">
        <is>
          <t>Date</t>
        </is>
      </c>
      <c r="C3" s="3" t="inlineStr">
        <is>
          <t>Market yield (%): DMO yield (from the DMO clean price before 25 Nov 2002)</t>
        </is>
      </c>
      <c r="D3" s="3" t="inlineStr">
        <is>
          <t>Model yield (%, curve of that day)</t>
        </is>
      </c>
      <c r="E3" s="3" t="inlineStr">
        <is>
          <t>Residual (bp) = 100·(DMO - model)</t>
        </is>
      </c>
      <c r="F3" s="3" t="inlineStr">
        <is>
          <t>Included (1/0)</t>
        </is>
      </c>
      <c r="G3" s="3" t="inlineStr">
        <is>
          <t>Excluded because</t>
        </is>
      </c>
    </row>
    <row r="4">
      <c r="A4" s="9" t="n">
        <v>-25</v>
      </c>
      <c r="B4" s="7" t="n">
        <v>43139</v>
      </c>
      <c r="C4" s="10" t="n"/>
      <c r="D4" s="10" t="n">
        <v>1.700776895</v>
      </c>
      <c r="E4" s="17">
        <f>IF(F4=1,100*(C4-D4),"")</f>
        <v/>
      </c>
      <c r="F4" s="9" t="n">
        <v>0</v>
      </c>
      <c r="G4" s="9" t="inlineStr">
        <is>
          <t>outside the reference-price data (1 Nov 1998 - 21 Jul 2017)</t>
        </is>
      </c>
    </row>
    <row r="5">
      <c r="A5" s="9" t="n">
        <v>-24</v>
      </c>
      <c r="B5" s="7" t="n">
        <v>43140</v>
      </c>
      <c r="C5" s="10" t="n"/>
      <c r="D5" s="10" t="n">
        <v>1.671477198</v>
      </c>
      <c r="E5" s="17">
        <f>IF(F5=1,100*(C5-D5),"")</f>
        <v/>
      </c>
      <c r="F5" s="9" t="n">
        <v>0</v>
      </c>
      <c r="G5" s="9" t="inlineStr">
        <is>
          <t>outside the reference-price data (1 Nov 1998 - 21 Jul 2017)</t>
        </is>
      </c>
    </row>
    <row r="6">
      <c r="A6" s="9" t="n">
        <v>-23</v>
      </c>
      <c r="B6" s="7" t="n">
        <v>43143</v>
      </c>
      <c r="C6" s="10" t="n"/>
      <c r="D6" s="10" t="n">
        <v>1.674160729</v>
      </c>
      <c r="E6" s="17">
        <f>IF(F6=1,100*(C6-D6),"")</f>
        <v/>
      </c>
      <c r="F6" s="9" t="n">
        <v>0</v>
      </c>
      <c r="G6" s="9" t="inlineStr">
        <is>
          <t>outside the reference-price data (1 Nov 1998 - 21 Jul 2017)</t>
        </is>
      </c>
    </row>
    <row r="7">
      <c r="A7" s="9" t="n">
        <v>-22</v>
      </c>
      <c r="B7" s="7" t="n">
        <v>43144</v>
      </c>
      <c r="C7" s="10" t="n"/>
      <c r="D7" s="10" t="n">
        <v>1.695475121</v>
      </c>
      <c r="E7" s="17">
        <f>IF(F7=1,100*(C7-D7),"")</f>
        <v/>
      </c>
      <c r="F7" s="9" t="n">
        <v>0</v>
      </c>
      <c r="G7" s="9" t="inlineStr">
        <is>
          <t>outside the reference-price data (1 Nov 1998 - 21 Jul 2017)</t>
        </is>
      </c>
    </row>
    <row r="8">
      <c r="A8" s="9" t="n">
        <v>-21</v>
      </c>
      <c r="B8" s="7" t="n">
        <v>43145</v>
      </c>
      <c r="C8" s="10" t="n"/>
      <c r="D8" s="10" t="n">
        <v>1.708647914</v>
      </c>
      <c r="E8" s="17">
        <f>IF(F8=1,100*(C8-D8),"")</f>
        <v/>
      </c>
      <c r="F8" s="9" t="n">
        <v>0</v>
      </c>
      <c r="G8" s="9" t="inlineStr">
        <is>
          <t>outside the reference-price data (1 Nov 1998 - 21 Jul 2017)</t>
        </is>
      </c>
    </row>
    <row r="9">
      <c r="A9" s="9" t="n">
        <v>-20</v>
      </c>
      <c r="B9" s="7" t="n">
        <v>43146</v>
      </c>
      <c r="C9" s="10" t="n"/>
      <c r="D9" s="10" t="n">
        <v>1.734456575</v>
      </c>
      <c r="E9" s="17">
        <f>IF(F9=1,100*(C9-D9),"")</f>
        <v/>
      </c>
      <c r="F9" s="9" t="n">
        <v>0</v>
      </c>
      <c r="G9" s="9" t="inlineStr">
        <is>
          <t>outside the reference-price data (1 Nov 1998 - 21 Jul 2017)</t>
        </is>
      </c>
    </row>
    <row r="10">
      <c r="A10" s="9" t="n">
        <v>-19</v>
      </c>
      <c r="B10" s="7" t="n">
        <v>43147</v>
      </c>
      <c r="C10" s="10" t="n"/>
      <c r="D10" s="10" t="n">
        <v>1.667660101</v>
      </c>
      <c r="E10" s="17">
        <f>IF(F10=1,100*(C10-D10),"")</f>
        <v/>
      </c>
      <c r="F10" s="9" t="n">
        <v>0</v>
      </c>
      <c r="G10" s="9" t="inlineStr">
        <is>
          <t>outside the reference-price data (1 Nov 1998 - 21 Jul 2017)</t>
        </is>
      </c>
    </row>
    <row r="11">
      <c r="A11" s="9" t="n">
        <v>-18</v>
      </c>
      <c r="B11" s="7" t="n">
        <v>43150</v>
      </c>
      <c r="C11" s="10" t="n"/>
      <c r="D11" s="10" t="n">
        <v>1.68397514</v>
      </c>
      <c r="E11" s="17">
        <f>IF(F11=1,100*(C11-D11),"")</f>
        <v/>
      </c>
      <c r="F11" s="9" t="n">
        <v>0</v>
      </c>
      <c r="G11" s="9" t="inlineStr">
        <is>
          <t>outside the reference-price data (1 Nov 1998 - 21 Jul 2017)</t>
        </is>
      </c>
    </row>
    <row r="12">
      <c r="A12" s="9" t="n">
        <v>-17</v>
      </c>
      <c r="B12" s="7" t="n">
        <v>43151</v>
      </c>
      <c r="C12" s="10" t="n"/>
      <c r="D12" s="10" t="n">
        <v>1.653577281</v>
      </c>
      <c r="E12" s="17">
        <f>IF(F12=1,100*(C12-D12),"")</f>
        <v/>
      </c>
      <c r="F12" s="9" t="n">
        <v>0</v>
      </c>
      <c r="G12" s="9" t="inlineStr">
        <is>
          <t>outside the reference-price data (1 Nov 1998 - 21 Jul 2017)</t>
        </is>
      </c>
    </row>
    <row r="13">
      <c r="A13" s="9" t="n">
        <v>-16</v>
      </c>
      <c r="B13" s="7" t="n">
        <v>43152</v>
      </c>
      <c r="C13" s="10" t="n"/>
      <c r="D13" s="10" t="n">
        <v>1.63635074</v>
      </c>
      <c r="E13" s="17">
        <f>IF(F13=1,100*(C13-D13),"")</f>
        <v/>
      </c>
      <c r="F13" s="9" t="n">
        <v>0</v>
      </c>
      <c r="G13" s="9" t="inlineStr">
        <is>
          <t>outside the reference-price data (1 Nov 1998 - 21 Jul 2017)</t>
        </is>
      </c>
    </row>
    <row r="14">
      <c r="A14" s="9" t="n">
        <v>-15</v>
      </c>
      <c r="B14" s="7" t="n">
        <v>43153</v>
      </c>
      <c r="C14" s="10" t="n"/>
      <c r="D14" s="10" t="n">
        <v>1.631234685</v>
      </c>
      <c r="E14" s="17">
        <f>IF(F14=1,100*(C14-D14),"")</f>
        <v/>
      </c>
      <c r="F14" s="9" t="n">
        <v>0</v>
      </c>
      <c r="G14" s="9" t="inlineStr">
        <is>
          <t>outside the reference-price data (1 Nov 1998 - 21 Jul 2017)</t>
        </is>
      </c>
    </row>
    <row r="15">
      <c r="A15" s="9" t="n">
        <v>-14</v>
      </c>
      <c r="B15" s="7" t="n">
        <v>43154</v>
      </c>
      <c r="C15" s="10" t="n"/>
      <c r="D15" s="10" t="n">
        <v>1.613239558</v>
      </c>
      <c r="E15" s="17">
        <f>IF(F15=1,100*(C15-D15),"")</f>
        <v/>
      </c>
      <c r="F15" s="9" t="n">
        <v>0</v>
      </c>
      <c r="G15" s="9" t="inlineStr">
        <is>
          <t>outside the reference-price data (1 Nov 1998 - 21 Jul 2017)</t>
        </is>
      </c>
    </row>
    <row r="16">
      <c r="A16" s="9" t="n">
        <v>-13</v>
      </c>
      <c r="B16" s="7" t="n">
        <v>43157</v>
      </c>
      <c r="C16" s="10" t="n"/>
      <c r="D16" s="10" t="n">
        <v>1.599053516</v>
      </c>
      <c r="E16" s="17">
        <f>IF(F16=1,100*(C16-D16),"")</f>
        <v/>
      </c>
      <c r="F16" s="9" t="n">
        <v>0</v>
      </c>
      <c r="G16" s="9" t="inlineStr">
        <is>
          <t>outside the reference-price data (1 Nov 1998 - 21 Jul 2017)</t>
        </is>
      </c>
    </row>
    <row r="17">
      <c r="A17" s="9" t="n">
        <v>-12</v>
      </c>
      <c r="B17" s="7" t="n">
        <v>43158</v>
      </c>
      <c r="C17" s="10" t="n"/>
      <c r="D17" s="10" t="n">
        <v>1.64369058</v>
      </c>
      <c r="E17" s="17">
        <f>IF(F17=1,100*(C17-D17),"")</f>
        <v/>
      </c>
      <c r="F17" s="9" t="n">
        <v>0</v>
      </c>
      <c r="G17" s="9" t="inlineStr">
        <is>
          <t>outside the reference-price data (1 Nov 1998 - 21 Jul 2017)</t>
        </is>
      </c>
    </row>
    <row r="18">
      <c r="A18" s="9" t="n">
        <v>-11</v>
      </c>
      <c r="B18" s="7" t="n">
        <v>43159</v>
      </c>
      <c r="C18" s="10" t="n"/>
      <c r="D18" s="10" t="n">
        <v>1.597848809</v>
      </c>
      <c r="E18" s="17">
        <f>IF(F18=1,100*(C18-D18),"")</f>
        <v/>
      </c>
      <c r="F18" s="9" t="n">
        <v>0</v>
      </c>
      <c r="G18" s="9" t="inlineStr">
        <is>
          <t>outside the reference-price data (1 Nov 1998 - 21 Jul 2017)</t>
        </is>
      </c>
    </row>
    <row r="19">
      <c r="A19" s="9" t="n">
        <v>-10</v>
      </c>
      <c r="B19" s="7" t="n">
        <v>43160</v>
      </c>
      <c r="C19" s="10" t="n"/>
      <c r="D19" s="10" t="n">
        <v>1.559757792</v>
      </c>
      <c r="E19" s="17">
        <f>IF(F19=1,100*(C19-D19),"")</f>
        <v/>
      </c>
      <c r="F19" s="9" t="n">
        <v>0</v>
      </c>
      <c r="G19" s="9" t="inlineStr">
        <is>
          <t>outside the reference-price data (1 Nov 1998 - 21 Jul 2017)</t>
        </is>
      </c>
    </row>
    <row r="20">
      <c r="A20" s="9" t="n">
        <v>-9</v>
      </c>
      <c r="B20" s="7" t="n">
        <v>43161</v>
      </c>
      <c r="C20" s="10" t="n"/>
      <c r="D20" s="10" t="n">
        <v>1.552176291</v>
      </c>
      <c r="E20" s="17">
        <f>IF(F20=1,100*(C20-D20),"")</f>
        <v/>
      </c>
      <c r="F20" s="9" t="n">
        <v>0</v>
      </c>
      <c r="G20" s="9" t="inlineStr">
        <is>
          <t>outside the reference-price data (1 Nov 1998 - 21 Jul 2017)</t>
        </is>
      </c>
    </row>
    <row r="21">
      <c r="A21" s="9" t="n">
        <v>-8</v>
      </c>
      <c r="B21" s="7" t="n">
        <v>43164</v>
      </c>
      <c r="C21" s="10" t="n"/>
      <c r="D21" s="10" t="n">
        <v>1.584736708</v>
      </c>
      <c r="E21" s="17">
        <f>IF(F21=1,100*(C21-D21),"")</f>
        <v/>
      </c>
      <c r="F21" s="9" t="n">
        <v>0</v>
      </c>
      <c r="G21" s="9" t="inlineStr">
        <is>
          <t>outside the reference-price data (1 Nov 1998 - 21 Jul 2017)</t>
        </is>
      </c>
    </row>
    <row r="22">
      <c r="A22" s="9" t="n">
        <v>-7</v>
      </c>
      <c r="B22" s="7" t="n">
        <v>43165</v>
      </c>
      <c r="C22" s="10" t="n"/>
      <c r="D22" s="10" t="n">
        <v>1.614401964</v>
      </c>
      <c r="E22" s="17">
        <f>IF(F22=1,100*(C22-D22),"")</f>
        <v/>
      </c>
      <c r="F22" s="9" t="n">
        <v>0</v>
      </c>
      <c r="G22" s="9" t="inlineStr">
        <is>
          <t>outside the reference-price data (1 Nov 1998 - 21 Jul 2017)</t>
        </is>
      </c>
    </row>
    <row r="23">
      <c r="A23" s="9" t="n">
        <v>-6</v>
      </c>
      <c r="B23" s="7" t="n">
        <v>43166</v>
      </c>
      <c r="C23" s="10" t="n"/>
      <c r="D23" s="10" t="n">
        <v>1.592204622</v>
      </c>
      <c r="E23" s="17">
        <f>IF(F23=1,100*(C23-D23),"")</f>
        <v/>
      </c>
      <c r="F23" s="9" t="n">
        <v>0</v>
      </c>
      <c r="G23" s="9" t="inlineStr">
        <is>
          <t>outside the reference-price data (1 Nov 1998 - 21 Jul 2017)</t>
        </is>
      </c>
    </row>
    <row r="25">
      <c r="A25" s="6" t="inlineStr">
        <is>
          <t>Valid days (need ≥ 10)</t>
        </is>
      </c>
      <c r="B25" s="18">
        <f>SUM(F4:F23)</f>
        <v/>
      </c>
    </row>
    <row r="26">
      <c r="A26" s="6" t="inlineStr">
        <is>
          <t>Baseline = mean residual (bp)</t>
        </is>
      </c>
      <c r="B26" s="17">
        <f>IF(B25&gt;=10,AVERAGEIF(F4:F23,1,E4:E23),"n/a")</f>
        <v/>
      </c>
    </row>
    <row r="27">
      <c r="A27" s="6" t="inlineStr">
        <is>
          <t>M1 (bp), from the M1 sheet</t>
        </is>
      </c>
      <c r="B27" s="17">
        <f>'A4 M1'!B49</f>
        <v/>
      </c>
    </row>
    <row r="28">
      <c r="A28" s="6" t="inlineStr">
        <is>
          <t>M1b (bp) = M1 - baseline</t>
        </is>
      </c>
      <c r="B28" s="16">
        <f>IF(B25&gt;=10,B27-B26,"n/a")</f>
        <v/>
      </c>
    </row>
    <row r="29">
      <c r="A29" s="6" t="inlineStr">
        <is>
          <t>Python M1b (bp), for comparison</t>
        </is>
      </c>
      <c r="B29" s="8" t="n"/>
    </row>
    <row r="30">
      <c r="A30" s="6" t="inlineStr">
        <is>
          <t>Python note</t>
        </is>
      </c>
      <c r="B30" s="9" t="inlineStr">
        <is>
          <t>new issue: no prices before launch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V26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5" t="inlineStr">
        <is>
          <t>A4: control maturities = BoE points 2-30y more than 3y from the gilt's 10.60y to maturity (45 points). Top: z (%); bottom: daily change (bp).</t>
        </is>
      </c>
    </row>
    <row r="3">
      <c r="A3" s="3" t="inlineStr">
        <is>
          <t>k</t>
        </is>
      </c>
      <c r="B3" s="3" t="inlineStr">
        <is>
          <t>Date</t>
        </is>
      </c>
      <c r="C3" s="3" t="inlineStr">
        <is>
          <t>z 2y</t>
        </is>
      </c>
      <c r="D3" s="3" t="inlineStr">
        <is>
          <t>z 2.5y</t>
        </is>
      </c>
      <c r="E3" s="3" t="inlineStr">
        <is>
          <t>z 3y</t>
        </is>
      </c>
      <c r="F3" s="3" t="inlineStr">
        <is>
          <t>z 3.5y</t>
        </is>
      </c>
      <c r="G3" s="3" t="inlineStr">
        <is>
          <t>z 4y</t>
        </is>
      </c>
      <c r="H3" s="3" t="inlineStr">
        <is>
          <t>z 4.5y</t>
        </is>
      </c>
      <c r="I3" s="3" t="inlineStr">
        <is>
          <t>z 5y</t>
        </is>
      </c>
      <c r="J3" s="3" t="inlineStr">
        <is>
          <t>z 5.5y</t>
        </is>
      </c>
      <c r="K3" s="3" t="inlineStr">
        <is>
          <t>z 6y</t>
        </is>
      </c>
      <c r="L3" s="3" t="inlineStr">
        <is>
          <t>z 6.5y</t>
        </is>
      </c>
      <c r="M3" s="3" t="inlineStr">
        <is>
          <t>z 7y</t>
        </is>
      </c>
      <c r="N3" s="3" t="inlineStr">
        <is>
          <t>z 7.5y</t>
        </is>
      </c>
      <c r="O3" s="3" t="inlineStr">
        <is>
          <t>z 14y</t>
        </is>
      </c>
      <c r="P3" s="3" t="inlineStr">
        <is>
          <t>z 14.5y</t>
        </is>
      </c>
      <c r="Q3" s="3" t="inlineStr">
        <is>
          <t>z 15y</t>
        </is>
      </c>
      <c r="R3" s="3" t="inlineStr">
        <is>
          <t>z 15.5y</t>
        </is>
      </c>
      <c r="S3" s="3" t="inlineStr">
        <is>
          <t>z 16y</t>
        </is>
      </c>
      <c r="T3" s="3" t="inlineStr">
        <is>
          <t>z 16.5y</t>
        </is>
      </c>
      <c r="U3" s="3" t="inlineStr">
        <is>
          <t>z 17y</t>
        </is>
      </c>
      <c r="V3" s="3" t="inlineStr">
        <is>
          <t>z 17.5y</t>
        </is>
      </c>
      <c r="W3" s="3" t="inlineStr">
        <is>
          <t>z 18y</t>
        </is>
      </c>
      <c r="X3" s="3" t="inlineStr">
        <is>
          <t>z 18.5y</t>
        </is>
      </c>
      <c r="Y3" s="3" t="inlineStr">
        <is>
          <t>z 19y</t>
        </is>
      </c>
      <c r="Z3" s="3" t="inlineStr">
        <is>
          <t>z 19.5y</t>
        </is>
      </c>
      <c r="AA3" s="3" t="inlineStr">
        <is>
          <t>z 20y</t>
        </is>
      </c>
      <c r="AB3" s="3" t="inlineStr">
        <is>
          <t>z 20.5y</t>
        </is>
      </c>
      <c r="AC3" s="3" t="inlineStr">
        <is>
          <t>z 21y</t>
        </is>
      </c>
      <c r="AD3" s="3" t="inlineStr">
        <is>
          <t>z 21.5y</t>
        </is>
      </c>
      <c r="AE3" s="3" t="inlineStr">
        <is>
          <t>z 22y</t>
        </is>
      </c>
      <c r="AF3" s="3" t="inlineStr">
        <is>
          <t>z 22.5y</t>
        </is>
      </c>
      <c r="AG3" s="3" t="inlineStr">
        <is>
          <t>z 23y</t>
        </is>
      </c>
      <c r="AH3" s="3" t="inlineStr">
        <is>
          <t>z 23.5y</t>
        </is>
      </c>
      <c r="AI3" s="3" t="inlineStr">
        <is>
          <t>z 24y</t>
        </is>
      </c>
      <c r="AJ3" s="3" t="inlineStr">
        <is>
          <t>z 24.5y</t>
        </is>
      </c>
      <c r="AK3" s="3" t="inlineStr">
        <is>
          <t>z 25y</t>
        </is>
      </c>
      <c r="AL3" s="3" t="inlineStr">
        <is>
          <t>z 25.5y</t>
        </is>
      </c>
      <c r="AM3" s="3" t="inlineStr">
        <is>
          <t>z 26y</t>
        </is>
      </c>
      <c r="AN3" s="3" t="inlineStr">
        <is>
          <t>z 26.5y</t>
        </is>
      </c>
      <c r="AO3" s="3" t="inlineStr">
        <is>
          <t>z 27y</t>
        </is>
      </c>
      <c r="AP3" s="3" t="inlineStr">
        <is>
          <t>z 27.5y</t>
        </is>
      </c>
      <c r="AQ3" s="3" t="inlineStr">
        <is>
          <t>z 28y</t>
        </is>
      </c>
      <c r="AR3" s="3" t="inlineStr">
        <is>
          <t>z 28.5y</t>
        </is>
      </c>
      <c r="AS3" s="3" t="inlineStr">
        <is>
          <t>z 29y</t>
        </is>
      </c>
      <c r="AT3" s="3" t="inlineStr">
        <is>
          <t>z 29.5y</t>
        </is>
      </c>
      <c r="AU3" s="3" t="inlineStr">
        <is>
          <t>z 30y</t>
        </is>
      </c>
    </row>
    <row r="4">
      <c r="A4" s="9" t="n">
        <v>-121</v>
      </c>
      <c r="B4" s="7" t="n">
        <v>43000</v>
      </c>
      <c r="C4" s="10" t="n">
        <v>0.4304288564404047</v>
      </c>
      <c r="D4" s="10" t="n">
        <v>0.472376465459743</v>
      </c>
      <c r="E4" s="10" t="n">
        <v>0.5235445566182763</v>
      </c>
      <c r="F4" s="10" t="n">
        <v>0.5814154151737635</v>
      </c>
      <c r="G4" s="10" t="n">
        <v>0.6438944979197803</v>
      </c>
      <c r="H4" s="10" t="n">
        <v>0.7093444066194268</v>
      </c>
      <c r="I4" s="10" t="n">
        <v>0.7764726646128787</v>
      </c>
      <c r="J4" s="10" t="n">
        <v>0.8442825525720482</v>
      </c>
      <c r="K4" s="10" t="n">
        <v>0.9120269257277663</v>
      </c>
      <c r="L4" s="10" t="n">
        <v>0.9791506250987992</v>
      </c>
      <c r="M4" s="10" t="n">
        <v>1.04523896261319</v>
      </c>
      <c r="N4" s="10" t="n">
        <v>1.109965760367392</v>
      </c>
      <c r="O4" s="10" t="n">
        <v>1.756865134128051</v>
      </c>
      <c r="P4" s="10" t="n">
        <v>1.790500693965938</v>
      </c>
      <c r="Q4" s="10" t="n">
        <v>1.821994655354889</v>
      </c>
      <c r="R4" s="10" t="n">
        <v>1.851396692719888</v>
      </c>
      <c r="S4" s="10" t="n">
        <v>1.878754371039686</v>
      </c>
      <c r="T4" s="10" t="n">
        <v>1.904113051970826</v>
      </c>
      <c r="U4" s="10" t="n">
        <v>1.927516214688914</v>
      </c>
      <c r="V4" s="10" t="n">
        <v>1.94900567471775</v>
      </c>
      <c r="W4" s="10" t="n">
        <v>1.968621384416349</v>
      </c>
      <c r="X4" s="10" t="n">
        <v>1.986401330379097</v>
      </c>
      <c r="Y4" s="10" t="n">
        <v>2.00238193127203</v>
      </c>
      <c r="Z4" s="10" t="n">
        <v>2.016599641898706</v>
      </c>
      <c r="AA4" s="10" t="n">
        <v>2.029092098969596</v>
      </c>
      <c r="AB4" s="10" t="n">
        <v>2.039898057437473</v>
      </c>
      <c r="AC4" s="10" t="n">
        <v>2.04905725737333</v>
      </c>
      <c r="AD4" s="10" t="n">
        <v>2.056610324775474</v>
      </c>
      <c r="AE4" s="10" t="n">
        <v>2.062599449748417</v>
      </c>
      <c r="AF4" s="10" t="n">
        <v>2.067070122016137</v>
      </c>
      <c r="AG4" s="10" t="n">
        <v>2.070070933067247</v>
      </c>
      <c r="AH4" s="10" t="n">
        <v>2.071652944367556</v>
      </c>
      <c r="AI4" s="10" t="n">
        <v>2.07186966453056</v>
      </c>
      <c r="AJ4" s="10" t="n">
        <v>2.070777452484819</v>
      </c>
      <c r="AK4" s="10" t="n">
        <v>2.068435413098522</v>
      </c>
      <c r="AL4" s="10" t="n">
        <v>2.064905133810518</v>
      </c>
      <c r="AM4" s="10" t="n">
        <v>2.060250676980357</v>
      </c>
      <c r="AN4" s="10" t="n">
        <v>2.054538942307185</v>
      </c>
      <c r="AO4" s="10" t="n">
        <v>2.047839662746371</v>
      </c>
      <c r="AP4" s="10" t="n">
        <v>2.04022557127875</v>
      </c>
      <c r="AQ4" s="10" t="n">
        <v>2.031772226636648</v>
      </c>
      <c r="AR4" s="10" t="n">
        <v>2.022557224493513</v>
      </c>
      <c r="AS4" s="10" t="n">
        <v>2.01265974528025</v>
      </c>
      <c r="AT4" s="10" t="n">
        <v>2.002160405416454</v>
      </c>
      <c r="AU4" s="10" t="n">
        <v>1.991140841087404</v>
      </c>
    </row>
    <row r="5">
      <c r="A5" s="9" t="n">
        <v>-120</v>
      </c>
      <c r="B5" s="7" t="n">
        <v>43003</v>
      </c>
      <c r="C5" s="10" t="n">
        <v>0.4123439725031385</v>
      </c>
      <c r="D5" s="10" t="n">
        <v>0.4536486044929846</v>
      </c>
      <c r="E5" s="10" t="n">
        <v>0.504094208950694</v>
      </c>
      <c r="F5" s="10" t="n">
        <v>0.5611931785342219</v>
      </c>
      <c r="G5" s="10" t="n">
        <v>0.6228641265271411</v>
      </c>
      <c r="H5" s="10" t="n">
        <v>0.687480100006282</v>
      </c>
      <c r="I5" s="10" t="n">
        <v>0.7537585888737918</v>
      </c>
      <c r="J5" s="10" t="n">
        <v>0.8207121441484706</v>
      </c>
      <c r="K5" s="10" t="n">
        <v>0.887604616208145</v>
      </c>
      <c r="L5" s="10" t="n">
        <v>0.9538934638642682</v>
      </c>
      <c r="M5" s="10" t="n">
        <v>1.019178714104926</v>
      </c>
      <c r="N5" s="10" t="n">
        <v>1.083147761152585</v>
      </c>
      <c r="O5" s="10" t="n">
        <v>1.726161675722021</v>
      </c>
      <c r="P5" s="10" t="n">
        <v>1.759831741879011</v>
      </c>
      <c r="Q5" s="10" t="n">
        <v>1.791373678139938</v>
      </c>
      <c r="R5" s="10" t="n">
        <v>1.820831524822802</v>
      </c>
      <c r="S5" s="10" t="n">
        <v>1.848248218526765</v>
      </c>
      <c r="T5" s="10" t="n">
        <v>1.873665433956384</v>
      </c>
      <c r="U5" s="10" t="n">
        <v>1.897123767088842</v>
      </c>
      <c r="V5" s="10" t="n">
        <v>1.918662854834343</v>
      </c>
      <c r="W5" s="10" t="n">
        <v>1.93832121669177</v>
      </c>
      <c r="X5" s="10" t="n">
        <v>1.956136168648841</v>
      </c>
      <c r="Y5" s="10" t="n">
        <v>1.972144110555036</v>
      </c>
      <c r="Z5" s="10" t="n">
        <v>1.986381867918418</v>
      </c>
      <c r="AA5" s="10" t="n">
        <v>1.998887630548558</v>
      </c>
      <c r="AB5" s="10" t="n">
        <v>2.009700854403626</v>
      </c>
      <c r="AC5" s="10" t="n">
        <v>2.018862110858417</v>
      </c>
      <c r="AD5" s="10" t="n">
        <v>2.026412971204557</v>
      </c>
      <c r="AE5" s="10" t="n">
        <v>2.032396594289758</v>
      </c>
      <c r="AF5" s="10" t="n">
        <v>2.036859246851129</v>
      </c>
      <c r="AG5" s="10" t="n">
        <v>2.03985009749336</v>
      </c>
      <c r="AH5" s="10" t="n">
        <v>2.041420639471447</v>
      </c>
      <c r="AI5" s="10" t="n">
        <v>2.041624701772006</v>
      </c>
      <c r="AJ5" s="10" t="n">
        <v>2.040518895814223</v>
      </c>
      <c r="AK5" s="10" t="n">
        <v>2.038162524313492</v>
      </c>
      <c r="AL5" s="10" t="n">
        <v>2.034617323864463</v>
      </c>
      <c r="AM5" s="10" t="n">
        <v>2.029947487053129</v>
      </c>
      <c r="AN5" s="10" t="n">
        <v>2.024220083170937</v>
      </c>
      <c r="AO5" s="10" t="n">
        <v>2.017505067708005</v>
      </c>
      <c r="AP5" s="10" t="n">
        <v>2.009875455609553</v>
      </c>
      <c r="AQ5" s="10" t="n">
        <v>2.001407136552407</v>
      </c>
      <c r="AR5" s="10" t="n">
        <v>1.99217805110348</v>
      </c>
      <c r="AS5" s="10" t="n">
        <v>1.982267725349883</v>
      </c>
      <c r="AT5" s="10" t="n">
        <v>1.971757121472303</v>
      </c>
      <c r="AU5" s="10" t="n">
        <v>1.96072820807611</v>
      </c>
    </row>
    <row r="6">
      <c r="A6" s="9" t="n">
        <v>-119</v>
      </c>
      <c r="B6" s="7" t="n">
        <v>43004</v>
      </c>
      <c r="C6" s="10" t="n">
        <v>0.4257254838110598</v>
      </c>
      <c r="D6" s="10" t="n">
        <v>0.4663713603891393</v>
      </c>
      <c r="E6" s="10" t="n">
        <v>0.5162531265740384</v>
      </c>
      <c r="F6" s="10" t="n">
        <v>0.5728462283866298</v>
      </c>
      <c r="G6" s="10" t="n">
        <v>0.6340277008179678</v>
      </c>
      <c r="H6" s="10" t="n">
        <v>0.6981355769167971</v>
      </c>
      <c r="I6" s="10" t="n">
        <v>0.7638589429926456</v>
      </c>
      <c r="J6" s="10" t="n">
        <v>0.8301884711675711</v>
      </c>
      <c r="K6" s="10" t="n">
        <v>0.8963761866164871</v>
      </c>
      <c r="L6" s="10" t="n">
        <v>0.9618772093044448</v>
      </c>
      <c r="M6" s="10" t="n">
        <v>1.026297957551578</v>
      </c>
      <c r="N6" s="10" t="n">
        <v>1.089338694710782</v>
      </c>
      <c r="O6" s="10" t="n">
        <v>1.722832025641515</v>
      </c>
      <c r="P6" s="10" t="n">
        <v>1.756277058070833</v>
      </c>
      <c r="Q6" s="10" t="n">
        <v>1.787656068313702</v>
      </c>
      <c r="R6" s="10" t="n">
        <v>1.817005682146986</v>
      </c>
      <c r="S6" s="10" t="n">
        <v>1.844361785080132</v>
      </c>
      <c r="T6" s="10" t="n">
        <v>1.869759470892</v>
      </c>
      <c r="U6" s="10" t="n">
        <v>1.893233156899214</v>
      </c>
      <c r="V6" s="10" t="n">
        <v>1.914816677720596</v>
      </c>
      <c r="W6" s="10" t="n">
        <v>1.934543342256407</v>
      </c>
      <c r="X6" s="10" t="n">
        <v>1.952445985490855</v>
      </c>
      <c r="Y6" s="10" t="n">
        <v>1.968557167044329</v>
      </c>
      <c r="Z6" s="10" t="n">
        <v>1.9829103465998</v>
      </c>
      <c r="AA6" s="10" t="n">
        <v>1.995540684045753</v>
      </c>
      <c r="AB6" s="10" t="n">
        <v>2.00648489385619</v>
      </c>
      <c r="AC6" s="10" t="n">
        <v>2.015781060020931</v>
      </c>
      <c r="AD6" s="10" t="n">
        <v>2.023468491132576</v>
      </c>
      <c r="AE6" s="10" t="n">
        <v>2.029588270721434</v>
      </c>
      <c r="AF6" s="10" t="n">
        <v>2.034184727893619</v>
      </c>
      <c r="AG6" s="10" t="n">
        <v>2.037305383311766</v>
      </c>
      <c r="AH6" s="10" t="n">
        <v>2.03900049712948</v>
      </c>
      <c r="AI6" s="10" t="n">
        <v>2.039323066024349</v>
      </c>
      <c r="AJ6" s="10" t="n">
        <v>2.038329265160307</v>
      </c>
      <c r="AK6" s="10" t="n">
        <v>2.036078324771331</v>
      </c>
      <c r="AL6" s="10" t="n">
        <v>2.032632236912533</v>
      </c>
      <c r="AM6" s="10" t="n">
        <v>2.028055730662285</v>
      </c>
      <c r="AN6" s="10" t="n">
        <v>2.022416619579991</v>
      </c>
      <c r="AO6" s="10" t="n">
        <v>2.015785765517522</v>
      </c>
      <c r="AP6" s="10" t="n">
        <v>2.008237179950046</v>
      </c>
      <c r="AQ6" s="10" t="n">
        <v>1.999847775844425</v>
      </c>
      <c r="AR6" s="10" t="n">
        <v>1.99069643048013</v>
      </c>
      <c r="AS6" s="10" t="n">
        <v>1.980863476796555</v>
      </c>
      <c r="AT6" s="10" t="n">
        <v>1.970430562699253</v>
      </c>
      <c r="AU6" s="10" t="n">
        <v>1.959480194028898</v>
      </c>
    </row>
    <row r="7">
      <c r="A7" s="9" t="n">
        <v>-118</v>
      </c>
      <c r="B7" s="7" t="n">
        <v>43005</v>
      </c>
      <c r="C7" s="10" t="n">
        <v>0.4447179656618266</v>
      </c>
      <c r="D7" s="10" t="n">
        <v>0.4893584446238031</v>
      </c>
      <c r="E7" s="10" t="n">
        <v>0.5432430797071773</v>
      </c>
      <c r="F7" s="10" t="n">
        <v>0.6035199314392553</v>
      </c>
      <c r="G7" s="10" t="n">
        <v>0.6679354444822074</v>
      </c>
      <c r="H7" s="10" t="n">
        <v>0.7348000861379204</v>
      </c>
      <c r="I7" s="10" t="n">
        <v>0.8028229835049713</v>
      </c>
      <c r="J7" s="10" t="n">
        <v>0.8710353448730614</v>
      </c>
      <c r="K7" s="10" t="n">
        <v>0.9387376949161533</v>
      </c>
      <c r="L7" s="10" t="n">
        <v>1.005433532996973</v>
      </c>
      <c r="M7" s="10" t="n">
        <v>1.070773856168206</v>
      </c>
      <c r="N7" s="10" t="n">
        <v>1.134499516478381</v>
      </c>
      <c r="O7" s="10" t="n">
        <v>1.766734128532583</v>
      </c>
      <c r="P7" s="10" t="n">
        <v>1.799790715574498</v>
      </c>
      <c r="Q7" s="10" t="n">
        <v>1.830778983145494</v>
      </c>
      <c r="R7" s="10" t="n">
        <v>1.85973846933882</v>
      </c>
      <c r="S7" s="10" t="n">
        <v>1.886707490438461</v>
      </c>
      <c r="T7" s="10" t="n">
        <v>1.911723257876159</v>
      </c>
      <c r="U7" s="10" t="n">
        <v>1.934822040245142</v>
      </c>
      <c r="V7" s="10" t="n">
        <v>1.956039313094913</v>
      </c>
      <c r="W7" s="10" t="n">
        <v>1.975409993087426</v>
      </c>
      <c r="X7" s="10" t="n">
        <v>1.992968612001982</v>
      </c>
      <c r="Y7" s="10" t="n">
        <v>2.008749491716153</v>
      </c>
      <c r="Z7" s="10" t="n">
        <v>2.02278773271707</v>
      </c>
      <c r="AA7" s="10" t="n">
        <v>2.03511987737707</v>
      </c>
      <c r="AB7" s="10" t="n">
        <v>2.045783784684546</v>
      </c>
      <c r="AC7" s="10" t="n">
        <v>2.054818473503945</v>
      </c>
      <c r="AD7" s="10" t="n">
        <v>2.062264000110925</v>
      </c>
      <c r="AE7" s="10" t="n">
        <v>2.068161921717122</v>
      </c>
      <c r="AF7" s="10" t="n">
        <v>2.072556524789089</v>
      </c>
      <c r="AG7" s="10" t="n">
        <v>2.075494824459603</v>
      </c>
      <c r="AH7" s="10" t="n">
        <v>2.07702622533858</v>
      </c>
      <c r="AI7" s="10" t="n">
        <v>2.07720258441526</v>
      </c>
      <c r="AJ7" s="10" t="n">
        <v>2.076078734126162</v>
      </c>
      <c r="AK7" s="10" t="n">
        <v>2.073712390586429</v>
      </c>
      <c r="AL7" s="10" t="n">
        <v>2.070163877975153</v>
      </c>
      <c r="AM7" s="10" t="n">
        <v>2.065496151993516</v>
      </c>
      <c r="AN7" s="10" t="n">
        <v>2.059775232939001</v>
      </c>
      <c r="AO7" s="10" t="n">
        <v>2.053070188572531</v>
      </c>
      <c r="AP7" s="10" t="n">
        <v>2.045453225811319</v>
      </c>
      <c r="AQ7" s="10" t="n">
        <v>2.036999450819591</v>
      </c>
      <c r="AR7" s="10" t="n">
        <v>2.027786005704005</v>
      </c>
      <c r="AS7" s="10" t="n">
        <v>2.01789159383225</v>
      </c>
      <c r="AT7" s="10" t="n">
        <v>2.007396332047667</v>
      </c>
      <c r="AU7" s="10" t="n">
        <v>1.996381314651397</v>
      </c>
    </row>
    <row r="8">
      <c r="A8" s="9" t="n">
        <v>-117</v>
      </c>
      <c r="B8" s="7" t="n">
        <v>43006</v>
      </c>
      <c r="C8" s="10" t="n">
        <v>0.4408353799063992</v>
      </c>
      <c r="D8" s="10" t="n">
        <v>0.4860437241840699</v>
      </c>
      <c r="E8" s="10" t="n">
        <v>0.5403574411103335</v>
      </c>
      <c r="F8" s="10" t="n">
        <v>0.6010135798569297</v>
      </c>
      <c r="G8" s="10" t="n">
        <v>0.6657966309519469</v>
      </c>
      <c r="H8" s="10" t="n">
        <v>0.7330286039477554</v>
      </c>
      <c r="I8" s="10" t="n">
        <v>0.8014186090526467</v>
      </c>
      <c r="J8" s="10" t="n">
        <v>0.8699929730077751</v>
      </c>
      <c r="K8" s="10" t="n">
        <v>0.9380460165898629</v>
      </c>
      <c r="L8" s="10" t="n">
        <v>1.005071658304736</v>
      </c>
      <c r="M8" s="10" t="n">
        <v>1.070708370041552</v>
      </c>
      <c r="N8" s="10" t="n">
        <v>1.134684034347677</v>
      </c>
      <c r="O8" s="10" t="n">
        <v>1.763877060151811</v>
      </c>
      <c r="P8" s="10" t="n">
        <v>1.796426031793965</v>
      </c>
      <c r="Q8" s="10" t="n">
        <v>1.826920398602607</v>
      </c>
      <c r="R8" s="10" t="n">
        <v>1.855406794658785</v>
      </c>
      <c r="S8" s="10" t="n">
        <v>1.881929148807679</v>
      </c>
      <c r="T8" s="10" t="n">
        <v>1.906528999765779</v>
      </c>
      <c r="U8" s="10" t="n">
        <v>1.929245846989096</v>
      </c>
      <c r="V8" s="10" t="n">
        <v>1.950117443191397</v>
      </c>
      <c r="W8" s="10" t="n">
        <v>1.969180046613931</v>
      </c>
      <c r="X8" s="10" t="n">
        <v>1.986468630575021</v>
      </c>
      <c r="Y8" s="10" t="n">
        <v>2.002017176862463</v>
      </c>
      <c r="Z8" s="10" t="n">
        <v>2.0158597988818</v>
      </c>
      <c r="AA8" s="10" t="n">
        <v>2.028031503678275</v>
      </c>
      <c r="AB8" s="10" t="n">
        <v>2.038568133837138</v>
      </c>
      <c r="AC8" s="10" t="n">
        <v>2.0475062680146</v>
      </c>
      <c r="AD8" s="10" t="n">
        <v>2.05488314953986</v>
      </c>
      <c r="AE8" s="10" t="n">
        <v>2.060737259171344</v>
      </c>
      <c r="AF8" s="10" t="n">
        <v>2.065109723514275</v>
      </c>
      <c r="AG8" s="10" t="n">
        <v>2.068044427649609</v>
      </c>
      <c r="AH8" s="10" t="n">
        <v>2.069587732743235</v>
      </c>
      <c r="AI8" s="10" t="n">
        <v>2.069788597676199</v>
      </c>
      <c r="AJ8" s="10" t="n">
        <v>2.068699231979014</v>
      </c>
      <c r="AK8" s="10" t="n">
        <v>2.066375011869668</v>
      </c>
      <c r="AL8" s="10" t="n">
        <v>2.062874178021621</v>
      </c>
      <c r="AM8" s="10" t="n">
        <v>2.058257872149124</v>
      </c>
      <c r="AN8" s="10" t="n">
        <v>2.052590628944039</v>
      </c>
      <c r="AO8" s="10" t="n">
        <v>2.04594034841808</v>
      </c>
      <c r="AP8" s="10" t="n">
        <v>2.03837835295217</v>
      </c>
      <c r="AQ8" s="10" t="n">
        <v>2.029979108012208</v>
      </c>
      <c r="AR8" s="10" t="n">
        <v>2.020819303767706</v>
      </c>
      <c r="AS8" s="10" t="n">
        <v>2.010977351658332</v>
      </c>
      <c r="AT8" s="10" t="n">
        <v>2.000533222599099</v>
      </c>
      <c r="AU8" s="10" t="n">
        <v>1.98956799337966</v>
      </c>
    </row>
    <row r="9">
      <c r="A9" s="9" t="n">
        <v>-116</v>
      </c>
      <c r="B9" s="7" t="n">
        <v>43007</v>
      </c>
      <c r="C9" s="10" t="n">
        <v>0.43372563839207</v>
      </c>
      <c r="D9" s="10" t="n">
        <v>0.4771884407545491</v>
      </c>
      <c r="E9" s="10" t="n">
        <v>0.5295976201477967</v>
      </c>
      <c r="F9" s="10" t="n">
        <v>0.5883270933861044</v>
      </c>
      <c r="G9" s="10" t="n">
        <v>0.6512926400306722</v>
      </c>
      <c r="H9" s="10" t="n">
        <v>0.7168980807315355</v>
      </c>
      <c r="I9" s="10" t="n">
        <v>0.7838915139279412</v>
      </c>
      <c r="J9" s="10" t="n">
        <v>0.8513049443116647</v>
      </c>
      <c r="K9" s="10" t="n">
        <v>0.918421175708496</v>
      </c>
      <c r="L9" s="10" t="n">
        <v>0.9847091196086465</v>
      </c>
      <c r="M9" s="10" t="n">
        <v>1.049774135485235</v>
      </c>
      <c r="N9" s="10" t="n">
        <v>1.113310187292649</v>
      </c>
      <c r="O9" s="10" t="n">
        <v>1.7401443482092</v>
      </c>
      <c r="P9" s="10" t="n">
        <v>1.772596379147143</v>
      </c>
      <c r="Q9" s="10" t="n">
        <v>1.803010088858731</v>
      </c>
      <c r="R9" s="10" t="n">
        <v>1.831432623884341</v>
      </c>
      <c r="S9" s="10" t="n">
        <v>1.857907984476457</v>
      </c>
      <c r="T9" s="10" t="n">
        <v>1.882477408769288</v>
      </c>
      <c r="U9" s="10" t="n">
        <v>1.90517977843753</v>
      </c>
      <c r="V9" s="10" t="n">
        <v>1.926051955445695</v>
      </c>
      <c r="W9" s="10" t="n">
        <v>1.945129063431177</v>
      </c>
      <c r="X9" s="10" t="n">
        <v>1.962444723288082</v>
      </c>
      <c r="Y9" s="10" t="n">
        <v>1.978031391953682</v>
      </c>
      <c r="Z9" s="10" t="n">
        <v>1.991921595843979</v>
      </c>
      <c r="AA9" s="10" t="n">
        <v>2.004148739717415</v>
      </c>
      <c r="AB9" s="10" t="n">
        <v>2.014747050296271</v>
      </c>
      <c r="AC9" s="10" t="n">
        <v>2.023751478413832</v>
      </c>
      <c r="AD9" s="10" t="n">
        <v>2.031197631205377</v>
      </c>
      <c r="AE9" s="10" t="n">
        <v>2.037122391694301</v>
      </c>
      <c r="AF9" s="10" t="n">
        <v>2.0415653689894</v>
      </c>
      <c r="AG9" s="10" t="n">
        <v>2.04456897345028</v>
      </c>
      <c r="AH9" s="10" t="n">
        <v>2.046178110793968</v>
      </c>
      <c r="AI9" s="10" t="n">
        <v>2.046440318107414</v>
      </c>
      <c r="AJ9" s="10" t="n">
        <v>2.045406421094065</v>
      </c>
      <c r="AK9" s="10" t="n">
        <v>2.043130438947508</v>
      </c>
      <c r="AL9" s="10" t="n">
        <v>2.039669280279924</v>
      </c>
      <c r="AM9" s="10" t="n">
        <v>2.035082800445493</v>
      </c>
      <c r="AN9" s="10" t="n">
        <v>2.029434316055606</v>
      </c>
      <c r="AO9" s="10" t="n">
        <v>2.022790573414614</v>
      </c>
      <c r="AP9" s="10" t="n">
        <v>2.015221799542719</v>
      </c>
      <c r="AQ9" s="10" t="n">
        <v>2.006801423492758</v>
      </c>
      <c r="AR9" s="10" t="n">
        <v>1.997605229573044</v>
      </c>
      <c r="AS9" s="10" t="n">
        <v>1.987710889689528</v>
      </c>
      <c r="AT9" s="10" t="n">
        <v>1.977197789381004</v>
      </c>
      <c r="AU9" s="10" t="n">
        <v>1.966146585455437</v>
      </c>
    </row>
    <row r="10">
      <c r="A10" s="9" t="n">
        <v>-115</v>
      </c>
      <c r="B10" s="7" t="n">
        <v>43010</v>
      </c>
      <c r="C10" s="10" t="n">
        <v>0.4128519504187836</v>
      </c>
      <c r="D10" s="10" t="n">
        <v>0.4558089283601625</v>
      </c>
      <c r="E10" s="10" t="n">
        <v>0.5076898709470402</v>
      </c>
      <c r="F10" s="10" t="n">
        <v>0.5657394291242266</v>
      </c>
      <c r="G10" s="10" t="n">
        <v>0.627885901284863</v>
      </c>
      <c r="H10" s="10" t="n">
        <v>0.6925669184990449</v>
      </c>
      <c r="I10" s="10" t="n">
        <v>0.7585662573851005</v>
      </c>
      <c r="J10" s="10" t="n">
        <v>0.8249521463530701</v>
      </c>
      <c r="K10" s="10" t="n">
        <v>0.8910448919495044</v>
      </c>
      <c r="L10" s="10" t="n">
        <v>0.9563502310601495</v>
      </c>
      <c r="M10" s="10" t="n">
        <v>1.020506035123206</v>
      </c>
      <c r="N10" s="10" t="n">
        <v>1.083232415736562</v>
      </c>
      <c r="O10" s="10" t="n">
        <v>1.708508170255054</v>
      </c>
      <c r="P10" s="10" t="n">
        <v>1.74118852510999</v>
      </c>
      <c r="Q10" s="10" t="n">
        <v>1.771838806034715</v>
      </c>
      <c r="R10" s="10" t="n">
        <v>1.800502763894131</v>
      </c>
      <c r="S10" s="10" t="n">
        <v>1.827221768328688</v>
      </c>
      <c r="T10" s="10" t="n">
        <v>1.852035032367453</v>
      </c>
      <c r="U10" s="10" t="n">
        <v>1.874979928818111</v>
      </c>
      <c r="V10" s="10" t="n">
        <v>1.896092219546605</v>
      </c>
      <c r="W10" s="10" t="n">
        <v>1.915406023305049</v>
      </c>
      <c r="X10" s="10" t="n">
        <v>1.932953846371139</v>
      </c>
      <c r="Y10" s="10" t="n">
        <v>1.948766918568722</v>
      </c>
      <c r="Z10" s="10" t="n">
        <v>1.962876384031456</v>
      </c>
      <c r="AA10" s="10" t="n">
        <v>1.975314077207606</v>
      </c>
      <c r="AB10" s="10" t="n">
        <v>1.986112485347596</v>
      </c>
      <c r="AC10" s="10" t="n">
        <v>1.99530467078947</v>
      </c>
      <c r="AD10" s="10" t="n">
        <v>2.002924221481648</v>
      </c>
      <c r="AE10" s="10" t="n">
        <v>2.009005909935381</v>
      </c>
      <c r="AF10" s="10" t="n">
        <v>2.013587194506766</v>
      </c>
      <c r="AG10" s="10" t="n">
        <v>2.0167083402646</v>
      </c>
      <c r="AH10" s="10" t="n">
        <v>2.018412142902917</v>
      </c>
      <c r="AI10" s="10" t="n">
        <v>2.018744118845758</v>
      </c>
      <c r="AJ10" s="10" t="n">
        <v>2.017753270801175</v>
      </c>
      <c r="AK10" s="10" t="n">
        <v>2.015491999061045</v>
      </c>
      <c r="AL10" s="10" t="n">
        <v>2.012015778846645</v>
      </c>
      <c r="AM10" s="10" t="n">
        <v>2.007383249189794</v>
      </c>
      <c r="AN10" s="10" t="n">
        <v>2.00165681264723</v>
      </c>
      <c r="AO10" s="10" t="n">
        <v>1.994902610876946</v>
      </c>
      <c r="AP10" s="10" t="n">
        <v>1.987190588896782</v>
      </c>
      <c r="AQ10" s="10" t="n">
        <v>1.978594218932834</v>
      </c>
      <c r="AR10" s="10" t="n">
        <v>1.969189696702804</v>
      </c>
      <c r="AS10" s="10" t="n">
        <v>1.959055477889166</v>
      </c>
      <c r="AT10" s="10" t="n">
        <v>1.948272073995188</v>
      </c>
      <c r="AU10" s="10" t="n">
        <v>1.936921599023486</v>
      </c>
    </row>
    <row r="11">
      <c r="A11" s="9" t="n">
        <v>-114</v>
      </c>
      <c r="B11" s="7" t="n">
        <v>43011</v>
      </c>
      <c r="C11" s="10" t="n">
        <v>0.4329421318422454</v>
      </c>
      <c r="D11" s="10" t="n">
        <v>0.4758261781158757</v>
      </c>
      <c r="E11" s="10" t="n">
        <v>0.5280237789574276</v>
      </c>
      <c r="F11" s="10" t="n">
        <v>0.5866716497773922</v>
      </c>
      <c r="G11" s="10" t="n">
        <v>0.6496293109086767</v>
      </c>
      <c r="H11" s="10" t="n">
        <v>0.7152764168603232</v>
      </c>
      <c r="I11" s="10" t="n">
        <v>0.782342994081713</v>
      </c>
      <c r="J11" s="10" t="n">
        <v>0.84984739937413</v>
      </c>
      <c r="K11" s="10" t="n">
        <v>0.9170631383950288</v>
      </c>
      <c r="L11" s="10" t="n">
        <v>0.9834517733564604</v>
      </c>
      <c r="M11" s="10" t="n">
        <v>1.048609992202836</v>
      </c>
      <c r="N11" s="10" t="n">
        <v>1.11222323402323</v>
      </c>
      <c r="O11" s="10" t="n">
        <v>1.736488955186816</v>
      </c>
      <c r="P11" s="10" t="n">
        <v>1.768534742640294</v>
      </c>
      <c r="Q11" s="10" t="n">
        <v>1.79854593231628</v>
      </c>
      <c r="R11" s="10" t="n">
        <v>1.826577031636535</v>
      </c>
      <c r="S11" s="10" t="n">
        <v>1.852678859967651</v>
      </c>
      <c r="T11" s="10" t="n">
        <v>1.876898973218055</v>
      </c>
      <c r="U11" s="10" t="n">
        <v>1.899282143043296</v>
      </c>
      <c r="V11" s="10" t="n">
        <v>1.919870730333052</v>
      </c>
      <c r="W11" s="10" t="n">
        <v>1.938704838031007</v>
      </c>
      <c r="X11" s="10" t="n">
        <v>1.955822481755329</v>
      </c>
      <c r="Y11" s="10" t="n">
        <v>1.971259954377736</v>
      </c>
      <c r="Z11" s="10" t="n">
        <v>1.985052778514097</v>
      </c>
      <c r="AA11" s="10" t="n">
        <v>1.99723634145534</v>
      </c>
      <c r="AB11" s="10" t="n">
        <v>2.007845943949782</v>
      </c>
      <c r="AC11" s="10" t="n">
        <v>2.016916810505824</v>
      </c>
      <c r="AD11" s="10" t="n">
        <v>2.024484111596309</v>
      </c>
      <c r="AE11" s="10" t="n">
        <v>2.030583507637983</v>
      </c>
      <c r="AF11" s="10" t="n">
        <v>2.035252306141071</v>
      </c>
      <c r="AG11" s="10" t="n">
        <v>2.038529618268692</v>
      </c>
      <c r="AH11" s="10" t="n">
        <v>2.040456211563486</v>
      </c>
      <c r="AI11" s="10" t="n">
        <v>2.041074762256435</v>
      </c>
      <c r="AJ11" s="10" t="n">
        <v>2.040430622044591</v>
      </c>
      <c r="AK11" s="10" t="n">
        <v>2.038571786981308</v>
      </c>
      <c r="AL11" s="10" t="n">
        <v>2.035548649902676</v>
      </c>
      <c r="AM11" s="10" t="n">
        <v>2.031414206329006</v>
      </c>
      <c r="AN11" s="10" t="n">
        <v>2.026224815787701</v>
      </c>
      <c r="AO11" s="10" t="n">
        <v>2.020040269103987</v>
      </c>
      <c r="AP11" s="10" t="n">
        <v>2.012924001142979</v>
      </c>
      <c r="AQ11" s="10" t="n">
        <v>2.004942928692746</v>
      </c>
      <c r="AR11" s="10" t="n">
        <v>1.996166864670091</v>
      </c>
      <c r="AS11" s="10" t="n">
        <v>1.986668138842886</v>
      </c>
      <c r="AT11" s="10" t="n">
        <v>1.976521376233284</v>
      </c>
      <c r="AU11" s="10" t="n">
        <v>1.965803096497512</v>
      </c>
    </row>
    <row r="12">
      <c r="A12" s="9" t="n">
        <v>-113</v>
      </c>
      <c r="B12" s="7" t="n">
        <v>43012</v>
      </c>
      <c r="C12" s="10" t="n">
        <v>0.4336196035275359</v>
      </c>
      <c r="D12" s="10" t="n">
        <v>0.4767328856346728</v>
      </c>
      <c r="E12" s="10" t="n">
        <v>0.5294734067464685</v>
      </c>
      <c r="F12" s="10" t="n">
        <v>0.5887902022078702</v>
      </c>
      <c r="G12" s="10" t="n">
        <v>0.6524615808011504</v>
      </c>
      <c r="H12" s="10" t="n">
        <v>0.7188436644122875</v>
      </c>
      <c r="I12" s="10" t="n">
        <v>0.7866672944799131</v>
      </c>
      <c r="J12" s="10" t="n">
        <v>0.8549566282773795</v>
      </c>
      <c r="K12" s="10" t="n">
        <v>0.9229862035635996</v>
      </c>
      <c r="L12" s="10" t="n">
        <v>0.9902124495555186</v>
      </c>
      <c r="M12" s="10" t="n">
        <v>1.056220942575395</v>
      </c>
      <c r="N12" s="10" t="n">
        <v>1.120685310135928</v>
      </c>
      <c r="O12" s="10" t="n">
        <v>1.754295712576573</v>
      </c>
      <c r="P12" s="10" t="n">
        <v>1.786803582973493</v>
      </c>
      <c r="Q12" s="10" t="n">
        <v>1.817227356548718</v>
      </c>
      <c r="R12" s="10" t="n">
        <v>1.845624658791561</v>
      </c>
      <c r="S12" s="10" t="n">
        <v>1.872050121863946</v>
      </c>
      <c r="T12" s="10" t="n">
        <v>1.896555556647176</v>
      </c>
      <c r="U12" s="10" t="n">
        <v>1.91919036619246</v>
      </c>
      <c r="V12" s="10" t="n">
        <v>1.940001796537774</v>
      </c>
      <c r="W12" s="10" t="n">
        <v>1.959034547822138</v>
      </c>
      <c r="X12" s="10" t="n">
        <v>1.976330615535574</v>
      </c>
      <c r="Y12" s="10" t="n">
        <v>1.991929705592681</v>
      </c>
      <c r="Z12" s="10" t="n">
        <v>2.005870182214109</v>
      </c>
      <c r="AA12" s="10" t="n">
        <v>2.018189711665881</v>
      </c>
      <c r="AB12" s="10" t="n">
        <v>2.028925375404253</v>
      </c>
      <c r="AC12" s="10" t="n">
        <v>2.038113739695916</v>
      </c>
      <c r="AD12" s="10" t="n">
        <v>2.045790929286004</v>
      </c>
      <c r="AE12" s="10" t="n">
        <v>2.05199321917436</v>
      </c>
      <c r="AF12" s="10" t="n">
        <v>2.056758235294899</v>
      </c>
      <c r="AG12" s="10" t="n">
        <v>2.060125229043093</v>
      </c>
      <c r="AH12" s="10" t="n">
        <v>2.062135017817391</v>
      </c>
      <c r="AI12" s="10" t="n">
        <v>2.062830304136046</v>
      </c>
      <c r="AJ12" s="10" t="n">
        <v>2.062256552896283</v>
      </c>
      <c r="AK12" s="10" t="n">
        <v>2.060461974683007</v>
      </c>
      <c r="AL12" s="10" t="n">
        <v>2.057497269058144</v>
      </c>
      <c r="AM12" s="10" t="n">
        <v>2.053415840987953</v>
      </c>
      <c r="AN12" s="10" t="n">
        <v>2.048274584324303</v>
      </c>
      <c r="AO12" s="10" t="n">
        <v>2.0421339338628</v>
      </c>
      <c r="AP12" s="10" t="n">
        <v>2.035058027819824</v>
      </c>
      <c r="AQ12" s="10" t="n">
        <v>2.027114505561014</v>
      </c>
      <c r="AR12" s="10" t="n">
        <v>2.018373862953832</v>
      </c>
      <c r="AS12" s="10" t="n">
        <v>2.008909052793546</v>
      </c>
      <c r="AT12" s="10" t="n">
        <v>1.998795267125246</v>
      </c>
      <c r="AU12" s="10" t="n">
        <v>1.988109520261313</v>
      </c>
    </row>
    <row r="13">
      <c r="A13" s="9" t="n">
        <v>-112</v>
      </c>
      <c r="B13" s="7" t="n">
        <v>43013</v>
      </c>
      <c r="C13" s="10" t="n">
        <v>0.4444597756685977</v>
      </c>
      <c r="D13" s="10" t="n">
        <v>0.4868743919993135</v>
      </c>
      <c r="E13" s="10" t="n">
        <v>0.5390349186014634</v>
      </c>
      <c r="F13" s="10" t="n">
        <v>0.5979746368364448</v>
      </c>
      <c r="G13" s="10" t="n">
        <v>0.6614736094423276</v>
      </c>
      <c r="H13" s="10" t="n">
        <v>0.7278688534163206</v>
      </c>
      <c r="I13" s="10" t="n">
        <v>0.7958674795889942</v>
      </c>
      <c r="J13" s="10" t="n">
        <v>0.8644706442172925</v>
      </c>
      <c r="K13" s="10" t="n">
        <v>0.9329340414273238</v>
      </c>
      <c r="L13" s="10" t="n">
        <v>1.000702937049664</v>
      </c>
      <c r="M13" s="10" t="n">
        <v>1.067357980493302</v>
      </c>
      <c r="N13" s="10" t="n">
        <v>1.132572906992801</v>
      </c>
      <c r="O13" s="10" t="n">
        <v>1.782618167681274</v>
      </c>
      <c r="P13" s="10" t="n">
        <v>1.816303054307612</v>
      </c>
      <c r="Q13" s="10" t="n">
        <v>1.847803979950319</v>
      </c>
      <c r="R13" s="10" t="n">
        <v>1.877172485041235</v>
      </c>
      <c r="S13" s="10" t="n">
        <v>1.904459948193561</v>
      </c>
      <c r="T13" s="10" t="n">
        <v>1.929717291143478</v>
      </c>
      <c r="U13" s="10" t="n">
        <v>1.952995044367601</v>
      </c>
      <c r="V13" s="10" t="n">
        <v>1.974343295039142</v>
      </c>
      <c r="W13" s="10" t="n">
        <v>1.993810962685275</v>
      </c>
      <c r="X13" s="10" t="n">
        <v>2.011445389840278</v>
      </c>
      <c r="Y13" s="10" t="n">
        <v>2.027292576674149</v>
      </c>
      <c r="Z13" s="10" t="n">
        <v>2.04139778886845</v>
      </c>
      <c r="AA13" s="10" t="n">
        <v>2.053805962681511</v>
      </c>
      <c r="AB13" s="10" t="n">
        <v>2.06456176324259</v>
      </c>
      <c r="AC13" s="10" t="n">
        <v>2.073709616829139</v>
      </c>
      <c r="AD13" s="10" t="n">
        <v>2.081293748864278</v>
      </c>
      <c r="AE13" s="10" t="n">
        <v>2.087358599549775</v>
      </c>
      <c r="AF13" s="10" t="n">
        <v>2.091949664946132</v>
      </c>
      <c r="AG13" s="10" t="n">
        <v>2.095113626208115</v>
      </c>
      <c r="AH13" s="10" t="n">
        <v>2.096898264648287</v>
      </c>
      <c r="AI13" s="10" t="n">
        <v>2.097352732695663</v>
      </c>
      <c r="AJ13" s="10" t="n">
        <v>2.096528265489315</v>
      </c>
      <c r="AK13" s="10" t="n">
        <v>2.094478176498984</v>
      </c>
      <c r="AL13" s="10" t="n">
        <v>2.091257664911419</v>
      </c>
      <c r="AM13" s="10" t="n">
        <v>2.086924040107976</v>
      </c>
      <c r="AN13" s="10" t="n">
        <v>2.081537436234687</v>
      </c>
      <c r="AO13" s="10" t="n">
        <v>2.07516088763809</v>
      </c>
      <c r="AP13" s="10" t="n">
        <v>2.067860525594649</v>
      </c>
      <c r="AQ13" s="10" t="n">
        <v>2.059705425650886</v>
      </c>
      <c r="AR13" s="10" t="n">
        <v>2.050767049875999</v>
      </c>
      <c r="AS13" s="10" t="n">
        <v>2.041118906674709</v>
      </c>
      <c r="AT13" s="10" t="n">
        <v>2.030836368454123</v>
      </c>
      <c r="AU13" s="10" t="n">
        <v>2.019996290587418</v>
      </c>
    </row>
    <row r="14">
      <c r="A14" s="9" t="n">
        <v>-111</v>
      </c>
      <c r="B14" s="7" t="n">
        <v>43014</v>
      </c>
      <c r="C14" s="10" t="n">
        <v>0.407134257739826</v>
      </c>
      <c r="D14" s="10" t="n">
        <v>0.4514486590283902</v>
      </c>
      <c r="E14" s="10" t="n">
        <v>0.5056166369657344</v>
      </c>
      <c r="F14" s="10" t="n">
        <v>0.5664713783928175</v>
      </c>
      <c r="G14" s="10" t="n">
        <v>0.6317263265372954</v>
      </c>
      <c r="H14" s="10" t="n">
        <v>0.6996996956574307</v>
      </c>
      <c r="I14" s="10" t="n">
        <v>0.7690977238057097</v>
      </c>
      <c r="J14" s="10" t="n">
        <v>0.8389324723960034</v>
      </c>
      <c r="K14" s="10" t="n">
        <v>0.9084738025955889</v>
      </c>
      <c r="L14" s="10" t="n">
        <v>0.9771853686864544</v>
      </c>
      <c r="M14" s="10" t="n">
        <v>1.044666714320711</v>
      </c>
      <c r="N14" s="10" t="n">
        <v>1.110612309004424</v>
      </c>
      <c r="O14" s="10" t="n">
        <v>1.767949891216298</v>
      </c>
      <c r="P14" s="10" t="n">
        <v>1.802147468376312</v>
      </c>
      <c r="Q14" s="10" t="n">
        <v>1.834137153817976</v>
      </c>
      <c r="R14" s="10" t="n">
        <v>1.863966908006735</v>
      </c>
      <c r="S14" s="10" t="n">
        <v>1.891684961381652</v>
      </c>
      <c r="T14" s="10" t="n">
        <v>1.917339447417057</v>
      </c>
      <c r="U14" s="10" t="n">
        <v>1.940978415469156</v>
      </c>
      <c r="V14" s="10" t="n">
        <v>1.962649707167833</v>
      </c>
      <c r="W14" s="10" t="n">
        <v>1.982400040646933</v>
      </c>
      <c r="X14" s="10" t="n">
        <v>2.000274504752628</v>
      </c>
      <c r="Y14" s="10" t="n">
        <v>2.016316860655099</v>
      </c>
      <c r="Z14" s="10" t="n">
        <v>2.030570568077967</v>
      </c>
      <c r="AA14" s="10" t="n">
        <v>2.043079416628212</v>
      </c>
      <c r="AB14" s="10" t="n">
        <v>2.053887518111567</v>
      </c>
      <c r="AC14" s="10" t="n">
        <v>2.063039268175526</v>
      </c>
      <c r="AD14" s="10" t="n">
        <v>2.070579330752388</v>
      </c>
      <c r="AE14" s="10" t="n">
        <v>2.076553232136127</v>
      </c>
      <c r="AF14" s="10" t="n">
        <v>2.081008564677444</v>
      </c>
      <c r="AG14" s="10" t="n">
        <v>2.083994934803302</v>
      </c>
      <c r="AH14" s="10" t="n">
        <v>2.085563670183986</v>
      </c>
      <c r="AI14" s="10" t="n">
        <v>2.085767975850293</v>
      </c>
      <c r="AJ14" s="10" t="n">
        <v>2.084663470818027</v>
      </c>
      <c r="AK14" s="10" t="n">
        <v>2.082308114205933</v>
      </c>
      <c r="AL14" s="10" t="n">
        <v>2.078761985777142</v>
      </c>
      <c r="AM14" s="10" t="n">
        <v>2.074087427025859</v>
      </c>
      <c r="AN14" s="10" t="n">
        <v>2.068349576541813</v>
      </c>
      <c r="AO14" s="10" t="n">
        <v>2.06161637339169</v>
      </c>
      <c r="AP14" s="10" t="n">
        <v>2.053958639070267</v>
      </c>
      <c r="AQ14" s="10" t="n">
        <v>2.045449846869389</v>
      </c>
      <c r="AR14" s="10" t="n">
        <v>2.036165447113171</v>
      </c>
      <c r="AS14" s="10" t="n">
        <v>2.026182507058779</v>
      </c>
      <c r="AT14" s="10" t="n">
        <v>2.015579562565091</v>
      </c>
      <c r="AU14" s="10" t="n">
        <v>2.004436235008715</v>
      </c>
    </row>
    <row r="15">
      <c r="A15" s="9" t="n">
        <v>-110</v>
      </c>
      <c r="B15" s="7" t="n">
        <v>43017</v>
      </c>
      <c r="C15" s="10" t="n">
        <v>0.4072194751822759</v>
      </c>
      <c r="D15" s="10" t="n">
        <v>0.4495849092810265</v>
      </c>
      <c r="E15" s="10" t="n">
        <v>0.5019792058834367</v>
      </c>
      <c r="F15" s="10" t="n">
        <v>0.5613195322164105</v>
      </c>
      <c r="G15" s="10" t="n">
        <v>0.6253372278485012</v>
      </c>
      <c r="H15" s="10" t="n">
        <v>0.6923374919194649</v>
      </c>
      <c r="I15" s="10" t="n">
        <v>0.7610017414781204</v>
      </c>
      <c r="J15" s="10" t="n">
        <v>0.8303145296331731</v>
      </c>
      <c r="K15" s="10" t="n">
        <v>0.8995174077702176</v>
      </c>
      <c r="L15" s="10" t="n">
        <v>0.9680473978324584</v>
      </c>
      <c r="M15" s="10" t="n">
        <v>1.035480309124228</v>
      </c>
      <c r="N15" s="10" t="n">
        <v>1.101488406386446</v>
      </c>
      <c r="O15" s="10" t="n">
        <v>1.763373683441392</v>
      </c>
      <c r="P15" s="10" t="n">
        <v>1.797903097637562</v>
      </c>
      <c r="Q15" s="10" t="n">
        <v>1.830200502216838</v>
      </c>
      <c r="R15" s="10" t="n">
        <v>1.86031467128769</v>
      </c>
      <c r="S15" s="10" t="n">
        <v>1.888295134968331</v>
      </c>
      <c r="T15" s="10" t="n">
        <v>1.914191650058039</v>
      </c>
      <c r="U15" s="10" t="n">
        <v>1.938054164970829</v>
      </c>
      <c r="V15" s="10" t="n">
        <v>1.959932593084114</v>
      </c>
      <c r="W15" s="10" t="n">
        <v>1.97987544992906</v>
      </c>
      <c r="X15" s="10" t="n">
        <v>1.997929101253486</v>
      </c>
      <c r="Y15" s="10" t="n">
        <v>2.01413808762822</v>
      </c>
      <c r="Z15" s="10" t="n">
        <v>2.028545991771977</v>
      </c>
      <c r="AA15" s="10" t="n">
        <v>2.04119599227431</v>
      </c>
      <c r="AB15" s="10" t="n">
        <v>2.052130936245311</v>
      </c>
      <c r="AC15" s="10" t="n">
        <v>2.06139337877745</v>
      </c>
      <c r="AD15" s="10" t="n">
        <v>2.069025633752013</v>
      </c>
      <c r="AE15" s="10" t="n">
        <v>2.075070390645932</v>
      </c>
      <c r="AF15" s="10" t="n">
        <v>2.079571918694437</v>
      </c>
      <c r="AG15" s="10" t="n">
        <v>2.082576295527629</v>
      </c>
      <c r="AH15" s="10" t="n">
        <v>2.084131319441904</v>
      </c>
      <c r="AI15" s="10" t="n">
        <v>2.084286884850222</v>
      </c>
      <c r="AJ15" s="10" t="n">
        <v>2.083095930051268</v>
      </c>
      <c r="AK15" s="10" t="n">
        <v>2.08061439651186</v>
      </c>
      <c r="AL15" s="10" t="n">
        <v>2.076900948824824</v>
      </c>
      <c r="AM15" s="10" t="n">
        <v>2.07201719769716</v>
      </c>
      <c r="AN15" s="10" t="n">
        <v>2.066028461291006</v>
      </c>
      <c r="AO15" s="10" t="n">
        <v>2.059003757239084</v>
      </c>
      <c r="AP15" s="10" t="n">
        <v>2.051015830025138</v>
      </c>
      <c r="AQ15" s="10" t="n">
        <v>2.042140820654207</v>
      </c>
      <c r="AR15" s="10" t="n">
        <v>2.032457401378829</v>
      </c>
      <c r="AS15" s="10" t="n">
        <v>2.022046317416591</v>
      </c>
      <c r="AT15" s="10" t="n">
        <v>2.010990197683018</v>
      </c>
      <c r="AU15" s="10" t="n">
        <v>1.999373096885736</v>
      </c>
    </row>
    <row r="16">
      <c r="A16" s="9" t="n">
        <v>-109</v>
      </c>
      <c r="B16" s="7" t="n">
        <v>43018</v>
      </c>
      <c r="C16" s="10" t="n">
        <v>0.42707677523992</v>
      </c>
      <c r="D16" s="10" t="n">
        <v>0.4691964952086217</v>
      </c>
      <c r="E16" s="10" t="n">
        <v>0.5212271684942555</v>
      </c>
      <c r="F16" s="10" t="n">
        <v>0.5800801021198939</v>
      </c>
      <c r="G16" s="10" t="n">
        <v>0.6434812576012021</v>
      </c>
      <c r="H16" s="10" t="n">
        <v>0.7097425873113266</v>
      </c>
      <c r="I16" s="10" t="n">
        <v>0.7775625733537097</v>
      </c>
      <c r="J16" s="10" t="n">
        <v>0.8459510229968591</v>
      </c>
      <c r="K16" s="10" t="n">
        <v>0.9141756852869163</v>
      </c>
      <c r="L16" s="10" t="n">
        <v>0.9816986813562092</v>
      </c>
      <c r="M16" s="10" t="n">
        <v>1.048117630531318</v>
      </c>
      <c r="N16" s="10" t="n">
        <v>1.113121464305751</v>
      </c>
      <c r="O16" s="10" t="n">
        <v>1.765202402303047</v>
      </c>
      <c r="P16" s="10" t="n">
        <v>1.799353785902636</v>
      </c>
      <c r="Q16" s="10" t="n">
        <v>1.831337070419344</v>
      </c>
      <c r="R16" s="10" t="n">
        <v>1.861197862333127</v>
      </c>
      <c r="S16" s="10" t="n">
        <v>1.888981516216137</v>
      </c>
      <c r="T16" s="10" t="n">
        <v>1.914732816750086</v>
      </c>
      <c r="U16" s="10" t="n">
        <v>1.938496061104364</v>
      </c>
      <c r="V16" s="10" t="n">
        <v>1.960314945343092</v>
      </c>
      <c r="W16" s="10" t="n">
        <v>1.98023140865145</v>
      </c>
      <c r="X16" s="10" t="n">
        <v>1.998285028421307</v>
      </c>
      <c r="Y16" s="10" t="n">
        <v>2.014513422648941</v>
      </c>
      <c r="Z16" s="10" t="n">
        <v>2.028953419515546</v>
      </c>
      <c r="AA16" s="10" t="n">
        <v>2.041641777950287</v>
      </c>
      <c r="AB16" s="10" t="n">
        <v>2.052615228951003</v>
      </c>
      <c r="AC16" s="10" t="n">
        <v>2.061910478909369</v>
      </c>
      <c r="AD16" s="10" t="n">
        <v>2.069564234184577</v>
      </c>
      <c r="AE16" s="10" t="n">
        <v>2.075613943315648</v>
      </c>
      <c r="AF16" s="10" t="n">
        <v>2.080099260805166</v>
      </c>
      <c r="AG16" s="10" t="n">
        <v>2.083062273269665</v>
      </c>
      <c r="AH16" s="10" t="n">
        <v>2.084547350376994</v>
      </c>
      <c r="AI16" s="10" t="n">
        <v>2.084601577749674</v>
      </c>
      <c r="AJ16" s="10" t="n">
        <v>2.083275869640663</v>
      </c>
      <c r="AK16" s="10" t="n">
        <v>2.080624897312833</v>
      </c>
      <c r="AL16" s="10" t="n">
        <v>2.076706737398256</v>
      </c>
      <c r="AM16" s="10" t="n">
        <v>2.071583095572517</v>
      </c>
      <c r="AN16" s="10" t="n">
        <v>2.06532013116805</v>
      </c>
      <c r="AO16" s="10" t="n">
        <v>2.057988407094407</v>
      </c>
      <c r="AP16" s="10" t="n">
        <v>2.049662852602033</v>
      </c>
      <c r="AQ16" s="10" t="n">
        <v>2.040422337717284</v>
      </c>
      <c r="AR16" s="10" t="n">
        <v>2.030348628831798</v>
      </c>
      <c r="AS16" s="10" t="n">
        <v>2.019525847325405</v>
      </c>
      <c r="AT16" s="10" t="n">
        <v>2.008040254272567</v>
      </c>
      <c r="AU16" s="10" t="n">
        <v>1.995979737739348</v>
      </c>
    </row>
    <row r="17">
      <c r="A17" s="9" t="n">
        <v>-108</v>
      </c>
      <c r="B17" s="7" t="n">
        <v>43019</v>
      </c>
      <c r="C17" s="10" t="n">
        <v>0.4443124327738491</v>
      </c>
      <c r="D17" s="10" t="n">
        <v>0.4868285457811763</v>
      </c>
      <c r="E17" s="10" t="n">
        <v>0.5389507558628338</v>
      </c>
      <c r="F17" s="10" t="n">
        <v>0.5976652644889529</v>
      </c>
      <c r="G17" s="10" t="n">
        <v>0.6607636341038944</v>
      </c>
      <c r="H17" s="10" t="n">
        <v>0.7266190681926288</v>
      </c>
      <c r="I17" s="10" t="n">
        <v>0.7939809467919093</v>
      </c>
      <c r="J17" s="10" t="n">
        <v>0.8618971305574992</v>
      </c>
      <c r="K17" s="10" t="n">
        <v>0.9296593077254163</v>
      </c>
      <c r="L17" s="10" t="n">
        <v>0.9967431771704838</v>
      </c>
      <c r="M17" s="10" t="n">
        <v>1.062752808086124</v>
      </c>
      <c r="N17" s="10" t="n">
        <v>1.127378232138201</v>
      </c>
      <c r="O17" s="10" t="n">
        <v>1.776282225573097</v>
      </c>
      <c r="P17" s="10" t="n">
        <v>1.81026109280787</v>
      </c>
      <c r="Q17" s="10" t="n">
        <v>1.842072012748192</v>
      </c>
      <c r="R17" s="10" t="n">
        <v>1.871757156240477</v>
      </c>
      <c r="S17" s="10" t="n">
        <v>1.899358876116416</v>
      </c>
      <c r="T17" s="10" t="n">
        <v>1.924919455159229</v>
      </c>
      <c r="U17" s="10" t="n">
        <v>1.948481115530386</v>
      </c>
      <c r="V17" s="10" t="n">
        <v>1.970085888760625</v>
      </c>
      <c r="W17" s="10" t="n">
        <v>1.989774718019913</v>
      </c>
      <c r="X17" s="10" t="n">
        <v>2.00758698449019</v>
      </c>
      <c r="Y17" s="10" t="n">
        <v>2.023560792312959</v>
      </c>
      <c r="Z17" s="10" t="n">
        <v>2.03773387416163</v>
      </c>
      <c r="AA17" s="10" t="n">
        <v>2.05014413400773</v>
      </c>
      <c r="AB17" s="10" t="n">
        <v>2.06082965199525</v>
      </c>
      <c r="AC17" s="10" t="n">
        <v>2.069828663467738</v>
      </c>
      <c r="AD17" s="10" t="n">
        <v>2.07717955989609</v>
      </c>
      <c r="AE17" s="10" t="n">
        <v>2.082921505156468</v>
      </c>
      <c r="AF17" s="10" t="n">
        <v>2.08709566472897</v>
      </c>
      <c r="AG17" s="10" t="n">
        <v>2.089745445101566</v>
      </c>
      <c r="AH17" s="10" t="n">
        <v>2.090916396165781</v>
      </c>
      <c r="AI17" s="10" t="n">
        <v>2.090656646221836</v>
      </c>
      <c r="AJ17" s="10" t="n">
        <v>2.089017982900329</v>
      </c>
      <c r="AK17" s="10" t="n">
        <v>2.086055784186379</v>
      </c>
      <c r="AL17" s="10" t="n">
        <v>2.081828683231219</v>
      </c>
      <c r="AM17" s="10" t="n">
        <v>2.076398802171829</v>
      </c>
      <c r="AN17" s="10" t="n">
        <v>2.069832566866048</v>
      </c>
      <c r="AO17" s="10" t="n">
        <v>2.06220066367742</v>
      </c>
      <c r="AP17" s="10" t="n">
        <v>2.053578016751818</v>
      </c>
      <c r="AQ17" s="10" t="n">
        <v>2.04404338363799</v>
      </c>
      <c r="AR17" s="10" t="n">
        <v>2.03367837061587</v>
      </c>
      <c r="AS17" s="10" t="n">
        <v>2.022566919697876</v>
      </c>
      <c r="AT17" s="10" t="n">
        <v>2.010795095827452</v>
      </c>
      <c r="AU17" s="10" t="n">
        <v>1.998450589001645</v>
      </c>
    </row>
    <row r="18">
      <c r="A18" s="9" t="n">
        <v>-107</v>
      </c>
      <c r="B18" s="7" t="n">
        <v>43020</v>
      </c>
      <c r="C18" s="10" t="n">
        <v>0.4565980974226364</v>
      </c>
      <c r="D18" s="10" t="n">
        <v>0.4997934285488049</v>
      </c>
      <c r="E18" s="10" t="n">
        <v>0.5522086379559492</v>
      </c>
      <c r="F18" s="10" t="n">
        <v>0.6108232604847716</v>
      </c>
      <c r="G18" s="10" t="n">
        <v>0.6734784878203781</v>
      </c>
      <c r="H18" s="10" t="n">
        <v>0.7386098599382057</v>
      </c>
      <c r="I18" s="10" t="n">
        <v>0.8050292200105245</v>
      </c>
      <c r="J18" s="10" t="n">
        <v>0.8718447714225015</v>
      </c>
      <c r="K18" s="10" t="n">
        <v>0.9384034873770185</v>
      </c>
      <c r="L18" s="10" t="n">
        <v>1.004231128400906</v>
      </c>
      <c r="M18" s="10" t="n">
        <v>1.068975038444251</v>
      </c>
      <c r="N18" s="10" t="n">
        <v>1.132359733332654</v>
      </c>
      <c r="O18" s="10" t="n">
        <v>1.771243542899612</v>
      </c>
      <c r="P18" s="10" t="n">
        <v>1.804892422221673</v>
      </c>
      <c r="Q18" s="10" t="n">
        <v>1.836418119478206</v>
      </c>
      <c r="R18" s="10" t="n">
        <v>1.865857018478432</v>
      </c>
      <c r="S18" s="10" t="n">
        <v>1.893246162833068</v>
      </c>
      <c r="T18" s="10" t="n">
        <v>1.918623078207915</v>
      </c>
      <c r="U18" s="10" t="n">
        <v>1.942025701111545</v>
      </c>
      <c r="V18" s="10" t="n">
        <v>1.963492212326274</v>
      </c>
      <c r="W18" s="10" t="n">
        <v>1.983060294421657</v>
      </c>
      <c r="X18" s="10" t="n">
        <v>2.000766728882804</v>
      </c>
      <c r="Y18" s="10" t="n">
        <v>2.016647590575322</v>
      </c>
      <c r="Z18" s="10" t="n">
        <v>2.030738992087877</v>
      </c>
      <c r="AA18" s="10" t="n">
        <v>2.043077511201835</v>
      </c>
      <c r="AB18" s="10" t="n">
        <v>2.053700156185789</v>
      </c>
      <c r="AC18" s="10" t="n">
        <v>2.06264431454708</v>
      </c>
      <c r="AD18" s="10" t="n">
        <v>2.069947727072765</v>
      </c>
      <c r="AE18" s="10" t="n">
        <v>2.07564904025889</v>
      </c>
      <c r="AF18" s="10" t="n">
        <v>2.079788918209177</v>
      </c>
      <c r="AG18" s="10" t="n">
        <v>2.08241022827568</v>
      </c>
      <c r="AH18" s="10" t="n">
        <v>2.083557927953947</v>
      </c>
      <c r="AI18" s="10" t="n">
        <v>2.083279500647305</v>
      </c>
      <c r="AJ18" s="10" t="n">
        <v>2.081626018265942</v>
      </c>
      <c r="AK18" s="10" t="n">
        <v>2.078652070185124</v>
      </c>
      <c r="AL18" s="10" t="n">
        <v>2.074415435882808</v>
      </c>
      <c r="AM18" s="10" t="n">
        <v>2.06897733921391</v>
      </c>
      <c r="AN18" s="10" t="n">
        <v>2.062403282942117</v>
      </c>
      <c r="AO18" s="10" t="n">
        <v>2.054763019413466</v>
      </c>
      <c r="AP18" s="10" t="n">
        <v>2.046130566314247</v>
      </c>
      <c r="AQ18" s="10" t="n">
        <v>2.036583828206834</v>
      </c>
      <c r="AR18" s="10" t="n">
        <v>2.026203673274864</v>
      </c>
      <c r="AS18" s="10" t="n">
        <v>2.015073440429108</v>
      </c>
      <c r="AT18" s="10" t="n">
        <v>2.003278716250984</v>
      </c>
      <c r="AU18" s="10" t="n">
        <v>1.990906847444769</v>
      </c>
    </row>
    <row r="19">
      <c r="A19" s="9" t="n">
        <v>-106</v>
      </c>
      <c r="B19" s="7" t="n">
        <v>43021</v>
      </c>
      <c r="C19" s="10" t="n">
        <v>0.4602342662963106</v>
      </c>
      <c r="D19" s="10" t="n">
        <v>0.5048916716951162</v>
      </c>
      <c r="E19" s="10" t="n">
        <v>0.5580244396144054</v>
      </c>
      <c r="F19" s="10" t="n">
        <v>0.616656691987117</v>
      </c>
      <c r="G19" s="10" t="n">
        <v>0.6787741596631125</v>
      </c>
      <c r="H19" s="10" t="n">
        <v>0.7429616456792809</v>
      </c>
      <c r="I19" s="10" t="n">
        <v>0.8081568837010017</v>
      </c>
      <c r="J19" s="10" t="n">
        <v>0.8735647465645116</v>
      </c>
      <c r="K19" s="10" t="n">
        <v>0.9386078328945771</v>
      </c>
      <c r="L19" s="10" t="n">
        <v>1.002870976299736</v>
      </c>
      <c r="M19" s="10" t="n">
        <v>1.066049918639048</v>
      </c>
      <c r="N19" s="10" t="n">
        <v>1.127905045211134</v>
      </c>
      <c r="O19" s="10" t="n">
        <v>1.753963807523729</v>
      </c>
      <c r="P19" s="10" t="n">
        <v>1.787061014256345</v>
      </c>
      <c r="Q19" s="10" t="n">
        <v>1.818070902004547</v>
      </c>
      <c r="R19" s="10" t="n">
        <v>1.847025670907275</v>
      </c>
      <c r="S19" s="10" t="n">
        <v>1.873958718458104</v>
      </c>
      <c r="T19" s="10" t="n">
        <v>1.898904422105816</v>
      </c>
      <c r="U19" s="10" t="n">
        <v>1.921897994991603</v>
      </c>
      <c r="V19" s="10" t="n">
        <v>1.942975298823816</v>
      </c>
      <c r="W19" s="10" t="n">
        <v>1.962172327837918</v>
      </c>
      <c r="X19" s="10" t="n">
        <v>1.979524918223147</v>
      </c>
      <c r="Y19" s="10" t="n">
        <v>1.995068834618627</v>
      </c>
      <c r="Z19" s="10" t="n">
        <v>2.008840273188501</v>
      </c>
      <c r="AA19" s="10" t="n">
        <v>2.020876122667707</v>
      </c>
      <c r="AB19" s="10" t="n">
        <v>2.031213895082374</v>
      </c>
      <c r="AC19" s="10" t="n">
        <v>2.039891651548492</v>
      </c>
      <c r="AD19" s="10" t="n">
        <v>2.04694795479151</v>
      </c>
      <c r="AE19" s="10" t="n">
        <v>2.052422312441122</v>
      </c>
      <c r="AF19" s="10" t="n">
        <v>2.056356066795137</v>
      </c>
      <c r="AG19" s="10" t="n">
        <v>2.058792560904517</v>
      </c>
      <c r="AH19" s="10" t="n">
        <v>2.059777054360683</v>
      </c>
      <c r="AI19" s="10" t="n">
        <v>2.059357152172118</v>
      </c>
      <c r="AJ19" s="10" t="n">
        <v>2.057583789308499</v>
      </c>
      <c r="AK19" s="10" t="n">
        <v>2.05451115383295</v>
      </c>
      <c r="AL19" s="10" t="n">
        <v>2.050196386128897</v>
      </c>
      <c r="AM19" s="10" t="n">
        <v>2.044699849466794</v>
      </c>
      <c r="AN19" s="10" t="n">
        <v>2.03808593101037</v>
      </c>
      <c r="AO19" s="10" t="n">
        <v>2.030423025579299</v>
      </c>
      <c r="AP19" s="10" t="n">
        <v>2.021783597297813</v>
      </c>
      <c r="AQ19" s="10" t="n">
        <v>2.012243843583451</v>
      </c>
      <c r="AR19" s="10" t="n">
        <v>2.001882885332527</v>
      </c>
      <c r="AS19" s="10" t="n">
        <v>1.990782325265201</v>
      </c>
      <c r="AT19" s="10" t="n">
        <v>1.979026025884921</v>
      </c>
      <c r="AU19" s="10" t="n">
        <v>1.966699660155519</v>
      </c>
    </row>
    <row r="20">
      <c r="A20" s="9" t="n">
        <v>-105</v>
      </c>
      <c r="B20" s="7" t="n">
        <v>43024</v>
      </c>
      <c r="C20" s="10" t="n">
        <v>0.4441154908263212</v>
      </c>
      <c r="D20" s="10" t="n">
        <v>0.4876861302826676</v>
      </c>
      <c r="E20" s="10" t="n">
        <v>0.5400775580145629</v>
      </c>
      <c r="F20" s="10" t="n">
        <v>0.5981214433712394</v>
      </c>
      <c r="G20" s="10" t="n">
        <v>0.6597213301514869</v>
      </c>
      <c r="H20" s="10" t="n">
        <v>0.7234213803544086</v>
      </c>
      <c r="I20" s="10" t="n">
        <v>0.7881340434964758</v>
      </c>
      <c r="J20" s="10" t="n">
        <v>0.8530446137444335</v>
      </c>
      <c r="K20" s="10" t="n">
        <v>0.9175612511953504</v>
      </c>
      <c r="L20" s="10" t="n">
        <v>0.9812590705610932</v>
      </c>
      <c r="M20" s="10" t="n">
        <v>1.043830854403912</v>
      </c>
      <c r="N20" s="10" t="n">
        <v>1.10503913003688</v>
      </c>
      <c r="O20" s="10" t="n">
        <v>1.724155761419326</v>
      </c>
      <c r="P20" s="10" t="n">
        <v>1.757048140803126</v>
      </c>
      <c r="Q20" s="10" t="n">
        <v>1.787894656072434</v>
      </c>
      <c r="R20" s="10" t="n">
        <v>1.816723191208913</v>
      </c>
      <c r="S20" s="10" t="n">
        <v>1.843563022136129</v>
      </c>
      <c r="T20" s="10" t="n">
        <v>1.868444616857974</v>
      </c>
      <c r="U20" s="10" t="n">
        <v>1.891399460133812</v>
      </c>
      <c r="V20" s="10" t="n">
        <v>1.912459843467876</v>
      </c>
      <c r="W20" s="10" t="n">
        <v>1.931658351685302</v>
      </c>
      <c r="X20" s="10" t="n">
        <v>1.949027569463414</v>
      </c>
      <c r="Y20" s="10" t="n">
        <v>1.964600180867391</v>
      </c>
      <c r="Z20" s="10" t="n">
        <v>1.978409644927751</v>
      </c>
      <c r="AA20" s="10" t="n">
        <v>1.990490532515869</v>
      </c>
      <c r="AB20" s="10" t="n">
        <v>2.000878411266935</v>
      </c>
      <c r="AC20" s="10" t="n">
        <v>2.009609726917585</v>
      </c>
      <c r="AD20" s="10" t="n">
        <v>2.016721722531043</v>
      </c>
      <c r="AE20" s="10" t="n">
        <v>2.022252985794339</v>
      </c>
      <c r="AF20" s="10" t="n">
        <v>2.026244524215929</v>
      </c>
      <c r="AG20" s="10" t="n">
        <v>2.028739775743528</v>
      </c>
      <c r="AH20" s="10" t="n">
        <v>2.029784386534487</v>
      </c>
      <c r="AI20" s="10" t="n">
        <v>2.029426567709796</v>
      </c>
      <c r="AJ20" s="10" t="n">
        <v>2.027717970615537</v>
      </c>
      <c r="AK20" s="10" t="n">
        <v>2.024713577521151</v>
      </c>
      <c r="AL20" s="10" t="n">
        <v>2.020471391783932</v>
      </c>
      <c r="AM20" s="10" t="n">
        <v>2.015052648302849</v>
      </c>
      <c r="AN20" s="10" t="n">
        <v>2.008522495110795</v>
      </c>
      <c r="AO20" s="10" t="n">
        <v>2.000949952194217</v>
      </c>
      <c r="AP20" s="10" t="n">
        <v>1.992407954926832</v>
      </c>
      <c r="AQ20" s="10" t="n">
        <v>1.982973008425408</v>
      </c>
      <c r="AR20" s="10" t="n">
        <v>1.972724362657023</v>
      </c>
      <c r="AS20" s="10" t="n">
        <v>1.961743577291946</v>
      </c>
      <c r="AT20" s="10" t="n">
        <v>1.950114313326842</v>
      </c>
      <c r="AU20" s="10" t="n">
        <v>1.937921875783583</v>
      </c>
    </row>
    <row r="21">
      <c r="A21" s="9" t="n">
        <v>-104</v>
      </c>
      <c r="B21" s="7" t="n">
        <v>43025</v>
      </c>
      <c r="C21" s="10" t="n">
        <v>0.4031487606218961</v>
      </c>
      <c r="D21" s="10" t="n">
        <v>0.4434573182765988</v>
      </c>
      <c r="E21" s="10" t="n">
        <v>0.4931043249309776</v>
      </c>
      <c r="F21" s="10" t="n">
        <v>0.5488623981483065</v>
      </c>
      <c r="G21" s="10" t="n">
        <v>0.6085984225939489</v>
      </c>
      <c r="H21" s="10" t="n">
        <v>0.6708084397668688</v>
      </c>
      <c r="I21" s="10" t="n">
        <v>0.7343518271314502</v>
      </c>
      <c r="J21" s="10" t="n">
        <v>0.7983629371330072</v>
      </c>
      <c r="K21" s="10" t="n">
        <v>0.8622056810554276</v>
      </c>
      <c r="L21" s="10" t="n">
        <v>0.9254173566308311</v>
      </c>
      <c r="M21" s="10" t="n">
        <v>0.9876601612378613</v>
      </c>
      <c r="N21" s="10" t="n">
        <v>1.048672556748204</v>
      </c>
      <c r="O21" s="10" t="n">
        <v>1.672557497819136</v>
      </c>
      <c r="P21" s="10" t="n">
        <v>1.706115336190321</v>
      </c>
      <c r="Q21" s="10" t="n">
        <v>1.737635979186073</v>
      </c>
      <c r="R21" s="10" t="n">
        <v>1.767144009101824</v>
      </c>
      <c r="S21" s="10" t="n">
        <v>1.79466575886346</v>
      </c>
      <c r="T21" s="10" t="n">
        <v>1.820228961497504</v>
      </c>
      <c r="U21" s="10" t="n">
        <v>1.843862543885449</v>
      </c>
      <c r="V21" s="10" t="n">
        <v>1.865596304039879</v>
      </c>
      <c r="W21" s="10" t="n">
        <v>1.885459860451223</v>
      </c>
      <c r="X21" s="10" t="n">
        <v>1.903482095400465</v>
      </c>
      <c r="Y21" s="10" t="n">
        <v>1.919691420226998</v>
      </c>
      <c r="Z21" s="10" t="n">
        <v>1.934117024526884</v>
      </c>
      <c r="AA21" s="10" t="n">
        <v>1.946789519080703</v>
      </c>
      <c r="AB21" s="10" t="n">
        <v>1.957740796887573</v>
      </c>
      <c r="AC21" s="10" t="n">
        <v>1.967003880520088</v>
      </c>
      <c r="AD21" s="10" t="n">
        <v>1.974612823824707</v>
      </c>
      <c r="AE21" s="10" t="n">
        <v>1.980603561849559</v>
      </c>
      <c r="AF21" s="10" t="n">
        <v>1.985015512649097</v>
      </c>
      <c r="AG21" s="10" t="n">
        <v>1.987891456716818</v>
      </c>
      <c r="AH21" s="10" t="n">
        <v>1.98927713061734</v>
      </c>
      <c r="AI21" s="10" t="n">
        <v>1.989221496070285</v>
      </c>
      <c r="AJ21" s="10" t="n">
        <v>1.987777523299572</v>
      </c>
      <c r="AK21" s="10" t="n">
        <v>1.985002016715717</v>
      </c>
      <c r="AL21" s="10" t="n">
        <v>1.980955254122644</v>
      </c>
      <c r="AM21" s="10" t="n">
        <v>1.975701095136462</v>
      </c>
      <c r="AN21" s="10" t="n">
        <v>1.969307504066822</v>
      </c>
      <c r="AO21" s="10" t="n">
        <v>1.96184645771608</v>
      </c>
      <c r="AP21" s="10" t="n">
        <v>1.953393955071303</v>
      </c>
      <c r="AQ21" s="10" t="n">
        <v>1.944029614121249</v>
      </c>
      <c r="AR21" s="10" t="n">
        <v>1.933835714013936</v>
      </c>
      <c r="AS21" s="10" t="n">
        <v>1.922896720644339</v>
      </c>
      <c r="AT21" s="10" t="n">
        <v>1.911299085454423</v>
      </c>
      <c r="AU21" s="10" t="n">
        <v>1.89913072745394</v>
      </c>
    </row>
    <row r="22">
      <c r="A22" s="9" t="n">
        <v>-103</v>
      </c>
      <c r="B22" s="7" t="n">
        <v>43026</v>
      </c>
      <c r="C22" s="10" t="n">
        <v>0.4283212961568066</v>
      </c>
      <c r="D22" s="10" t="n">
        <v>0.4692079657394447</v>
      </c>
      <c r="E22" s="10" t="n">
        <v>0.5196967265562797</v>
      </c>
      <c r="F22" s="10" t="n">
        <v>0.5764510909151767</v>
      </c>
      <c r="G22" s="10" t="n">
        <v>0.6372110700084201</v>
      </c>
      <c r="H22" s="10" t="n">
        <v>0.7003659371355452</v>
      </c>
      <c r="I22" s="10" t="n">
        <v>0.7647084274239485</v>
      </c>
      <c r="J22" s="10" t="n">
        <v>0.8293470638216782</v>
      </c>
      <c r="K22" s="10" t="n">
        <v>0.893647249177152</v>
      </c>
      <c r="L22" s="10" t="n">
        <v>0.9571624682092863</v>
      </c>
      <c r="M22" s="10" t="n">
        <v>1.019577845215136</v>
      </c>
      <c r="N22" s="10" t="n">
        <v>1.080657155685152</v>
      </c>
      <c r="O22" s="10" t="n">
        <v>1.702570307020635</v>
      </c>
      <c r="P22" s="10" t="n">
        <v>1.735945006047591</v>
      </c>
      <c r="Q22" s="10" t="n">
        <v>1.767279202957401</v>
      </c>
      <c r="R22" s="10" t="n">
        <v>1.796596556129329</v>
      </c>
      <c r="S22" s="10" t="n">
        <v>1.823923013053778</v>
      </c>
      <c r="T22" s="10" t="n">
        <v>1.849286443454508</v>
      </c>
      <c r="U22" s="10" t="n">
        <v>1.872716356429136</v>
      </c>
      <c r="V22" s="10" t="n">
        <v>1.894243524752352</v>
      </c>
      <c r="W22" s="10" t="n">
        <v>1.913898957239803</v>
      </c>
      <c r="X22" s="10" t="n">
        <v>1.931713340685055</v>
      </c>
      <c r="Y22" s="10" t="n">
        <v>1.947717200023369</v>
      </c>
      <c r="Z22" s="10" t="n">
        <v>1.961941769586861</v>
      </c>
      <c r="AA22" s="10" t="n">
        <v>1.97441942767567</v>
      </c>
      <c r="AB22" s="10" t="n">
        <v>1.985183580871622</v>
      </c>
      <c r="AC22" s="10" t="n">
        <v>1.994268541623744</v>
      </c>
      <c r="AD22" s="10" t="n">
        <v>2.001709451359249</v>
      </c>
      <c r="AE22" s="10" t="n">
        <v>2.007543001056192</v>
      </c>
      <c r="AF22" s="10" t="n">
        <v>2.011808780045715</v>
      </c>
      <c r="AG22" s="10" t="n">
        <v>2.014549257523391</v>
      </c>
      <c r="AH22" s="10" t="n">
        <v>2.015809496325312</v>
      </c>
      <c r="AI22" s="10" t="n">
        <v>2.0156375304315</v>
      </c>
      <c r="AJ22" s="10" t="n">
        <v>2.014085288647022</v>
      </c>
      <c r="AK22" s="10" t="n">
        <v>2.01120845154699</v>
      </c>
      <c r="AL22" s="10" t="n">
        <v>2.007066101531614</v>
      </c>
      <c r="AM22" s="10" t="n">
        <v>2.001720911075908</v>
      </c>
      <c r="AN22" s="10" t="n">
        <v>1.995239794725064</v>
      </c>
      <c r="AO22" s="10" t="n">
        <v>1.98769384452851</v>
      </c>
      <c r="AP22" s="10" t="n">
        <v>1.979158374810374</v>
      </c>
      <c r="AQ22" s="10" t="n">
        <v>1.969712516196722</v>
      </c>
      <c r="AR22" s="10" t="n">
        <v>1.959438243519183</v>
      </c>
      <c r="AS22" s="10" t="n">
        <v>1.948419889718574</v>
      </c>
      <c r="AT22" s="10" t="n">
        <v>1.936743929754305</v>
      </c>
      <c r="AU22" s="10" t="n">
        <v>1.92449843967279</v>
      </c>
    </row>
    <row r="23">
      <c r="A23" s="9" t="n">
        <v>-102</v>
      </c>
      <c r="B23" s="7" t="n">
        <v>43027</v>
      </c>
      <c r="C23" s="10" t="n">
        <v>0.4012597674750092</v>
      </c>
      <c r="D23" s="10" t="n">
        <v>0.4407277405836532</v>
      </c>
      <c r="E23" s="10" t="n">
        <v>0.4898441718773032</v>
      </c>
      <c r="F23" s="10" t="n">
        <v>0.5453203810478541</v>
      </c>
      <c r="G23" s="10" t="n">
        <v>0.6049038652920352</v>
      </c>
      <c r="H23" s="10" t="n">
        <v>0.6669752903893409</v>
      </c>
      <c r="I23" s="10" t="n">
        <v>0.730316743919834</v>
      </c>
      <c r="J23" s="10" t="n">
        <v>0.7940282004511082</v>
      </c>
      <c r="K23" s="10" t="n">
        <v>0.857472710559347</v>
      </c>
      <c r="L23" s="10" t="n">
        <v>0.9202067363437604</v>
      </c>
      <c r="M23" s="10" t="n">
        <v>0.9819219741185268</v>
      </c>
      <c r="N23" s="10" t="n">
        <v>1.042390456797944</v>
      </c>
      <c r="O23" s="10" t="n">
        <v>1.66425678868133</v>
      </c>
      <c r="P23" s="10" t="n">
        <v>1.697973252076034</v>
      </c>
      <c r="Q23" s="10" t="n">
        <v>1.729654825310117</v>
      </c>
      <c r="R23" s="10" t="n">
        <v>1.759320836961471</v>
      </c>
      <c r="S23" s="10" t="n">
        <v>1.7869940830107</v>
      </c>
      <c r="T23" s="10" t="n">
        <v>1.812700262393595</v>
      </c>
      <c r="U23" s="10" t="n">
        <v>1.836467549821478</v>
      </c>
      <c r="V23" s="10" t="n">
        <v>1.858326056590352</v>
      </c>
      <c r="W23" s="10" t="n">
        <v>1.878306460365087</v>
      </c>
      <c r="X23" s="10" t="n">
        <v>1.896439256709502</v>
      </c>
      <c r="Y23" s="10" t="n">
        <v>1.912754869622506</v>
      </c>
      <c r="Z23" s="10" t="n">
        <v>1.927284350771639</v>
      </c>
      <c r="AA23" s="10" t="n">
        <v>1.940059720507684</v>
      </c>
      <c r="AB23" s="10" t="n">
        <v>1.951113868466658</v>
      </c>
      <c r="AC23" s="10" t="n">
        <v>1.960480450083474</v>
      </c>
      <c r="AD23" s="10" t="n">
        <v>1.968193825164917</v>
      </c>
      <c r="AE23" s="10" t="n">
        <v>1.97428975234206</v>
      </c>
      <c r="AF23" s="10" t="n">
        <v>1.978806689569477</v>
      </c>
      <c r="AG23" s="10" t="n">
        <v>1.981785942483678</v>
      </c>
      <c r="AH23" s="10" t="n">
        <v>1.983271489773392</v>
      </c>
      <c r="AI23" s="10" t="n">
        <v>1.983310464903752</v>
      </c>
      <c r="AJ23" s="10" t="n">
        <v>1.981954247793086</v>
      </c>
      <c r="AK23" s="10" t="n">
        <v>1.979258320224731</v>
      </c>
      <c r="AL23" s="10" t="n">
        <v>1.9752818833714</v>
      </c>
      <c r="AM23" s="10" t="n">
        <v>1.97008805560544</v>
      </c>
      <c r="AN23" s="10" t="n">
        <v>1.963744557720142</v>
      </c>
      <c r="AO23" s="10" t="n">
        <v>1.956323615613877</v>
      </c>
      <c r="AP23" s="10" t="n">
        <v>1.947901937673868</v>
      </c>
      <c r="AQ23" s="10" t="n">
        <v>1.938560229138087</v>
      </c>
      <c r="AR23" s="10" t="n">
        <v>1.92838207206262</v>
      </c>
      <c r="AS23" s="10" t="n">
        <v>1.91745339041334</v>
      </c>
      <c r="AT23" s="10" t="n">
        <v>1.905862232056826</v>
      </c>
      <c r="AU23" s="10" t="n">
        <v>1.893698160220186</v>
      </c>
    </row>
    <row r="24">
      <c r="A24" s="9" t="n">
        <v>-101</v>
      </c>
      <c r="B24" s="7" t="n">
        <v>43028</v>
      </c>
      <c r="C24" s="10" t="n">
        <v>0.4303002649566121</v>
      </c>
      <c r="D24" s="10" t="n">
        <v>0.4718128012162193</v>
      </c>
      <c r="E24" s="10" t="n">
        <v>0.5233192453197418</v>
      </c>
      <c r="F24" s="10" t="n">
        <v>0.5813573022664968</v>
      </c>
      <c r="G24" s="10" t="n">
        <v>0.6435381141782349</v>
      </c>
      <c r="H24" s="10" t="n">
        <v>0.7081518711312912</v>
      </c>
      <c r="I24" s="10" t="n">
        <v>0.7739255383923476</v>
      </c>
      <c r="J24" s="10" t="n">
        <v>0.8399244269567503</v>
      </c>
      <c r="K24" s="10" t="n">
        <v>0.9054925706985748</v>
      </c>
      <c r="L24" s="10" t="n">
        <v>0.9701733872475126</v>
      </c>
      <c r="M24" s="10" t="n">
        <v>1.033651076170888</v>
      </c>
      <c r="N24" s="10" t="n">
        <v>1.095697248214914</v>
      </c>
      <c r="O24" s="10" t="n">
        <v>1.726446928552833</v>
      </c>
      <c r="P24" s="10" t="n">
        <v>1.760268931725217</v>
      </c>
      <c r="Q24" s="10" t="n">
        <v>1.791999674653424</v>
      </c>
      <c r="R24" s="10" t="n">
        <v>1.821663875167359</v>
      </c>
      <c r="S24" s="10" t="n">
        <v>1.849289871715037</v>
      </c>
      <c r="T24" s="10" t="n">
        <v>1.874908998485313</v>
      </c>
      <c r="U24" s="10" t="n">
        <v>1.898555144418857</v>
      </c>
      <c r="V24" s="10" t="n">
        <v>1.920264156860464</v>
      </c>
      <c r="W24" s="10" t="n">
        <v>1.940072253502999</v>
      </c>
      <c r="X24" s="10" t="n">
        <v>1.958015197690691</v>
      </c>
      <c r="Y24" s="10" t="n">
        <v>1.974128387848138</v>
      </c>
      <c r="Z24" s="10" t="n">
        <v>1.988447258244104</v>
      </c>
      <c r="AA24" s="10" t="n">
        <v>2.001007482073897</v>
      </c>
      <c r="AB24" s="10" t="n">
        <v>2.011844951066162</v>
      </c>
      <c r="AC24" s="10" t="n">
        <v>2.020995749467004</v>
      </c>
      <c r="AD24" s="10" t="n">
        <v>2.028496156647437</v>
      </c>
      <c r="AE24" s="10" t="n">
        <v>2.034383283083485</v>
      </c>
      <c r="AF24" s="10" t="n">
        <v>2.038696201131803</v>
      </c>
      <c r="AG24" s="10" t="n">
        <v>2.041476253092834</v>
      </c>
      <c r="AH24" s="10" t="n">
        <v>2.042767023736147</v>
      </c>
      <c r="AI24" s="10" t="n">
        <v>2.042614988452717</v>
      </c>
      <c r="AJ24" s="10" t="n">
        <v>2.041070795114815</v>
      </c>
      <c r="AK24" s="10" t="n">
        <v>2.038189146535147</v>
      </c>
      <c r="AL24" s="10" t="n">
        <v>2.034028427149677</v>
      </c>
      <c r="AM24" s="10" t="n">
        <v>2.02865099787054</v>
      </c>
      <c r="AN24" s="10" t="n">
        <v>2.022124009306252</v>
      </c>
      <c r="AO24" s="10" t="n">
        <v>2.014519317407878</v>
      </c>
      <c r="AP24" s="10" t="n">
        <v>2.005913469615138</v>
      </c>
      <c r="AQ24" s="10" t="n">
        <v>1.996387194559568</v>
      </c>
      <c r="AR24" s="10" t="n">
        <v>1.986024261075769</v>
      </c>
      <c r="AS24" s="10" t="n">
        <v>1.974910938097031</v>
      </c>
      <c r="AT24" s="10" t="n">
        <v>1.963135761555381</v>
      </c>
      <c r="AU24" s="10" t="n">
        <v>1.950788877492915</v>
      </c>
    </row>
    <row r="25">
      <c r="A25" s="9" t="n">
        <v>-100</v>
      </c>
      <c r="B25" s="7" t="n">
        <v>43031</v>
      </c>
      <c r="C25" s="10" t="n">
        <v>0.4213864910415116</v>
      </c>
      <c r="D25" s="10" t="n">
        <v>0.4627108017066541</v>
      </c>
      <c r="E25" s="10" t="n">
        <v>0.5137724348120019</v>
      </c>
      <c r="F25" s="10" t="n">
        <v>0.5711456793791093</v>
      </c>
      <c r="G25" s="10" t="n">
        <v>0.6324798570063046</v>
      </c>
      <c r="H25" s="10" t="n">
        <v>0.6961058534820834</v>
      </c>
      <c r="I25" s="10" t="n">
        <v>0.760795510862798</v>
      </c>
      <c r="J25" s="10" t="n">
        <v>0.8256614636658626</v>
      </c>
      <c r="K25" s="10" t="n">
        <v>0.890094954693843</v>
      </c>
      <c r="L25" s="10" t="n">
        <v>0.953684108154788</v>
      </c>
      <c r="M25" s="10" t="n">
        <v>1.016151178447311</v>
      </c>
      <c r="N25" s="10" t="n">
        <v>1.077298596838873</v>
      </c>
      <c r="O25" s="10" t="n">
        <v>1.706653991122629</v>
      </c>
      <c r="P25" s="10" t="n">
        <v>1.740626295506224</v>
      </c>
      <c r="Q25" s="10" t="n">
        <v>1.772468718666146</v>
      </c>
      <c r="R25" s="10" t="n">
        <v>1.802201207449054</v>
      </c>
      <c r="S25" s="10" t="n">
        <v>1.829850117761134</v>
      </c>
      <c r="T25" s="10" t="n">
        <v>1.855447196816992</v>
      </c>
      <c r="U25" s="10" t="n">
        <v>1.879028789884257</v>
      </c>
      <c r="V25" s="10" t="n">
        <v>1.90063494055086</v>
      </c>
      <c r="W25" s="10" t="n">
        <v>1.920307515145839</v>
      </c>
      <c r="X25" s="10" t="n">
        <v>1.938089164110783</v>
      </c>
      <c r="Y25" s="10" t="n">
        <v>1.95402307622584</v>
      </c>
      <c r="Z25" s="10" t="n">
        <v>1.968152297864047</v>
      </c>
      <c r="AA25" s="10" t="n">
        <v>1.980519396378941</v>
      </c>
      <c r="AB25" s="10" t="n">
        <v>1.991166503882543</v>
      </c>
      <c r="AC25" s="10" t="n">
        <v>2.000135369059829</v>
      </c>
      <c r="AD25" s="10" t="n">
        <v>2.007467407699898</v>
      </c>
      <c r="AE25" s="10" t="n">
        <v>2.013203894056838</v>
      </c>
      <c r="AF25" s="10" t="n">
        <v>2.017386367808113</v>
      </c>
      <c r="AG25" s="10" t="n">
        <v>2.020057350726183</v>
      </c>
      <c r="AH25" s="10" t="n">
        <v>2.021260691591215</v>
      </c>
      <c r="AI25" s="10" t="n">
        <v>2.021042429392235</v>
      </c>
      <c r="AJ25" s="10" t="n">
        <v>2.01945232381027</v>
      </c>
      <c r="AK25" s="10" t="n">
        <v>2.016543811928626</v>
      </c>
      <c r="AL25" s="10" t="n">
        <v>2.01237367646091</v>
      </c>
      <c r="AM25" s="10" t="n">
        <v>2.007002481159578</v>
      </c>
      <c r="AN25" s="10" t="n">
        <v>2.000495584044398</v>
      </c>
      <c r="AO25" s="10" t="n">
        <v>1.992923096080611</v>
      </c>
      <c r="AP25" s="10" t="n">
        <v>1.984359895909792</v>
      </c>
      <c r="AQ25" s="10" t="n">
        <v>1.974885133408838</v>
      </c>
      <c r="AR25" s="10" t="n">
        <v>1.964581126953779</v>
      </c>
      <c r="AS25" s="10" t="n">
        <v>1.953532832010559</v>
      </c>
      <c r="AT25" s="10" t="n">
        <v>1.941827596572602</v>
      </c>
      <c r="AU25" s="10" t="n">
        <v>1.929554495105309</v>
      </c>
    </row>
    <row r="26">
      <c r="A26" s="9" t="n">
        <v>-99</v>
      </c>
      <c r="B26" s="7" t="n">
        <v>43032</v>
      </c>
      <c r="C26" s="10" t="n">
        <v>0.45166000967008</v>
      </c>
      <c r="D26" s="10" t="n">
        <v>0.4943287727411373</v>
      </c>
      <c r="E26" s="10" t="n">
        <v>0.5468067585726112</v>
      </c>
      <c r="F26" s="10" t="n">
        <v>0.6056827964152959</v>
      </c>
      <c r="G26" s="10" t="n">
        <v>0.6685675958825308</v>
      </c>
      <c r="H26" s="10" t="n">
        <v>0.7337432843891931</v>
      </c>
      <c r="I26" s="10" t="n">
        <v>0.7999348196070832</v>
      </c>
      <c r="J26" s="10" t="n">
        <v>0.8662108807082528</v>
      </c>
      <c r="K26" s="10" t="n">
        <v>0.931923930440838</v>
      </c>
      <c r="L26" s="10" t="n">
        <v>0.9966300179160635</v>
      </c>
      <c r="M26" s="10" t="n">
        <v>1.060027320978637</v>
      </c>
      <c r="N26" s="10" t="n">
        <v>1.12190327628425</v>
      </c>
      <c r="O26" s="10" t="n">
        <v>1.746885972305548</v>
      </c>
      <c r="P26" s="10" t="n">
        <v>1.780125902095042</v>
      </c>
      <c r="Q26" s="10" t="n">
        <v>1.811259898709909</v>
      </c>
      <c r="R26" s="10" t="n">
        <v>1.84031324461442</v>
      </c>
      <c r="S26" s="10" t="n">
        <v>1.867315560201092</v>
      </c>
      <c r="T26" s="10" t="n">
        <v>1.892300162253852</v>
      </c>
      <c r="U26" s="10" t="n">
        <v>1.915303520135342</v>
      </c>
      <c r="V26" s="10" t="n">
        <v>1.936364634814274</v>
      </c>
      <c r="W26" s="10" t="n">
        <v>1.955523743999829</v>
      </c>
      <c r="X26" s="10" t="n">
        <v>1.972821612846768</v>
      </c>
      <c r="Y26" s="10" t="n">
        <v>1.988299386502741</v>
      </c>
      <c r="Z26" s="10" t="n">
        <v>2.001998233682981</v>
      </c>
      <c r="AA26" s="10" t="n">
        <v>2.013959167580283</v>
      </c>
      <c r="AB26" s="10" t="n">
        <v>2.024223057698619</v>
      </c>
      <c r="AC26" s="10" t="n">
        <v>2.032830646958941</v>
      </c>
      <c r="AD26" s="10" t="n">
        <v>2.039822575925993</v>
      </c>
      <c r="AE26" s="10" t="n">
        <v>2.045239634819273</v>
      </c>
      <c r="AF26" s="10" t="n">
        <v>2.04912325697014</v>
      </c>
      <c r="AG26" s="10" t="n">
        <v>2.051516048189719</v>
      </c>
      <c r="AH26" s="10" t="n">
        <v>2.052462003333929</v>
      </c>
      <c r="AI26" s="10" t="n">
        <v>2.052007278011955</v>
      </c>
      <c r="AJ26" s="10" t="n">
        <v>2.050201559674514</v>
      </c>
      <c r="AK26" s="10" t="n">
        <v>2.047098008641107</v>
      </c>
      <c r="AL26" s="10" t="n">
        <v>2.042752945388481</v>
      </c>
      <c r="AM26" s="10" t="n">
        <v>2.037226264949062</v>
      </c>
      <c r="AN26" s="10" t="n">
        <v>2.030582383896892</v>
      </c>
      <c r="AO26" s="10" t="n">
        <v>2.022890204742721</v>
      </c>
      <c r="AP26" s="10" t="n">
        <v>2.014223149949786</v>
      </c>
      <c r="AQ26" s="10" t="n">
        <v>2.004658717229503</v>
      </c>
      <c r="AR26" s="10" t="n">
        <v>1.994277509808609</v>
      </c>
      <c r="AS26" s="10" t="n">
        <v>1.983162754154584</v>
      </c>
      <c r="AT26" s="10" t="n">
        <v>1.97140005957059</v>
      </c>
      <c r="AU26" s="10" t="n">
        <v>1.959076820207938</v>
      </c>
    </row>
    <row r="27">
      <c r="A27" s="9" t="n">
        <v>-98</v>
      </c>
      <c r="B27" s="7" t="n">
        <v>43033</v>
      </c>
      <c r="C27" s="10" t="n">
        <v>0.4978153678949709</v>
      </c>
      <c r="D27" s="10" t="n">
        <v>0.5432408534236208</v>
      </c>
      <c r="E27" s="10" t="n">
        <v>0.5982520096704927</v>
      </c>
      <c r="F27" s="10" t="n">
        <v>0.6594510335221153</v>
      </c>
      <c r="G27" s="10" t="n">
        <v>0.7244030793558588</v>
      </c>
      <c r="H27" s="10" t="n">
        <v>0.7913496443715602</v>
      </c>
      <c r="I27" s="10" t="n">
        <v>0.8589949239413442</v>
      </c>
      <c r="J27" s="10" t="n">
        <v>0.9264087912201052</v>
      </c>
      <c r="K27" s="10" t="n">
        <v>0.9929609261116353</v>
      </c>
      <c r="L27" s="10" t="n">
        <v>1.058234294801291</v>
      </c>
      <c r="M27" s="10" t="n">
        <v>1.121956804904684</v>
      </c>
      <c r="N27" s="10" t="n">
        <v>1.183946678006728</v>
      </c>
      <c r="O27" s="10" t="n">
        <v>1.800583077605982</v>
      </c>
      <c r="P27" s="10" t="n">
        <v>1.832863573383043</v>
      </c>
      <c r="Q27" s="10" t="n">
        <v>1.863037510228874</v>
      </c>
      <c r="R27" s="10" t="n">
        <v>1.891137001267845</v>
      </c>
      <c r="S27" s="10" t="n">
        <v>1.917197802567696</v>
      </c>
      <c r="T27" s="10" t="n">
        <v>1.941258738395731</v>
      </c>
      <c r="U27" s="10" t="n">
        <v>1.963361249645619</v>
      </c>
      <c r="V27" s="10" t="n">
        <v>1.983548810943591</v>
      </c>
      <c r="W27" s="10" t="n">
        <v>2.001865508344777</v>
      </c>
      <c r="X27" s="10" t="n">
        <v>2.018355309333367</v>
      </c>
      <c r="Y27" s="10" t="n">
        <v>2.033061962940569</v>
      </c>
      <c r="Z27" s="10" t="n">
        <v>2.046028541734138</v>
      </c>
      <c r="AA27" s="10" t="n">
        <v>2.057297251488825</v>
      </c>
      <c r="AB27" s="10" t="n">
        <v>2.066909525982321</v>
      </c>
      <c r="AC27" s="10" t="n">
        <v>2.074906118899664</v>
      </c>
      <c r="AD27" s="10" t="n">
        <v>2.081327190818423</v>
      </c>
      <c r="AE27" s="10" t="n">
        <v>2.086212572468846</v>
      </c>
      <c r="AF27" s="10" t="n">
        <v>2.089602236159975</v>
      </c>
      <c r="AG27" s="10" t="n">
        <v>2.091536890725759</v>
      </c>
      <c r="AH27" s="10" t="n">
        <v>2.092058258977457</v>
      </c>
      <c r="AI27" s="10" t="n">
        <v>2.091209940028636</v>
      </c>
      <c r="AJ27" s="10" t="n">
        <v>2.089038879636913</v>
      </c>
      <c r="AK27" s="10" t="n">
        <v>2.085595338473219</v>
      </c>
      <c r="AL27" s="10" t="n">
        <v>2.080932598559448</v>
      </c>
      <c r="AM27" s="10" t="n">
        <v>2.075107471695722</v>
      </c>
      <c r="AN27" s="10" t="n">
        <v>2.068181377995631</v>
      </c>
      <c r="AO27" s="10" t="n">
        <v>2.06022034777642</v>
      </c>
      <c r="AP27" s="10" t="n">
        <v>2.051295116941628</v>
      </c>
      <c r="AQ27" s="10" t="n">
        <v>2.041480717023728</v>
      </c>
      <c r="AR27" s="10" t="n">
        <v>2.030855585438101</v>
      </c>
      <c r="AS27" s="10" t="n">
        <v>2.019501094157296</v>
      </c>
      <c r="AT27" s="10" t="n">
        <v>2.007501284651086</v>
      </c>
      <c r="AU27" s="10" t="n">
        <v>1.994942281815037</v>
      </c>
    </row>
    <row r="28">
      <c r="A28" s="9" t="n">
        <v>-97</v>
      </c>
      <c r="B28" s="7" t="n">
        <v>43034</v>
      </c>
      <c r="C28" s="10" t="n">
        <v>0.4835202858699267</v>
      </c>
      <c r="D28" s="10" t="n">
        <v>0.5284493770588961</v>
      </c>
      <c r="E28" s="10" t="n">
        <v>0.5833096659589631</v>
      </c>
      <c r="F28" s="10" t="n">
        <v>0.6446012166133954</v>
      </c>
      <c r="G28" s="10" t="n">
        <v>0.7098221181794372</v>
      </c>
      <c r="H28" s="10" t="n">
        <v>0.7771683268378862</v>
      </c>
      <c r="I28" s="10" t="n">
        <v>0.8453082492850034</v>
      </c>
      <c r="J28" s="10" t="n">
        <v>0.9132803681525807</v>
      </c>
      <c r="K28" s="10" t="n">
        <v>0.9804254494706822</v>
      </c>
      <c r="L28" s="10" t="n">
        <v>1.046301046494108</v>
      </c>
      <c r="M28" s="10" t="n">
        <v>1.110614140371085</v>
      </c>
      <c r="N28" s="10" t="n">
        <v>1.173169028191162</v>
      </c>
      <c r="O28" s="10" t="n">
        <v>1.795573718928378</v>
      </c>
      <c r="P28" s="10" t="n">
        <v>1.828270771467398</v>
      </c>
      <c r="Q28" s="10" t="n">
        <v>1.85885994493612</v>
      </c>
      <c r="R28" s="10" t="n">
        <v>1.887373059961842</v>
      </c>
      <c r="S28" s="10" t="n">
        <v>1.913845700932554</v>
      </c>
      <c r="T28" s="10" t="n">
        <v>1.938316635323718</v>
      </c>
      <c r="U28" s="10" t="n">
        <v>1.960827345214598</v>
      </c>
      <c r="V28" s="10" t="n">
        <v>1.981421423884671</v>
      </c>
      <c r="W28" s="10" t="n">
        <v>2.000143123670008</v>
      </c>
      <c r="X28" s="10" t="n">
        <v>2.017036616515724</v>
      </c>
      <c r="Y28" s="10" t="n">
        <v>2.032145867216133</v>
      </c>
      <c r="Z28" s="10" t="n">
        <v>2.045514061701255</v>
      </c>
      <c r="AA28" s="10" t="n">
        <v>2.057183370066658</v>
      </c>
      <c r="AB28" s="10" t="n">
        <v>2.067195057450533</v>
      </c>
      <c r="AC28" s="10" t="n">
        <v>2.075589591766707</v>
      </c>
      <c r="AD28" s="10" t="n">
        <v>2.082406742889677</v>
      </c>
      <c r="AE28" s="10" t="n">
        <v>2.087685819518401</v>
      </c>
      <c r="AF28" s="10" t="n">
        <v>2.091466113367992</v>
      </c>
      <c r="AG28" s="10" t="n">
        <v>2.093787640145172</v>
      </c>
      <c r="AH28" s="10" t="n">
        <v>2.094691498286172</v>
      </c>
      <c r="AI28" s="10" t="n">
        <v>2.09422077608061</v>
      </c>
      <c r="AJ28" s="10" t="n">
        <v>2.092422074966695</v>
      </c>
      <c r="AK28" s="10" t="n">
        <v>2.08934546854019</v>
      </c>
      <c r="AL28" s="10" t="n">
        <v>2.08504419428042</v>
      </c>
      <c r="AM28" s="10" t="n">
        <v>2.079575150526374</v>
      </c>
      <c r="AN28" s="10" t="n">
        <v>2.072999949590441</v>
      </c>
      <c r="AO28" s="10" t="n">
        <v>2.065384891313327</v>
      </c>
      <c r="AP28" s="10" t="n">
        <v>2.056801006253268</v>
      </c>
      <c r="AQ28" s="10" t="n">
        <v>2.047323597319244</v>
      </c>
      <c r="AR28" s="10" t="n">
        <v>2.037031267393507</v>
      </c>
      <c r="AS28" s="10" t="n">
        <v>2.026005430632202</v>
      </c>
      <c r="AT28" s="10" t="n">
        <v>2.014330055203757</v>
      </c>
      <c r="AU28" s="10" t="n">
        <v>2.002091034367264</v>
      </c>
    </row>
    <row r="29">
      <c r="A29" s="9" t="n">
        <v>-96</v>
      </c>
      <c r="B29" s="7" t="n">
        <v>43035</v>
      </c>
      <c r="C29" s="10" t="n">
        <v>0.4556754371546943</v>
      </c>
      <c r="D29" s="10" t="n">
        <v>0.4987913018272603</v>
      </c>
      <c r="E29" s="10" t="n">
        <v>0.5519606627337842</v>
      </c>
      <c r="F29" s="10" t="n">
        <v>0.6116071302838288</v>
      </c>
      <c r="G29" s="10" t="n">
        <v>0.6752287732651842</v>
      </c>
      <c r="H29" s="10" t="n">
        <v>0.7410501529811941</v>
      </c>
      <c r="I29" s="10" t="n">
        <v>0.8077696972173565</v>
      </c>
      <c r="J29" s="10" t="n">
        <v>0.8744496047865798</v>
      </c>
      <c r="K29" s="10" t="n">
        <v>0.9404436535392621</v>
      </c>
      <c r="L29" s="10" t="n">
        <v>1.005318235825837</v>
      </c>
      <c r="M29" s="10" t="n">
        <v>1.068783938000478</v>
      </c>
      <c r="N29" s="10" t="n">
        <v>1.130645809278989</v>
      </c>
      <c r="O29" s="10" t="n">
        <v>1.754919249681584</v>
      </c>
      <c r="P29" s="10" t="n">
        <v>1.788269271500052</v>
      </c>
      <c r="Q29" s="10" t="n">
        <v>1.819539804919271</v>
      </c>
      <c r="R29" s="10" t="n">
        <v>1.848755528165491</v>
      </c>
      <c r="S29" s="10" t="n">
        <v>1.875944893272717</v>
      </c>
      <c r="T29" s="10" t="n">
        <v>1.901139502851933</v>
      </c>
      <c r="U29" s="10" t="n">
        <v>1.92437364627547</v>
      </c>
      <c r="V29" s="10" t="n">
        <v>1.945683706802987</v>
      </c>
      <c r="W29" s="10" t="n">
        <v>1.965106793279523</v>
      </c>
      <c r="X29" s="10" t="n">
        <v>1.982680059078238</v>
      </c>
      <c r="Y29" s="10" t="n">
        <v>1.998440690370692</v>
      </c>
      <c r="Z29" s="10" t="n">
        <v>2.01242598214482</v>
      </c>
      <c r="AA29" s="10" t="n">
        <v>2.024673367841273</v>
      </c>
      <c r="AB29" s="10" t="n">
        <v>2.035220404050872</v>
      </c>
      <c r="AC29" s="10" t="n">
        <v>2.04410475585388</v>
      </c>
      <c r="AD29" s="10" t="n">
        <v>2.051364202580791</v>
      </c>
      <c r="AE29" s="10" t="n">
        <v>2.057037045014185</v>
      </c>
      <c r="AF29" s="10" t="n">
        <v>2.061162831165482</v>
      </c>
      <c r="AG29" s="10" t="n">
        <v>2.063782846089193</v>
      </c>
      <c r="AH29" s="10" t="n">
        <v>2.064940247793234</v>
      </c>
      <c r="AI29" s="10" t="n">
        <v>2.064680821912987</v>
      </c>
      <c r="AJ29" s="10" t="n">
        <v>2.063054271155333</v>
      </c>
      <c r="AK29" s="10" t="n">
        <v>2.060114092002542</v>
      </c>
      <c r="AL29" s="10" t="n">
        <v>2.055917234343802</v>
      </c>
      <c r="AM29" s="10" t="n">
        <v>2.050524513903719</v>
      </c>
      <c r="AN29" s="10" t="n">
        <v>2.044001501230724</v>
      </c>
      <c r="AO29" s="10" t="n">
        <v>2.03641844901911</v>
      </c>
      <c r="AP29" s="10" t="n">
        <v>2.027850297684445</v>
      </c>
      <c r="AQ29" s="10" t="n">
        <v>2.018376135117811</v>
      </c>
      <c r="AR29" s="10" t="n">
        <v>2.008078052887769</v>
      </c>
      <c r="AS29" s="10" t="n">
        <v>1.99704063102664</v>
      </c>
      <c r="AT29" s="10" t="n">
        <v>1.985350702868555</v>
      </c>
      <c r="AU29" s="10" t="n">
        <v>1.973096658827875</v>
      </c>
    </row>
    <row r="30">
      <c r="A30" s="9" t="n">
        <v>-95</v>
      </c>
      <c r="B30" s="7" t="n">
        <v>43038</v>
      </c>
      <c r="C30" s="10" t="n">
        <v>0.4385247641972184</v>
      </c>
      <c r="D30" s="10" t="n">
        <v>0.479993267438662</v>
      </c>
      <c r="E30" s="10" t="n">
        <v>0.5316856754208992</v>
      </c>
      <c r="F30" s="10" t="n">
        <v>0.5899765072183067</v>
      </c>
      <c r="G30" s="10" t="n">
        <v>0.6523752438124464</v>
      </c>
      <c r="H30" s="10" t="n">
        <v>0.7171207850484116</v>
      </c>
      <c r="I30" s="10" t="n">
        <v>0.7829169495307831</v>
      </c>
      <c r="J30" s="10" t="n">
        <v>0.8488239820748201</v>
      </c>
      <c r="K30" s="10" t="n">
        <v>0.9141879001606203</v>
      </c>
      <c r="L30" s="10" t="n">
        <v>0.9785658569386999</v>
      </c>
      <c r="M30" s="10" t="n">
        <v>1.041658850767235</v>
      </c>
      <c r="N30" s="10" t="n">
        <v>1.10326094956347</v>
      </c>
      <c r="O30" s="10" t="n">
        <v>1.729728993223433</v>
      </c>
      <c r="P30" s="10" t="n">
        <v>1.763416368266466</v>
      </c>
      <c r="Q30" s="10" t="n">
        <v>1.795023790546421</v>
      </c>
      <c r="R30" s="10" t="n">
        <v>1.82457335368507</v>
      </c>
      <c r="S30" s="10" t="n">
        <v>1.852091217718898</v>
      </c>
      <c r="T30" s="10" t="n">
        <v>1.877606925817535</v>
      </c>
      <c r="U30" s="10" t="n">
        <v>1.901152906203809</v>
      </c>
      <c r="V30" s="10" t="n">
        <v>1.922763840258543</v>
      </c>
      <c r="W30" s="10" t="n">
        <v>1.942475232645314</v>
      </c>
      <c r="X30" s="10" t="n">
        <v>1.960322703038973</v>
      </c>
      <c r="Y30" s="10" t="n">
        <v>1.976342002702215</v>
      </c>
      <c r="Z30" s="10" t="n">
        <v>1.990569267193501</v>
      </c>
      <c r="AA30" s="10" t="n">
        <v>2.003041111883842</v>
      </c>
      <c r="AB30" s="10" t="n">
        <v>2.013794578587415</v>
      </c>
      <c r="AC30" s="10" t="n">
        <v>2.02286708479452</v>
      </c>
      <c r="AD30" s="10" t="n">
        <v>2.030296403393856</v>
      </c>
      <c r="AE30" s="10" t="n">
        <v>2.036121146997878</v>
      </c>
      <c r="AF30" s="10" t="n">
        <v>2.040381604351148</v>
      </c>
      <c r="AG30" s="10" t="n">
        <v>2.043120125202083</v>
      </c>
      <c r="AH30" s="10" t="n">
        <v>2.044381172138408</v>
      </c>
      <c r="AI30" s="10" t="n">
        <v>2.044212011808209</v>
      </c>
      <c r="AJ30" s="10" t="n">
        <v>2.042663908037886</v>
      </c>
      <c r="AK30" s="10" t="n">
        <v>2.039791973447436</v>
      </c>
      <c r="AL30" s="10" t="n">
        <v>2.035654822640018</v>
      </c>
      <c r="AM30" s="10" t="n">
        <v>2.030314941906453</v>
      </c>
      <c r="AN30" s="10" t="n">
        <v>2.023839499518118</v>
      </c>
      <c r="AO30" s="10" t="n">
        <v>2.016300260996094</v>
      </c>
      <c r="AP30" s="10" t="n">
        <v>2.007773590183927</v>
      </c>
      <c r="AQ30" s="10" t="n">
        <v>1.998339900450451</v>
      </c>
      <c r="AR30" s="10" t="n">
        <v>1.988082496562099</v>
      </c>
      <c r="AS30" s="10" t="n">
        <v>1.977087064997436</v>
      </c>
      <c r="AT30" s="10" t="n">
        <v>1.96544144688649</v>
      </c>
      <c r="AU30" s="10" t="n">
        <v>1.953234936094161</v>
      </c>
    </row>
    <row r="31">
      <c r="A31" s="9" t="n">
        <v>-94</v>
      </c>
      <c r="B31" s="7" t="n">
        <v>43039</v>
      </c>
      <c r="C31" s="10" t="n">
        <v>0.4507906582225921</v>
      </c>
      <c r="D31" s="10" t="n">
        <v>0.4911575590864112</v>
      </c>
      <c r="E31" s="10" t="n">
        <v>0.5422284454883946</v>
      </c>
      <c r="F31" s="10" t="n">
        <v>0.6001335782176658</v>
      </c>
      <c r="G31" s="10" t="n">
        <v>0.6622545785450729</v>
      </c>
      <c r="H31" s="10" t="n">
        <v>0.7267641565769551</v>
      </c>
      <c r="I31" s="10" t="n">
        <v>0.7923291690656706</v>
      </c>
      <c r="J31" s="10" t="n">
        <v>0.8579869222702002</v>
      </c>
      <c r="K31" s="10" t="n">
        <v>0.9230662882100048</v>
      </c>
      <c r="L31" s="10" t="n">
        <v>0.9871124096648297</v>
      </c>
      <c r="M31" s="10" t="n">
        <v>1.049818764521636</v>
      </c>
      <c r="N31" s="10" t="n">
        <v>1.110975209320858</v>
      </c>
      <c r="O31" s="10" t="n">
        <v>1.729125937110095</v>
      </c>
      <c r="P31" s="10" t="n">
        <v>1.762276631691623</v>
      </c>
      <c r="Q31" s="10" t="n">
        <v>1.793383131089045</v>
      </c>
      <c r="R31" s="10" t="n">
        <v>1.822465369158673</v>
      </c>
      <c r="S31" s="10" t="n">
        <v>1.849546946016964</v>
      </c>
      <c r="T31" s="10" t="n">
        <v>1.874654599171429</v>
      </c>
      <c r="U31" s="10" t="n">
        <v>1.897817741817895</v>
      </c>
      <c r="V31" s="10" t="n">
        <v>1.919067933856448</v>
      </c>
      <c r="W31" s="10" t="n">
        <v>1.938437848151461</v>
      </c>
      <c r="X31" s="10" t="n">
        <v>1.955960731741063</v>
      </c>
      <c r="Y31" s="10" t="n">
        <v>1.971670378869654</v>
      </c>
      <c r="Z31" s="10" t="n">
        <v>1.985601371820475</v>
      </c>
      <c r="AA31" s="10" t="n">
        <v>1.99778914602747</v>
      </c>
      <c r="AB31" s="10" t="n">
        <v>2.008269891774589</v>
      </c>
      <c r="AC31" s="10" t="n">
        <v>2.017080464332699</v>
      </c>
      <c r="AD31" s="10" t="n">
        <v>2.024258330585638</v>
      </c>
      <c r="AE31" s="10" t="n">
        <v>2.029842026053308</v>
      </c>
      <c r="AF31" s="10" t="n">
        <v>2.033871948381358</v>
      </c>
      <c r="AG31" s="10" t="n">
        <v>2.036390660368008</v>
      </c>
      <c r="AH31" s="10" t="n">
        <v>2.037442894826305</v>
      </c>
      <c r="AI31" s="10" t="n">
        <v>2.037076183273399</v>
      </c>
      <c r="AJ31" s="10" t="n">
        <v>2.035341942620816</v>
      </c>
      <c r="AK31" s="10" t="n">
        <v>2.032295316508819</v>
      </c>
      <c r="AL31" s="10" t="n">
        <v>2.027994840655617</v>
      </c>
      <c r="AM31" s="10" t="n">
        <v>2.022502814851332</v>
      </c>
      <c r="AN31" s="10" t="n">
        <v>2.015886096006565</v>
      </c>
      <c r="AO31" s="10" t="n">
        <v>2.008216027547844</v>
      </c>
      <c r="AP31" s="10" t="n">
        <v>1.999568474022888</v>
      </c>
      <c r="AQ31" s="10" t="n">
        <v>1.990023291084995</v>
      </c>
      <c r="AR31" s="10" t="n">
        <v>1.979663200930575</v>
      </c>
      <c r="AS31" s="10" t="n">
        <v>1.968573297130022</v>
      </c>
      <c r="AT31" s="10" t="n">
        <v>1.956840818986585</v>
      </c>
      <c r="AU31" s="10" t="n">
        <v>1.94455446659515</v>
      </c>
    </row>
    <row r="32">
      <c r="A32" s="9" t="n">
        <v>-93</v>
      </c>
      <c r="B32" s="7" t="n">
        <v>43040</v>
      </c>
      <c r="C32" s="10" t="n">
        <v>0.4807551522736939</v>
      </c>
      <c r="D32" s="10" t="n">
        <v>0.5225731470119408</v>
      </c>
      <c r="E32" s="10" t="n">
        <v>0.57448498334167</v>
      </c>
      <c r="F32" s="10" t="n">
        <v>0.6326579883562232</v>
      </c>
      <c r="G32" s="10" t="n">
        <v>0.6945361860303042</v>
      </c>
      <c r="H32" s="10" t="n">
        <v>0.7583655325077432</v>
      </c>
      <c r="I32" s="10" t="n">
        <v>0.8228897493746551</v>
      </c>
      <c r="J32" s="10" t="n">
        <v>0.887221169077765</v>
      </c>
      <c r="K32" s="10" t="n">
        <v>0.9507550280237927</v>
      </c>
      <c r="L32" s="10" t="n">
        <v>1.013096304088253</v>
      </c>
      <c r="M32" s="10" t="n">
        <v>1.073991181487826</v>
      </c>
      <c r="N32" s="10" t="n">
        <v>1.133274963739122</v>
      </c>
      <c r="O32" s="10" t="n">
        <v>1.732519795315677</v>
      </c>
      <c r="P32" s="10" t="n">
        <v>1.76496366623013</v>
      </c>
      <c r="Q32" s="10" t="n">
        <v>1.795464858059644</v>
      </c>
      <c r="R32" s="10" t="n">
        <v>1.824034920071399</v>
      </c>
      <c r="S32" s="10" t="n">
        <v>1.850688777947789</v>
      </c>
      <c r="T32" s="10" t="n">
        <v>1.875444346244168</v>
      </c>
      <c r="U32" s="10" t="n">
        <v>1.898322088831828</v>
      </c>
      <c r="V32" s="10" t="n">
        <v>1.91934460379663</v>
      </c>
      <c r="W32" s="10" t="n">
        <v>1.938536075315857</v>
      </c>
      <c r="X32" s="10" t="n">
        <v>1.955921928277591</v>
      </c>
      <c r="Y32" s="10" t="n">
        <v>1.971528780764548</v>
      </c>
      <c r="Z32" s="10" t="n">
        <v>1.985384882957467</v>
      </c>
      <c r="AA32" s="10" t="n">
        <v>1.997520220780845</v>
      </c>
      <c r="AB32" s="10" t="n">
        <v>2.007966314799108</v>
      </c>
      <c r="AC32" s="10" t="n">
        <v>2.016756037521379</v>
      </c>
      <c r="AD32" s="10" t="n">
        <v>2.023923486500023</v>
      </c>
      <c r="AE32" s="10" t="n">
        <v>2.029504498379902</v>
      </c>
      <c r="AF32" s="10" t="n">
        <v>2.033537528956998</v>
      </c>
      <c r="AG32" s="10" t="n">
        <v>2.036063751764207</v>
      </c>
      <c r="AH32" s="10" t="n">
        <v>2.037126919699182</v>
      </c>
      <c r="AI32" s="10" t="n">
        <v>2.036773891329818</v>
      </c>
      <c r="AJ32" s="10" t="n">
        <v>2.035055579244466</v>
      </c>
      <c r="AK32" s="10" t="n">
        <v>2.032026753604098</v>
      </c>
      <c r="AL32" s="10" t="n">
        <v>2.027745694257423</v>
      </c>
      <c r="AM32" s="10" t="n">
        <v>2.022274529697329</v>
      </c>
      <c r="AN32" s="10" t="n">
        <v>2.015679973394999</v>
      </c>
      <c r="AO32" s="10" t="n">
        <v>2.008033247368632</v>
      </c>
      <c r="AP32" s="10" t="n">
        <v>1.99941013065383</v>
      </c>
      <c r="AQ32" s="10" t="n">
        <v>1.989890422336213</v>
      </c>
      <c r="AR32" s="10" t="n">
        <v>1.979556804141247</v>
      </c>
      <c r="AS32" s="10" t="n">
        <v>1.968494343766815</v>
      </c>
      <c r="AT32" s="10" t="n">
        <v>1.956790267909008</v>
      </c>
      <c r="AU32" s="10" t="n">
        <v>1.944533280985851</v>
      </c>
    </row>
    <row r="33">
      <c r="A33" s="9" t="n">
        <v>-92</v>
      </c>
      <c r="B33" s="7" t="n">
        <v>43041</v>
      </c>
      <c r="C33" s="10" t="n">
        <v>0.392006515914236</v>
      </c>
      <c r="D33" s="10" t="n">
        <v>0.4280325824397088</v>
      </c>
      <c r="E33" s="10" t="n">
        <v>0.4758632211385749</v>
      </c>
      <c r="F33" s="10" t="n">
        <v>0.5312950916511637</v>
      </c>
      <c r="G33" s="10" t="n">
        <v>0.5915529854560179</v>
      </c>
      <c r="H33" s="10" t="n">
        <v>0.6547086657769804</v>
      </c>
      <c r="I33" s="10" t="n">
        <v>0.7193477733124444</v>
      </c>
      <c r="J33" s="10" t="n">
        <v>0.7844320407013714</v>
      </c>
      <c r="K33" s="10" t="n">
        <v>0.8492206751459331</v>
      </c>
      <c r="L33" s="10" t="n">
        <v>0.9131995730304889</v>
      </c>
      <c r="M33" s="10" t="n">
        <v>0.9760166703852606</v>
      </c>
      <c r="N33" s="10" t="n">
        <v>1.037425721231242</v>
      </c>
      <c r="O33" s="10" t="n">
        <v>1.665171196551916</v>
      </c>
      <c r="P33" s="10" t="n">
        <v>1.699202800215666</v>
      </c>
      <c r="Q33" s="10" t="n">
        <v>1.73116337329782</v>
      </c>
      <c r="R33" s="10" t="n">
        <v>1.76106677727048</v>
      </c>
      <c r="S33" s="10" t="n">
        <v>1.788932053433932</v>
      </c>
      <c r="T33" s="10" t="n">
        <v>1.814782719442878</v>
      </c>
      <c r="U33" s="10" t="n">
        <v>1.838646110743646</v>
      </c>
      <c r="V33" s="10" t="n">
        <v>1.86055270721151</v>
      </c>
      <c r="W33" s="10" t="n">
        <v>1.880535072482867</v>
      </c>
      <c r="X33" s="10" t="n">
        <v>1.898627250791543</v>
      </c>
      <c r="Y33" s="10" t="n">
        <v>1.914864606980033</v>
      </c>
      <c r="Z33" s="10" t="n">
        <v>1.929283879185798</v>
      </c>
      <c r="AA33" s="10" t="n">
        <v>1.941923121185433</v>
      </c>
      <c r="AB33" s="10" t="n">
        <v>1.95282154578629</v>
      </c>
      <c r="AC33" s="10" t="n">
        <v>1.962019386846626</v>
      </c>
      <c r="AD33" s="10" t="n">
        <v>1.969557803547747</v>
      </c>
      <c r="AE33" s="10" t="n">
        <v>1.975479261664143</v>
      </c>
      <c r="AF33" s="10" t="n">
        <v>1.979828199196385</v>
      </c>
      <c r="AG33" s="10" t="n">
        <v>1.982651195760641</v>
      </c>
      <c r="AH33" s="10" t="n">
        <v>1.983996918139368</v>
      </c>
      <c r="AI33" s="10" t="n">
        <v>1.983916675869759</v>
      </c>
      <c r="AJ33" s="10" t="n">
        <v>1.982465365839584</v>
      </c>
      <c r="AK33" s="10" t="n">
        <v>1.979701311246261</v>
      </c>
      <c r="AL33" s="10" t="n">
        <v>1.975685955460767</v>
      </c>
      <c r="AM33" s="10" t="n">
        <v>1.970484214282355</v>
      </c>
      <c r="AN33" s="10" t="n">
        <v>1.96416519569351</v>
      </c>
      <c r="AO33" s="10" t="n">
        <v>1.956802126589253</v>
      </c>
      <c r="AP33" s="10" t="n">
        <v>1.9484723689682</v>
      </c>
      <c r="AQ33" s="10" t="n">
        <v>1.939256866113972</v>
      </c>
      <c r="AR33" s="10" t="n">
        <v>1.929238960918026</v>
      </c>
      <c r="AS33" s="10" t="n">
        <v>1.91850391830433</v>
      </c>
      <c r="AT33" s="10" t="n">
        <v>1.907138734324101</v>
      </c>
      <c r="AU33" s="10" t="n">
        <v>1.895231431768789</v>
      </c>
    </row>
    <row r="34">
      <c r="A34" s="9" t="n">
        <v>-91</v>
      </c>
      <c r="B34" s="7" t="n">
        <v>43042</v>
      </c>
      <c r="C34" s="10" t="n">
        <v>0.4291282947622548</v>
      </c>
      <c r="D34" s="10" t="n">
        <v>0.4600961938448853</v>
      </c>
      <c r="E34" s="10" t="n">
        <v>0.5029346903400761</v>
      </c>
      <c r="F34" s="10" t="n">
        <v>0.5537947077060884</v>
      </c>
      <c r="G34" s="10" t="n">
        <v>0.6100372844081342</v>
      </c>
      <c r="H34" s="10" t="n">
        <v>0.6697469799960791</v>
      </c>
      <c r="I34" s="10" t="n">
        <v>0.7314689102170173</v>
      </c>
      <c r="J34" s="10" t="n">
        <v>0.7941068421352727</v>
      </c>
      <c r="K34" s="10" t="n">
        <v>0.8568645047771489</v>
      </c>
      <c r="L34" s="10" t="n">
        <v>0.9191797103743086</v>
      </c>
      <c r="M34" s="10" t="n">
        <v>0.9806634328442291</v>
      </c>
      <c r="N34" s="10" t="n">
        <v>1.041036867925894</v>
      </c>
      <c r="O34" s="10" t="n">
        <v>1.671074715211397</v>
      </c>
      <c r="P34" s="10" t="n">
        <v>1.705784410220162</v>
      </c>
      <c r="Q34" s="10" t="n">
        <v>1.738419105361872</v>
      </c>
      <c r="R34" s="10" t="n">
        <v>1.768984187119147</v>
      </c>
      <c r="S34" s="10" t="n">
        <v>1.797492020420038</v>
      </c>
      <c r="T34" s="10" t="n">
        <v>1.823961011860002</v>
      </c>
      <c r="U34" s="10" t="n">
        <v>1.848414720906533</v>
      </c>
      <c r="V34" s="10" t="n">
        <v>1.87088100106274</v>
      </c>
      <c r="W34" s="10" t="n">
        <v>1.891390829322095</v>
      </c>
      <c r="X34" s="10" t="n">
        <v>1.909977598729106</v>
      </c>
      <c r="Y34" s="10" t="n">
        <v>1.926676829138093</v>
      </c>
      <c r="Z34" s="10" t="n">
        <v>1.941526070321269</v>
      </c>
      <c r="AA34" s="10" t="n">
        <v>1.954564735277906</v>
      </c>
      <c r="AB34" s="10" t="n">
        <v>1.965833875756659</v>
      </c>
      <c r="AC34" s="10" t="n">
        <v>1.975375987166358</v>
      </c>
      <c r="AD34" s="10" t="n">
        <v>1.983234862342095</v>
      </c>
      <c r="AE34" s="10" t="n">
        <v>1.989455876288575</v>
      </c>
      <c r="AF34" s="10" t="n">
        <v>1.99408650768961</v>
      </c>
      <c r="AG34" s="10" t="n">
        <v>1.997176437143143</v>
      </c>
      <c r="AH34" s="10" t="n">
        <v>1.998777460659403</v>
      </c>
      <c r="AI34" s="10" t="n">
        <v>1.998943938978989</v>
      </c>
      <c r="AJ34" s="10" t="n">
        <v>1.997733551237213</v>
      </c>
      <c r="AK34" s="10" t="n">
        <v>1.99520712147869</v>
      </c>
      <c r="AL34" s="10" t="n">
        <v>1.9914283380865</v>
      </c>
      <c r="AM34" s="10" t="n">
        <v>1.986464053493513</v>
      </c>
      <c r="AN34" s="10" t="n">
        <v>1.98038487700434</v>
      </c>
      <c r="AO34" s="10" t="n">
        <v>1.973265107807798</v>
      </c>
      <c r="AP34" s="10" t="n">
        <v>1.965182769600245</v>
      </c>
      <c r="AQ34" s="10" t="n">
        <v>1.956219077249911</v>
      </c>
      <c r="AR34" s="10" t="n">
        <v>1.946457305352879</v>
      </c>
      <c r="AS34" s="10" t="n">
        <v>1.935982355026446</v>
      </c>
      <c r="AT34" s="10" t="n">
        <v>1.924880586046108</v>
      </c>
      <c r="AU34" s="10" t="n">
        <v>1.913239114019206</v>
      </c>
    </row>
    <row r="35">
      <c r="A35" s="9" t="n">
        <v>-90</v>
      </c>
      <c r="B35" s="7" t="n">
        <v>43045</v>
      </c>
      <c r="C35" s="10" t="n">
        <v>0.4265008750007725</v>
      </c>
      <c r="D35" s="10" t="n">
        <v>0.4570058015010275</v>
      </c>
      <c r="E35" s="10" t="n">
        <v>0.4995223304939705</v>
      </c>
      <c r="F35" s="10" t="n">
        <v>0.5501754453343747</v>
      </c>
      <c r="G35" s="10" t="n">
        <v>0.6062790054110726</v>
      </c>
      <c r="H35" s="10" t="n">
        <v>0.6658755364396892</v>
      </c>
      <c r="I35" s="10" t="n">
        <v>0.7274830906196854</v>
      </c>
      <c r="J35" s="10" t="n">
        <v>0.7899907630158522</v>
      </c>
      <c r="K35" s="10" t="n">
        <v>0.8525924537253511</v>
      </c>
      <c r="L35" s="10" t="n">
        <v>0.9147168861258267</v>
      </c>
      <c r="M35" s="10" t="n">
        <v>0.9759677889606841</v>
      </c>
      <c r="N35" s="10" t="n">
        <v>1.036061148550564</v>
      </c>
      <c r="O35" s="10" t="n">
        <v>1.660869814324512</v>
      </c>
      <c r="P35" s="10" t="n">
        <v>1.695340001889889</v>
      </c>
      <c r="Q35" s="10" t="n">
        <v>1.727781479906379</v>
      </c>
      <c r="R35" s="10" t="n">
        <v>1.758198120369588</v>
      </c>
      <c r="S35" s="10" t="n">
        <v>1.786599821650199</v>
      </c>
      <c r="T35" s="10" t="n">
        <v>1.813001748229475</v>
      </c>
      <c r="U35" s="10" t="n">
        <v>1.837423556089179</v>
      </c>
      <c r="V35" s="10" t="n">
        <v>1.85988867118746</v>
      </c>
      <c r="W35" s="10" t="n">
        <v>1.880423397177354</v>
      </c>
      <c r="X35" s="10" t="n">
        <v>1.89905634580201</v>
      </c>
      <c r="Y35" s="10" t="n">
        <v>1.915818234689116</v>
      </c>
      <c r="Z35" s="10" t="n">
        <v>1.930742109506525</v>
      </c>
      <c r="AA35" s="10" t="n">
        <v>1.943863293739324</v>
      </c>
      <c r="AB35" s="10" t="n">
        <v>1.955219118335946</v>
      </c>
      <c r="AC35" s="10" t="n">
        <v>1.964848682724439</v>
      </c>
      <c r="AD35" s="10" t="n">
        <v>1.972792680581736</v>
      </c>
      <c r="AE35" s="10" t="n">
        <v>1.979093834331492</v>
      </c>
      <c r="AF35" s="10" t="n">
        <v>1.983797626522674</v>
      </c>
      <c r="AG35" s="10" t="n">
        <v>1.986952336711747</v>
      </c>
      <c r="AH35" s="10" t="n">
        <v>1.988608876444448</v>
      </c>
      <c r="AI35" s="10" t="n">
        <v>1.988821181330637</v>
      </c>
      <c r="AJ35" s="10" t="n">
        <v>1.987646901444471</v>
      </c>
      <c r="AK35" s="10" t="n">
        <v>1.985147183446359</v>
      </c>
      <c r="AL35" s="10" t="n">
        <v>1.98138635351032</v>
      </c>
      <c r="AM35" s="10" t="n">
        <v>1.97643213485345</v>
      </c>
      <c r="AN35" s="10" t="n">
        <v>1.970356128671223</v>
      </c>
      <c r="AO35" s="10" t="n">
        <v>1.963233711198747</v>
      </c>
      <c r="AP35" s="10" t="n">
        <v>1.955144032276356</v>
      </c>
      <c r="AQ35" s="10" t="n">
        <v>1.946169439196109</v>
      </c>
      <c r="AR35" s="10" t="n">
        <v>1.936394276371144</v>
      </c>
      <c r="AS35" s="10" t="n">
        <v>1.925904440599164</v>
      </c>
      <c r="AT35" s="10" t="n">
        <v>1.914787216967332</v>
      </c>
      <c r="AU35" s="10" t="n">
        <v>1.903130542505435</v>
      </c>
    </row>
    <row r="36">
      <c r="A36" s="9" t="n">
        <v>-89</v>
      </c>
      <c r="B36" s="7" t="n">
        <v>43046</v>
      </c>
      <c r="C36" s="10" t="n">
        <v>0.421891129143995</v>
      </c>
      <c r="D36" s="10" t="n">
        <v>0.4508758726113865</v>
      </c>
      <c r="E36" s="10" t="n">
        <v>0.4922558413644475</v>
      </c>
      <c r="F36" s="10" t="n">
        <v>0.541976497208253</v>
      </c>
      <c r="G36" s="10" t="n">
        <v>0.5972246002741604</v>
      </c>
      <c r="H36" s="10" t="n">
        <v>0.6559731289117925</v>
      </c>
      <c r="I36" s="10" t="n">
        <v>0.7167144605389897</v>
      </c>
      <c r="J36" s="10" t="n">
        <v>0.778340825472468</v>
      </c>
      <c r="K36" s="10" t="n">
        <v>0.840065307252173</v>
      </c>
      <c r="L36" s="10" t="n">
        <v>0.9013414741319943</v>
      </c>
      <c r="M36" s="10" t="n">
        <v>0.9617962441105041</v>
      </c>
      <c r="N36" s="10" t="n">
        <v>1.021164973951781</v>
      </c>
      <c r="O36" s="10" t="n">
        <v>1.643213711270285</v>
      </c>
      <c r="P36" s="10" t="n">
        <v>1.677712967527083</v>
      </c>
      <c r="Q36" s="10" t="n">
        <v>1.71017755614258</v>
      </c>
      <c r="R36" s="10" t="n">
        <v>1.740607260441594</v>
      </c>
      <c r="S36" s="10" t="n">
        <v>1.769009052879053</v>
      </c>
      <c r="T36" s="10" t="n">
        <v>1.795396169889774</v>
      </c>
      <c r="U36" s="10" t="n">
        <v>1.819787190467165</v>
      </c>
      <c r="V36" s="10" t="n">
        <v>1.842205179443334</v>
      </c>
      <c r="W36" s="10" t="n">
        <v>1.862676638790028</v>
      </c>
      <c r="X36" s="10" t="n">
        <v>1.881230836724059</v>
      </c>
      <c r="Y36" s="10" t="n">
        <v>1.897899479345884</v>
      </c>
      <c r="Z36" s="10" t="n">
        <v>1.912716588011378</v>
      </c>
      <c r="AA36" s="10" t="n">
        <v>1.925718301723123</v>
      </c>
      <c r="AB36" s="10" t="n">
        <v>1.936942621651142</v>
      </c>
      <c r="AC36" s="10" t="n">
        <v>1.946429189446299</v>
      </c>
      <c r="AD36" s="10" t="n">
        <v>1.954219120740589</v>
      </c>
      <c r="AE36" s="10" t="n">
        <v>1.960355304426287</v>
      </c>
      <c r="AF36" s="10" t="n">
        <v>1.964882958560269</v>
      </c>
      <c r="AG36" s="10" t="n">
        <v>1.967849794812022</v>
      </c>
      <c r="AH36" s="10" t="n">
        <v>1.96930594967677</v>
      </c>
      <c r="AI36" s="10" t="n">
        <v>1.969304532786197</v>
      </c>
      <c r="AJ36" s="10" t="n">
        <v>1.967902508527943</v>
      </c>
      <c r="AK36" s="10" t="n">
        <v>1.965160490121635</v>
      </c>
      <c r="AL36" s="10" t="n">
        <v>1.961142414705978</v>
      </c>
      <c r="AM36" s="10" t="n">
        <v>1.955915879053426</v>
      </c>
      <c r="AN36" s="10" t="n">
        <v>1.949552786098587</v>
      </c>
      <c r="AO36" s="10" t="n">
        <v>1.942129259155865</v>
      </c>
      <c r="AP36" s="10" t="n">
        <v>1.933725671600651</v>
      </c>
      <c r="AQ36" s="10" t="n">
        <v>1.924426009306859</v>
      </c>
      <c r="AR36" s="10" t="n">
        <v>1.914316543181645</v>
      </c>
      <c r="AS36" s="10" t="n">
        <v>1.903485336540602</v>
      </c>
      <c r="AT36" s="10" t="n">
        <v>1.892022057749254</v>
      </c>
      <c r="AU36" s="10" t="n">
        <v>1.880017179645896</v>
      </c>
    </row>
    <row r="37">
      <c r="A37" s="9" t="n">
        <v>-88</v>
      </c>
      <c r="B37" s="7" t="n">
        <v>43047</v>
      </c>
      <c r="C37" s="10" t="n">
        <v>0.4156306509666542</v>
      </c>
      <c r="D37" s="10" t="n">
        <v>0.4429749650244673</v>
      </c>
      <c r="E37" s="10" t="n">
        <v>0.482649509614393</v>
      </c>
      <c r="F37" s="10" t="n">
        <v>0.530659405364061</v>
      </c>
      <c r="G37" s="10" t="n">
        <v>0.5841900725506942</v>
      </c>
      <c r="H37" s="10" t="n">
        <v>0.6412199136048722</v>
      </c>
      <c r="I37" s="10" t="n">
        <v>0.7002579292514701</v>
      </c>
      <c r="J37" s="10" t="n">
        <v>0.760214918026481</v>
      </c>
      <c r="K37" s="10" t="n">
        <v>0.8203196855444915</v>
      </c>
      <c r="L37" s="10" t="n">
        <v>0.8800359798371477</v>
      </c>
      <c r="M37" s="10" t="n">
        <v>0.9389953586900461</v>
      </c>
      <c r="N37" s="10" t="n">
        <v>0.9969341115324497</v>
      </c>
      <c r="O37" s="10" t="n">
        <v>1.604789418652561</v>
      </c>
      <c r="P37" s="10" t="n">
        <v>1.638564101549242</v>
      </c>
      <c r="Q37" s="10" t="n">
        <v>1.670367751916924</v>
      </c>
      <c r="R37" s="10" t="n">
        <v>1.700198687490795</v>
      </c>
      <c r="S37" s="10" t="n">
        <v>1.728061693098535</v>
      </c>
      <c r="T37" s="10" t="n">
        <v>1.753967236754044</v>
      </c>
      <c r="U37" s="10" t="n">
        <v>1.777930633696281</v>
      </c>
      <c r="V37" s="10" t="n">
        <v>1.79997127679913</v>
      </c>
      <c r="W37" s="10" t="n">
        <v>1.820111723833763</v>
      </c>
      <c r="X37" s="10" t="n">
        <v>1.838377104052304</v>
      </c>
      <c r="Y37" s="10" t="n">
        <v>1.854794864993272</v>
      </c>
      <c r="Z37" s="10" t="n">
        <v>1.869394878082228</v>
      </c>
      <c r="AA37" s="10" t="n">
        <v>1.882209327995379</v>
      </c>
      <c r="AB37" s="10" t="n">
        <v>1.893272436232794</v>
      </c>
      <c r="AC37" s="10" t="n">
        <v>1.902620218639378</v>
      </c>
      <c r="AD37" s="10" t="n">
        <v>1.910290309740353</v>
      </c>
      <c r="AE37" s="10" t="n">
        <v>1.916322401743886</v>
      </c>
      <c r="AF37" s="10" t="n">
        <v>1.920758977130888</v>
      </c>
      <c r="AG37" s="10" t="n">
        <v>1.923645402846615</v>
      </c>
      <c r="AH37" s="10" t="n">
        <v>1.925029795503439</v>
      </c>
      <c r="AI37" s="10" t="n">
        <v>1.924963562923267</v>
      </c>
      <c r="AJ37" s="10" t="n">
        <v>1.923502280362948</v>
      </c>
      <c r="AK37" s="10" t="n">
        <v>1.920705454781442</v>
      </c>
      <c r="AL37" s="10" t="n">
        <v>1.916636173594459</v>
      </c>
      <c r="AM37" s="10" t="n">
        <v>1.911361431255889</v>
      </c>
      <c r="AN37" s="10" t="n">
        <v>1.904952763933126</v>
      </c>
      <c r="AO37" s="10" t="n">
        <v>1.897486142796975</v>
      </c>
      <c r="AP37" s="10" t="n">
        <v>1.889041981845436</v>
      </c>
      <c r="AQ37" s="10" t="n">
        <v>1.879704457986386</v>
      </c>
      <c r="AR37" s="10" t="n">
        <v>1.869560121721704</v>
      </c>
      <c r="AS37" s="10" t="n">
        <v>1.858697386657109</v>
      </c>
      <c r="AT37" s="10" t="n">
        <v>1.847206334566688</v>
      </c>
      <c r="AU37" s="10" t="n">
        <v>1.835177889535441</v>
      </c>
    </row>
    <row r="38">
      <c r="A38" s="9" t="n">
        <v>-87</v>
      </c>
      <c r="B38" s="7" t="n">
        <v>43048</v>
      </c>
      <c r="C38" s="10" t="n">
        <v>0.4438614220269201</v>
      </c>
      <c r="D38" s="10" t="n">
        <v>0.4740171167635667</v>
      </c>
      <c r="E38" s="10" t="n">
        <v>0.5166414264791508</v>
      </c>
      <c r="F38" s="10" t="n">
        <v>0.5675484826988108</v>
      </c>
      <c r="G38" s="10" t="n">
        <v>0.6238002667102701</v>
      </c>
      <c r="H38" s="10" t="n">
        <v>0.6833034669865451</v>
      </c>
      <c r="I38" s="10" t="n">
        <v>0.7445346420878086</v>
      </c>
      <c r="J38" s="10" t="n">
        <v>0.8063998171952981</v>
      </c>
      <c r="K38" s="10" t="n">
        <v>0.8681397723273151</v>
      </c>
      <c r="L38" s="10" t="n">
        <v>0.9292376050410205</v>
      </c>
      <c r="M38" s="10" t="n">
        <v>0.9893463976334959</v>
      </c>
      <c r="N38" s="10" t="n">
        <v>1.048224040340912</v>
      </c>
      <c r="O38" s="10" t="n">
        <v>1.656073083390314</v>
      </c>
      <c r="P38" s="10" t="n">
        <v>1.689319324101585</v>
      </c>
      <c r="Q38" s="10" t="n">
        <v>1.720572644984568</v>
      </c>
      <c r="R38" s="10" t="n">
        <v>1.749840709397535</v>
      </c>
      <c r="S38" s="10" t="n">
        <v>1.777136562322604</v>
      </c>
      <c r="T38" s="10" t="n">
        <v>1.802477937662853</v>
      </c>
      <c r="U38" s="10" t="n">
        <v>1.825886568361239</v>
      </c>
      <c r="V38" s="10" t="n">
        <v>1.847387517421153</v>
      </c>
      <c r="W38" s="10" t="n">
        <v>1.867008282585267</v>
      </c>
      <c r="X38" s="10" t="n">
        <v>1.884778262683736</v>
      </c>
      <c r="Y38" s="10" t="n">
        <v>1.900728590978878</v>
      </c>
      <c r="Z38" s="10" t="n">
        <v>1.914892307341753</v>
      </c>
      <c r="AA38" s="10" t="n">
        <v>1.927304306045301</v>
      </c>
      <c r="AB38" s="10" t="n">
        <v>1.938001114988843</v>
      </c>
      <c r="AC38" s="10" t="n">
        <v>1.947020701218755</v>
      </c>
      <c r="AD38" s="10" t="n">
        <v>1.95440233429845</v>
      </c>
      <c r="AE38" s="10" t="n">
        <v>1.96018700784681</v>
      </c>
      <c r="AF38" s="10" t="n">
        <v>1.964418127456739</v>
      </c>
      <c r="AG38" s="10" t="n">
        <v>1.967141653134703</v>
      </c>
      <c r="AH38" s="10" t="n">
        <v>1.96840600863089</v>
      </c>
      <c r="AI38" s="10" t="n">
        <v>1.968262640211036</v>
      </c>
      <c r="AJ38" s="10" t="n">
        <v>1.966766887361357</v>
      </c>
      <c r="AK38" s="10" t="n">
        <v>1.963977767018716</v>
      </c>
      <c r="AL38" s="10" t="n">
        <v>1.959957646754421</v>
      </c>
      <c r="AM38" s="10" t="n">
        <v>1.954772571713931</v>
      </c>
      <c r="AN38" s="10" t="n">
        <v>1.948492876802621</v>
      </c>
      <c r="AO38" s="10" t="n">
        <v>1.941193079914791</v>
      </c>
      <c r="AP38" s="10" t="n">
        <v>1.932951869721795</v>
      </c>
      <c r="AQ38" s="10" t="n">
        <v>1.923851421325405</v>
      </c>
      <c r="AR38" s="10" t="n">
        <v>1.913976003868724</v>
      </c>
      <c r="AS38" s="10" t="n">
        <v>1.903411490334859</v>
      </c>
      <c r="AT38" s="10" t="n">
        <v>1.892245182921189</v>
      </c>
      <c r="AU38" s="10" t="n">
        <v>1.880564986225366</v>
      </c>
    </row>
    <row r="39">
      <c r="A39" s="9" t="n">
        <v>-86</v>
      </c>
      <c r="B39" s="7" t="n">
        <v>43049</v>
      </c>
      <c r="C39" s="10" t="n">
        <v>0.470075631315207</v>
      </c>
      <c r="D39" s="10" t="n">
        <v>0.5074060461924308</v>
      </c>
      <c r="E39" s="10" t="n">
        <v>0.5571008918934622</v>
      </c>
      <c r="F39" s="10" t="n">
        <v>0.6146373749699443</v>
      </c>
      <c r="G39" s="10" t="n">
        <v>0.6769036298338643</v>
      </c>
      <c r="H39" s="10" t="n">
        <v>0.7417298904088555</v>
      </c>
      <c r="I39" s="10" t="n">
        <v>0.8075764544643522</v>
      </c>
      <c r="J39" s="10" t="n">
        <v>0.873369075842422</v>
      </c>
      <c r="K39" s="10" t="n">
        <v>0.9383926697098223</v>
      </c>
      <c r="L39" s="10" t="n">
        <v>1.002182260905087</v>
      </c>
      <c r="M39" s="10" t="n">
        <v>1.064446090844175</v>
      </c>
      <c r="N39" s="10" t="n">
        <v>1.12499959016802</v>
      </c>
      <c r="O39" s="10" t="n">
        <v>1.732288495209173</v>
      </c>
      <c r="P39" s="10" t="n">
        <v>1.764884967202072</v>
      </c>
      <c r="Q39" s="10" t="n">
        <v>1.79549744506981</v>
      </c>
      <c r="R39" s="10" t="n">
        <v>1.824142548246141</v>
      </c>
      <c r="S39" s="10" t="n">
        <v>1.850840509822134</v>
      </c>
      <c r="T39" s="10" t="n">
        <v>1.875614740844801</v>
      </c>
      <c r="U39" s="10" t="n">
        <v>1.898491362665347</v>
      </c>
      <c r="V39" s="10" t="n">
        <v>1.919498745846699</v>
      </c>
      <c r="W39" s="10" t="n">
        <v>1.938666883338624</v>
      </c>
      <c r="X39" s="10" t="n">
        <v>1.956027027847253</v>
      </c>
      <c r="Y39" s="10" t="n">
        <v>1.971611563387716</v>
      </c>
      <c r="Z39" s="10" t="n">
        <v>1.985454034806046</v>
      </c>
      <c r="AA39" s="10" t="n">
        <v>1.997589082066116</v>
      </c>
      <c r="AB39" s="10" t="n">
        <v>2.008052308837949</v>
      </c>
      <c r="AC39" s="10" t="n">
        <v>2.0168801677708</v>
      </c>
      <c r="AD39" s="10" t="n">
        <v>2.024109887874169</v>
      </c>
      <c r="AE39" s="10" t="n">
        <v>2.029779844733816</v>
      </c>
      <c r="AF39" s="10" t="n">
        <v>2.033930161389283</v>
      </c>
      <c r="AG39" s="10" t="n">
        <v>2.036603017779593</v>
      </c>
      <c r="AH39" s="10" t="n">
        <v>2.037842676284721</v>
      </c>
      <c r="AI39" s="10" t="n">
        <v>2.037696218167908</v>
      </c>
      <c r="AJ39" s="10" t="n">
        <v>2.036214585184108</v>
      </c>
      <c r="AK39" s="10" t="n">
        <v>2.033452380793005</v>
      </c>
      <c r="AL39" s="10" t="n">
        <v>2.029467554322374</v>
      </c>
      <c r="AM39" s="10" t="n">
        <v>2.0243218661187</v>
      </c>
      <c r="AN39" s="10" t="n">
        <v>2.018081649953377</v>
      </c>
      <c r="AO39" s="10" t="n">
        <v>2.010817722924115</v>
      </c>
      <c r="AP39" s="10" t="n">
        <v>2.002605395900975</v>
      </c>
      <c r="AQ39" s="10" t="n">
        <v>1.99352381492315</v>
      </c>
      <c r="AR39" s="10" t="n">
        <v>1.983654692150582</v>
      </c>
      <c r="AS39" s="10" t="n">
        <v>1.973081828961272</v>
      </c>
      <c r="AT39" s="10" t="n">
        <v>1.961890901938716</v>
      </c>
      <c r="AU39" s="10" t="n">
        <v>1.950168653041082</v>
      </c>
    </row>
    <row r="40">
      <c r="A40" s="9" t="n">
        <v>-85</v>
      </c>
      <c r="B40" s="7" t="n">
        <v>43052</v>
      </c>
      <c r="C40" s="10" t="n">
        <v>0.4698063726584956</v>
      </c>
      <c r="D40" s="10" t="n">
        <v>0.5059960827157731</v>
      </c>
      <c r="E40" s="10" t="n">
        <v>0.5545676752332429</v>
      </c>
      <c r="F40" s="10" t="n">
        <v>0.6111015408175042</v>
      </c>
      <c r="G40" s="10" t="n">
        <v>0.6724994075554954</v>
      </c>
      <c r="H40" s="10" t="n">
        <v>0.7365752142279054</v>
      </c>
      <c r="I40" s="10" t="n">
        <v>0.8017666830678359</v>
      </c>
      <c r="J40" s="10" t="n">
        <v>0.8669800140465209</v>
      </c>
      <c r="K40" s="10" t="n">
        <v>0.9314881178804423</v>
      </c>
      <c r="L40" s="10" t="n">
        <v>0.9948207310195911</v>
      </c>
      <c r="M40" s="10" t="n">
        <v>1.056683542780276</v>
      </c>
      <c r="N40" s="10" t="n">
        <v>1.116890889293358</v>
      </c>
      <c r="O40" s="10" t="n">
        <v>1.72280775002234</v>
      </c>
      <c r="P40" s="10" t="n">
        <v>1.755368049988931</v>
      </c>
      <c r="Q40" s="10" t="n">
        <v>1.785940448975011</v>
      </c>
      <c r="R40" s="10" t="n">
        <v>1.814542017456552</v>
      </c>
      <c r="S40" s="10" t="n">
        <v>1.84119363585436</v>
      </c>
      <c r="T40" s="10" t="n">
        <v>1.865919490820023</v>
      </c>
      <c r="U40" s="10" t="n">
        <v>1.888746588688316</v>
      </c>
      <c r="V40" s="10" t="n">
        <v>1.909704278359997</v>
      </c>
      <c r="W40" s="10" t="n">
        <v>1.928823614036565</v>
      </c>
      <c r="X40" s="10" t="n">
        <v>1.946136984104815</v>
      </c>
      <c r="Y40" s="10" t="n">
        <v>1.96167793812798</v>
      </c>
      <c r="Z40" s="10" t="n">
        <v>1.975481064227884</v>
      </c>
      <c r="AA40" s="10" t="n">
        <v>1.987581871059157</v>
      </c>
      <c r="AB40" s="10" t="n">
        <v>1.998016675859637</v>
      </c>
      <c r="AC40" s="10" t="n">
        <v>2.006822508190454</v>
      </c>
      <c r="AD40" s="10" t="n">
        <v>2.014037048499167</v>
      </c>
      <c r="AE40" s="10" t="n">
        <v>2.019698923305282</v>
      </c>
      <c r="AF40" s="10" t="n">
        <v>2.023848205016294</v>
      </c>
      <c r="AG40" s="10" t="n">
        <v>2.026526756498638</v>
      </c>
      <c r="AH40" s="10" t="n">
        <v>2.027778294789207</v>
      </c>
      <c r="AI40" s="10" t="n">
        <v>2.027649175806267</v>
      </c>
      <c r="AJ40" s="10" t="n">
        <v>2.026189472330916</v>
      </c>
      <c r="AK40" s="10" t="n">
        <v>2.023452789353342</v>
      </c>
      <c r="AL40" s="10" t="n">
        <v>2.019495964235173</v>
      </c>
      <c r="AM40" s="10" t="n">
        <v>2.014379587934435</v>
      </c>
      <c r="AN40" s="10" t="n">
        <v>2.008168823346112</v>
      </c>
      <c r="AO40" s="10" t="n">
        <v>2.000933334436451</v>
      </c>
      <c r="AP40" s="10" t="n">
        <v>1.992747324896077</v>
      </c>
      <c r="AQ40" s="10" t="n">
        <v>1.983688904705171</v>
      </c>
      <c r="AR40" s="10" t="n">
        <v>1.973838883484292</v>
      </c>
      <c r="AS40" s="10" t="n">
        <v>1.963280303945098</v>
      </c>
      <c r="AT40" s="10" t="n">
        <v>1.952098216878072</v>
      </c>
      <c r="AU40" s="10" t="n">
        <v>1.940378887987606</v>
      </c>
    </row>
    <row r="41">
      <c r="A41" s="9" t="n">
        <v>-84</v>
      </c>
      <c r="B41" s="7" t="n">
        <v>43053</v>
      </c>
      <c r="C41" s="10" t="n">
        <v>0.4521942255938508</v>
      </c>
      <c r="D41" s="10" t="n">
        <v>0.4866866720090376</v>
      </c>
      <c r="E41" s="10" t="n">
        <v>0.5341397721147567</v>
      </c>
      <c r="F41" s="10" t="n">
        <v>0.5900211685877612</v>
      </c>
      <c r="G41" s="10" t="n">
        <v>0.6511042948629573</v>
      </c>
      <c r="H41" s="10" t="n">
        <v>0.715103378413035</v>
      </c>
      <c r="I41" s="10" t="n">
        <v>0.780384524522068</v>
      </c>
      <c r="J41" s="10" t="n">
        <v>0.8458027536334781</v>
      </c>
      <c r="K41" s="10" t="n">
        <v>0.9105928116043431</v>
      </c>
      <c r="L41" s="10" t="n">
        <v>0.9742551987685055</v>
      </c>
      <c r="M41" s="10" t="n">
        <v>1.03647299487993</v>
      </c>
      <c r="N41" s="10" t="n">
        <v>1.09704486675199</v>
      </c>
      <c r="O41" s="10" t="n">
        <v>1.707939243008814</v>
      </c>
      <c r="P41" s="10" t="n">
        <v>1.740901178043512</v>
      </c>
      <c r="Q41" s="10" t="n">
        <v>1.771867031130217</v>
      </c>
      <c r="R41" s="10" t="n">
        <v>1.800851891439874</v>
      </c>
      <c r="S41" s="10" t="n">
        <v>1.827875335505922</v>
      </c>
      <c r="T41" s="10" t="n">
        <v>1.8529608479023</v>
      </c>
      <c r="U41" s="10" t="n">
        <v>1.876135246216055</v>
      </c>
      <c r="V41" s="10" t="n">
        <v>1.897428137595881</v>
      </c>
      <c r="W41" s="10" t="n">
        <v>1.916871252547845</v>
      </c>
      <c r="X41" s="10" t="n">
        <v>1.934498033614542</v>
      </c>
      <c r="Y41" s="10" t="n">
        <v>1.950343375927651</v>
      </c>
      <c r="Z41" s="10" t="n">
        <v>1.964443313353546</v>
      </c>
      <c r="AA41" s="10" t="n">
        <v>1.976834819508639</v>
      </c>
      <c r="AB41" s="10" t="n">
        <v>1.987555691699108</v>
      </c>
      <c r="AC41" s="10" t="n">
        <v>1.996644452862586</v>
      </c>
      <c r="AD41" s="10" t="n">
        <v>2.004140285387677</v>
      </c>
      <c r="AE41" s="10" t="n">
        <v>2.010083264688632</v>
      </c>
      <c r="AF41" s="10" t="n">
        <v>2.014514778089339</v>
      </c>
      <c r="AG41" s="10" t="n">
        <v>2.017477869879296</v>
      </c>
      <c r="AH41" s="10" t="n">
        <v>2.019017316042534</v>
      </c>
      <c r="AI41" s="10" t="n">
        <v>2.019180400648373</v>
      </c>
      <c r="AJ41" s="10" t="n">
        <v>2.018017962581345</v>
      </c>
      <c r="AK41" s="10" t="n">
        <v>2.015584218258258</v>
      </c>
      <c r="AL41" s="10" t="n">
        <v>2.011936475953827</v>
      </c>
      <c r="AM41" s="10" t="n">
        <v>2.007135638122199</v>
      </c>
      <c r="AN41" s="10" t="n">
        <v>2.001246975660501</v>
      </c>
      <c r="AO41" s="10" t="n">
        <v>1.994340049596547</v>
      </c>
      <c r="AP41" s="10" t="n">
        <v>1.986488725670515</v>
      </c>
      <c r="AQ41" s="10" t="n">
        <v>1.977770555380561</v>
      </c>
      <c r="AR41" s="10" t="n">
        <v>1.96826561462062</v>
      </c>
      <c r="AS41" s="10" t="n">
        <v>1.958056062228161</v>
      </c>
      <c r="AT41" s="10" t="n">
        <v>1.947225927475902</v>
      </c>
      <c r="AU41" s="10" t="n">
        <v>1.935860332567647</v>
      </c>
    </row>
    <row r="42">
      <c r="A42" s="9" t="n">
        <v>-83</v>
      </c>
      <c r="B42" s="7" t="n">
        <v>43054</v>
      </c>
      <c r="C42" s="10" t="n">
        <v>0.4517557210555706</v>
      </c>
      <c r="D42" s="10" t="n">
        <v>0.483455980191952</v>
      </c>
      <c r="E42" s="10" t="n">
        <v>0.5279777398093516</v>
      </c>
      <c r="F42" s="10" t="n">
        <v>0.5810830978837169</v>
      </c>
      <c r="G42" s="10" t="n">
        <v>0.6396642715558891</v>
      </c>
      <c r="H42" s="10" t="n">
        <v>0.7014628425826263</v>
      </c>
      <c r="I42" s="10" t="n">
        <v>0.7648321280731681</v>
      </c>
      <c r="J42" s="10" t="n">
        <v>0.8286004066684387</v>
      </c>
      <c r="K42" s="10" t="n">
        <v>0.8919724508166503</v>
      </c>
      <c r="L42" s="10" t="n">
        <v>0.9544206398718346</v>
      </c>
      <c r="M42" s="10" t="n">
        <v>1.015602271683582</v>
      </c>
      <c r="N42" s="10" t="n">
        <v>1.075293180567761</v>
      </c>
      <c r="O42" s="10" t="n">
        <v>1.682926377267982</v>
      </c>
      <c r="P42" s="10" t="n">
        <v>1.716014349695013</v>
      </c>
      <c r="Q42" s="10" t="n">
        <v>1.747131731458719</v>
      </c>
      <c r="R42" s="10" t="n">
        <v>1.776288149799018</v>
      </c>
      <c r="S42" s="10" t="n">
        <v>1.803498272429786</v>
      </c>
      <c r="T42" s="10" t="n">
        <v>1.828781188212487</v>
      </c>
      <c r="U42" s="10" t="n">
        <v>1.852159756805869</v>
      </c>
      <c r="V42" s="10" t="n">
        <v>1.873660030179561</v>
      </c>
      <c r="W42" s="10" t="n">
        <v>1.893310646585075</v>
      </c>
      <c r="X42" s="10" t="n">
        <v>1.911142409293259</v>
      </c>
      <c r="Y42" s="10" t="n">
        <v>1.927187969016432</v>
      </c>
      <c r="Z42" s="10" t="n">
        <v>1.941481461382172</v>
      </c>
      <c r="AA42" s="10" t="n">
        <v>1.9540582662201</v>
      </c>
      <c r="AB42" s="10" t="n">
        <v>1.964954854446179</v>
      </c>
      <c r="AC42" s="10" t="n">
        <v>1.97420865817149</v>
      </c>
      <c r="AD42" s="10" t="n">
        <v>1.981857981060954</v>
      </c>
      <c r="AE42" s="10" t="n">
        <v>1.987942267696374</v>
      </c>
      <c r="AF42" s="10" t="n">
        <v>1.992502561458685</v>
      </c>
      <c r="AG42" s="10" t="n">
        <v>1.995581786577944</v>
      </c>
      <c r="AH42" s="10" t="n">
        <v>1.997224776543409</v>
      </c>
      <c r="AI42" s="10" t="n">
        <v>1.997478984373027</v>
      </c>
      <c r="AJ42" s="10" t="n">
        <v>1.996395438955545</v>
      </c>
      <c r="AK42" s="10" t="n">
        <v>1.994028552400383</v>
      </c>
      <c r="AL42" s="10" t="n">
        <v>1.990435833297582</v>
      </c>
      <c r="AM42" s="10" t="n">
        <v>1.985678365683394</v>
      </c>
      <c r="AN42" s="10" t="n">
        <v>1.979821540967331</v>
      </c>
      <c r="AO42" s="10" t="n">
        <v>1.972934995243404</v>
      </c>
      <c r="AP42" s="10" t="n">
        <v>1.965092666719317</v>
      </c>
      <c r="AQ42" s="10" t="n">
        <v>1.956372213628102</v>
      </c>
      <c r="AR42" s="10" t="n">
        <v>1.946853928633925</v>
      </c>
      <c r="AS42" s="10" t="n">
        <v>1.936620311544613</v>
      </c>
      <c r="AT42" s="10" t="n">
        <v>1.925755847999184</v>
      </c>
      <c r="AU42" s="10" t="n">
        <v>1.91434625804578</v>
      </c>
    </row>
    <row r="43">
      <c r="A43" s="9" t="n">
        <v>-82</v>
      </c>
      <c r="B43" s="7" t="n">
        <v>43055</v>
      </c>
      <c r="C43" s="10" t="n">
        <v>0.4671953565076239</v>
      </c>
      <c r="D43" s="10" t="n">
        <v>0.5001813369619635</v>
      </c>
      <c r="E43" s="10" t="n">
        <v>0.5454987810837197</v>
      </c>
      <c r="F43" s="10" t="n">
        <v>0.5991039275304555</v>
      </c>
      <c r="G43" s="10" t="n">
        <v>0.6579774253536654</v>
      </c>
      <c r="H43" s="10" t="n">
        <v>0.7199033948389387</v>
      </c>
      <c r="I43" s="10" t="n">
        <v>0.7832601696719392</v>
      </c>
      <c r="J43" s="10" t="n">
        <v>0.8468969910944536</v>
      </c>
      <c r="K43" s="10" t="n">
        <v>0.9100380259158459</v>
      </c>
      <c r="L43" s="10" t="n">
        <v>0.9721743529798578</v>
      </c>
      <c r="M43" s="10" t="n">
        <v>1.032979580824561</v>
      </c>
      <c r="N43" s="10" t="n">
        <v>1.092244330705477</v>
      </c>
      <c r="O43" s="10" t="n">
        <v>1.693522850367708</v>
      </c>
      <c r="P43" s="10" t="n">
        <v>1.726229720648915</v>
      </c>
      <c r="Q43" s="10" t="n">
        <v>1.756992979111767</v>
      </c>
      <c r="R43" s="10" t="n">
        <v>1.785821815626476</v>
      </c>
      <c r="S43" s="10" t="n">
        <v>1.812730029377855</v>
      </c>
      <c r="T43" s="10" t="n">
        <v>1.837735481545761</v>
      </c>
      <c r="U43" s="10" t="n">
        <v>1.860859497975409</v>
      </c>
      <c r="V43" s="10" t="n">
        <v>1.882126373802661</v>
      </c>
      <c r="W43" s="10" t="n">
        <v>1.901562959348788</v>
      </c>
      <c r="X43" s="10" t="n">
        <v>1.919198313892323</v>
      </c>
      <c r="Y43" s="10" t="n">
        <v>1.935063380763195</v>
      </c>
      <c r="Z43" s="10" t="n">
        <v>1.949190608362706</v>
      </c>
      <c r="AA43" s="10" t="n">
        <v>1.961613702508525</v>
      </c>
      <c r="AB43" s="10" t="n">
        <v>1.972367471631741</v>
      </c>
      <c r="AC43" s="10" t="n">
        <v>1.981487695513366</v>
      </c>
      <c r="AD43" s="10" t="n">
        <v>1.989011032884651</v>
      </c>
      <c r="AE43" s="10" t="n">
        <v>1.994975257781203</v>
      </c>
      <c r="AF43" s="10" t="n">
        <v>1.99941968304574</v>
      </c>
      <c r="AG43" s="10" t="n">
        <v>2.002385482167042</v>
      </c>
      <c r="AH43" s="10" t="n">
        <v>2.003915743615709</v>
      </c>
      <c r="AI43" s="10" t="n">
        <v>2.004056297390382</v>
      </c>
      <c r="AJ43" s="10" t="n">
        <v>2.002856800184094</v>
      </c>
      <c r="AK43" s="10" t="n">
        <v>2.000370533991494</v>
      </c>
      <c r="AL43" s="10" t="n">
        <v>1.996654102994607</v>
      </c>
      <c r="AM43" s="10" t="n">
        <v>1.991768002068681</v>
      </c>
      <c r="AN43" s="10" t="n">
        <v>1.985777457554574</v>
      </c>
      <c r="AO43" s="10" t="n">
        <v>1.978752360221566</v>
      </c>
      <c r="AP43" s="10" t="n">
        <v>1.970767321221782</v>
      </c>
      <c r="AQ43" s="10" t="n">
        <v>1.961901030401259</v>
      </c>
      <c r="AR43" s="10" t="n">
        <v>1.952235076153583</v>
      </c>
      <c r="AS43" s="10" t="n">
        <v>1.941853481567123</v>
      </c>
      <c r="AT43" s="10" t="n">
        <v>1.930842461415293</v>
      </c>
      <c r="AU43" s="10" t="n">
        <v>1.919289620900354</v>
      </c>
    </row>
    <row r="44">
      <c r="A44" s="9" t="n">
        <v>-81</v>
      </c>
      <c r="B44" s="7" t="n">
        <v>43056</v>
      </c>
      <c r="C44" s="10" t="n">
        <v>0.4632381837795807</v>
      </c>
      <c r="D44" s="10" t="n">
        <v>0.4999439234705667</v>
      </c>
      <c r="E44" s="10" t="n">
        <v>0.5479015011833718</v>
      </c>
      <c r="F44" s="10" t="n">
        <v>0.6033217763849639</v>
      </c>
      <c r="G44" s="10" t="n">
        <v>0.663366087719648</v>
      </c>
      <c r="H44" s="10" t="n">
        <v>0.7259568923377606</v>
      </c>
      <c r="I44" s="10" t="n">
        <v>0.7895815962093439</v>
      </c>
      <c r="J44" s="10" t="n">
        <v>0.8531806810102438</v>
      </c>
      <c r="K44" s="10" t="n">
        <v>0.9160519919189397</v>
      </c>
      <c r="L44" s="10" t="n">
        <v>0.9777493232668267</v>
      </c>
      <c r="M44" s="10" t="n">
        <v>1.037995999321379</v>
      </c>
      <c r="N44" s="10" t="n">
        <v>1.096622275452138</v>
      </c>
      <c r="O44" s="10" t="n">
        <v>1.688845812509159</v>
      </c>
      <c r="P44" s="10" t="n">
        <v>1.720985847967713</v>
      </c>
      <c r="Q44" s="10" t="n">
        <v>1.751221929517067</v>
      </c>
      <c r="R44" s="10" t="n">
        <v>1.779567738320055</v>
      </c>
      <c r="S44" s="10" t="n">
        <v>1.806040645082818</v>
      </c>
      <c r="T44" s="10" t="n">
        <v>1.830661218878324</v>
      </c>
      <c r="U44" s="10" t="n">
        <v>1.853452755817898</v>
      </c>
      <c r="V44" s="10" t="n">
        <v>1.874440731903182</v>
      </c>
      <c r="W44" s="10" t="n">
        <v>1.893651889713489</v>
      </c>
      <c r="X44" s="10" t="n">
        <v>1.911113811477976</v>
      </c>
      <c r="Y44" s="10" t="n">
        <v>1.926854822559299</v>
      </c>
      <c r="Z44" s="10" t="n">
        <v>1.94090397278148</v>
      </c>
      <c r="AA44" s="10" t="n">
        <v>1.953290977847298</v>
      </c>
      <c r="AB44" s="10" t="n">
        <v>1.964046138862352</v>
      </c>
      <c r="AC44" s="10" t="n">
        <v>1.97320027264424</v>
      </c>
      <c r="AD44" s="10" t="n">
        <v>1.980784690846486</v>
      </c>
      <c r="AE44" s="10" t="n">
        <v>1.986831750196659</v>
      </c>
      <c r="AF44" s="10" t="n">
        <v>1.99137561675188</v>
      </c>
      <c r="AG44" s="10" t="n">
        <v>1.994452599525958</v>
      </c>
      <c r="AH44" s="10" t="n">
        <v>1.996101181081771</v>
      </c>
      <c r="AI44" s="10" t="n">
        <v>1.996362953708759</v>
      </c>
      <c r="AJ44" s="10" t="n">
        <v>1.995283795646311</v>
      </c>
      <c r="AK44" s="10" t="n">
        <v>1.992913632189361</v>
      </c>
      <c r="AL44" s="10" t="n">
        <v>1.989306096599861</v>
      </c>
      <c r="AM44" s="10" t="n">
        <v>1.984519102244997</v>
      </c>
      <c r="AN44" s="10" t="n">
        <v>1.97861565801819</v>
      </c>
      <c r="AO44" s="10" t="n">
        <v>1.971663769030235</v>
      </c>
      <c r="AP44" s="10" t="n">
        <v>1.963736460933454</v>
      </c>
      <c r="AQ44" s="10" t="n">
        <v>1.954911139917841</v>
      </c>
      <c r="AR44" s="10" t="n">
        <v>1.945268493644095</v>
      </c>
      <c r="AS44" s="10" t="n">
        <v>1.934892029579304</v>
      </c>
      <c r="AT44" s="10" t="n">
        <v>1.923867800070605</v>
      </c>
      <c r="AU44" s="10" t="n">
        <v>1.912283605748128</v>
      </c>
    </row>
    <row r="45">
      <c r="A45" s="9" t="n">
        <v>-80</v>
      </c>
      <c r="B45" s="7" t="n">
        <v>43059</v>
      </c>
      <c r="C45" s="10" t="n">
        <v>0.4552804917191169</v>
      </c>
      <c r="D45" s="10" t="n">
        <v>0.4914489108006031</v>
      </c>
      <c r="E45" s="10" t="n">
        <v>0.5384627922586415</v>
      </c>
      <c r="F45" s="10" t="n">
        <v>0.5927933386882767</v>
      </c>
      <c r="G45" s="10" t="n">
        <v>0.6517252094232263</v>
      </c>
      <c r="H45" s="10" t="n">
        <v>0.71324109964496</v>
      </c>
      <c r="I45" s="10" t="n">
        <v>0.7758531610917888</v>
      </c>
      <c r="J45" s="10" t="n">
        <v>0.8385055359336817</v>
      </c>
      <c r="K45" s="10" t="n">
        <v>0.9004878440362809</v>
      </c>
      <c r="L45" s="10" t="n">
        <v>0.961341794001535</v>
      </c>
      <c r="M45" s="10" t="n">
        <v>1.020777569364004</v>
      </c>
      <c r="N45" s="10" t="n">
        <v>1.078611281035681</v>
      </c>
      <c r="O45" s="10" t="n">
        <v>1.659333385996207</v>
      </c>
      <c r="P45" s="10" t="n">
        <v>1.690645977396599</v>
      </c>
      <c r="Q45" s="10" t="n">
        <v>1.720108862631238</v>
      </c>
      <c r="R45" s="10" t="n">
        <v>1.74774212126129</v>
      </c>
      <c r="S45" s="10" t="n">
        <v>1.7735676186248</v>
      </c>
      <c r="T45" s="10" t="n">
        <v>1.797608742184344</v>
      </c>
      <c r="U45" s="10" t="n">
        <v>1.819890176155838</v>
      </c>
      <c r="V45" s="10" t="n">
        <v>1.840437482163966</v>
      </c>
      <c r="W45" s="10" t="n">
        <v>1.8592760822466</v>
      </c>
      <c r="X45" s="10" t="n">
        <v>1.876430907638738</v>
      </c>
      <c r="Y45" s="10" t="n">
        <v>1.891926530842766</v>
      </c>
      <c r="Z45" s="10" t="n">
        <v>1.905787500254106</v>
      </c>
      <c r="AA45" s="10" t="n">
        <v>1.918038462182815</v>
      </c>
      <c r="AB45" s="10" t="n">
        <v>1.928704151558683</v>
      </c>
      <c r="AC45" s="10" t="n">
        <v>1.937809381381272</v>
      </c>
      <c r="AD45" s="10" t="n">
        <v>1.945379084399112</v>
      </c>
      <c r="AE45" s="10" t="n">
        <v>1.951439073168245</v>
      </c>
      <c r="AF45" s="10" t="n">
        <v>1.956017012236656</v>
      </c>
      <c r="AG45" s="10" t="n">
        <v>1.959142720047748</v>
      </c>
      <c r="AH45" s="10" t="n">
        <v>1.960848190095912</v>
      </c>
      <c r="AI45" s="10" t="n">
        <v>1.961168742748418</v>
      </c>
      <c r="AJ45" s="10" t="n">
        <v>1.960144437370981</v>
      </c>
      <c r="AK45" s="10" t="n">
        <v>1.957819817602552</v>
      </c>
      <c r="AL45" s="10" t="n">
        <v>1.954243542808516</v>
      </c>
      <c r="AM45" s="10" t="n">
        <v>1.949469117028013</v>
      </c>
      <c r="AN45" s="10" t="n">
        <v>1.943555890579257</v>
      </c>
      <c r="AO45" s="10" t="n">
        <v>1.936568941822526</v>
      </c>
      <c r="AP45" s="10" t="n">
        <v>1.928579079995601</v>
      </c>
      <c r="AQ45" s="10" t="n">
        <v>1.919662193447411</v>
      </c>
      <c r="AR45" s="10" t="n">
        <v>1.909898195252851</v>
      </c>
      <c r="AS45" s="10" t="n">
        <v>1.899370525948243</v>
      </c>
      <c r="AT45" s="10" t="n">
        <v>1.888165822686011</v>
      </c>
      <c r="AU45" s="10" t="n">
        <v>1.876373136304731</v>
      </c>
    </row>
    <row r="46">
      <c r="A46" s="9" t="n">
        <v>-79</v>
      </c>
      <c r="B46" s="7" t="n">
        <v>43060</v>
      </c>
      <c r="C46" s="10" t="n">
        <v>0.4592992517471421</v>
      </c>
      <c r="D46" s="10" t="n">
        <v>0.4956145179616386</v>
      </c>
      <c r="E46" s="10" t="n">
        <v>0.541910144202797</v>
      </c>
      <c r="F46" s="10" t="n">
        <v>0.5951031633405498</v>
      </c>
      <c r="G46" s="10" t="n">
        <v>0.6527069520491243</v>
      </c>
      <c r="H46" s="10" t="n">
        <v>0.7128296408451898</v>
      </c>
      <c r="I46" s="10" t="n">
        <v>0.7740557886794623</v>
      </c>
      <c r="J46" s="10" t="n">
        <v>0.8353734854788611</v>
      </c>
      <c r="K46" s="10" t="n">
        <v>0.8960978475036415</v>
      </c>
      <c r="L46" s="10" t="n">
        <v>0.9557850029438518</v>
      </c>
      <c r="M46" s="10" t="n">
        <v>1.014151760492713</v>
      </c>
      <c r="N46" s="10" t="n">
        <v>1.071014937949352</v>
      </c>
      <c r="O46" s="10" t="n">
        <v>1.645458369066457</v>
      </c>
      <c r="P46" s="10" t="n">
        <v>1.67659421248998</v>
      </c>
      <c r="Q46" s="10" t="n">
        <v>1.705910235365657</v>
      </c>
      <c r="R46" s="10" t="n">
        <v>1.733425035082771</v>
      </c>
      <c r="S46" s="10" t="n">
        <v>1.759158804231689</v>
      </c>
      <c r="T46" s="10" t="n">
        <v>1.78313307490245</v>
      </c>
      <c r="U46" s="10" t="n">
        <v>1.805370519836841</v>
      </c>
      <c r="V46" s="10" t="n">
        <v>1.825894516199452</v>
      </c>
      <c r="W46" s="10" t="n">
        <v>1.84472801648036</v>
      </c>
      <c r="X46" s="10" t="n">
        <v>1.86189318514566</v>
      </c>
      <c r="Y46" s="10" t="n">
        <v>1.877411633837595</v>
      </c>
      <c r="Z46" s="10" t="n">
        <v>1.891305021077161</v>
      </c>
      <c r="AA46" s="10" t="n">
        <v>1.903595261777117</v>
      </c>
      <c r="AB46" s="10" t="n">
        <v>1.914304500644475</v>
      </c>
      <c r="AC46" s="10" t="n">
        <v>1.923455084824043</v>
      </c>
      <c r="AD46" s="10" t="n">
        <v>1.931069603422811</v>
      </c>
      <c r="AE46" s="10" t="n">
        <v>1.937171804343669</v>
      </c>
      <c r="AF46" s="10" t="n">
        <v>1.941787688162655</v>
      </c>
      <c r="AG46" s="10" t="n">
        <v>1.944945599097804</v>
      </c>
      <c r="AH46" s="10" t="n">
        <v>1.946676145525022</v>
      </c>
      <c r="AI46" s="10" t="n">
        <v>1.947013326335503</v>
      </c>
      <c r="AJ46" s="10" t="n">
        <v>1.945995897801043</v>
      </c>
      <c r="AK46" s="10" t="n">
        <v>1.94366710896931</v>
      </c>
      <c r="AL46" s="10" t="n">
        <v>1.94007433381343</v>
      </c>
      <c r="AM46" s="10" t="n">
        <v>1.935269803679339</v>
      </c>
      <c r="AN46" s="10" t="n">
        <v>1.929311596884594</v>
      </c>
      <c r="AO46" s="10" t="n">
        <v>1.922263543630291</v>
      </c>
      <c r="AP46" s="10" t="n">
        <v>1.914195281431793</v>
      </c>
      <c r="AQ46" s="10" t="n">
        <v>1.905181654155495</v>
      </c>
      <c r="AR46" s="10" t="n">
        <v>1.895301758875499</v>
      </c>
      <c r="AS46" s="10" t="n">
        <v>1.884638458237894</v>
      </c>
      <c r="AT46" s="10" t="n">
        <v>1.87327803163649</v>
      </c>
      <c r="AU46" s="10" t="n">
        <v>1.861309413198028</v>
      </c>
    </row>
    <row r="47">
      <c r="A47" s="9" t="n">
        <v>-78</v>
      </c>
      <c r="B47" s="7" t="n">
        <v>43061</v>
      </c>
      <c r="C47" s="10" t="n">
        <v>0.4459145780100571</v>
      </c>
      <c r="D47" s="10" t="n">
        <v>0.4847075126201632</v>
      </c>
      <c r="E47" s="10" t="n">
        <v>0.5335068533675955</v>
      </c>
      <c r="F47" s="10" t="n">
        <v>0.5889499935780282</v>
      </c>
      <c r="G47" s="10" t="n">
        <v>0.6484699675568458</v>
      </c>
      <c r="H47" s="10" t="n">
        <v>0.7101968343429741</v>
      </c>
      <c r="I47" s="10" t="n">
        <v>0.7727670443065865</v>
      </c>
      <c r="J47" s="10" t="n">
        <v>0.8352184556503705</v>
      </c>
      <c r="K47" s="10" t="n">
        <v>0.8969038297289967</v>
      </c>
      <c r="L47" s="10" t="n">
        <v>0.957406403027092</v>
      </c>
      <c r="M47" s="10" t="n">
        <v>1.016462810657391</v>
      </c>
      <c r="N47" s="10" t="n">
        <v>1.073905382281597</v>
      </c>
      <c r="O47" s="10" t="n">
        <v>1.652183408254673</v>
      </c>
      <c r="P47" s="10" t="n">
        <v>1.683647941405858</v>
      </c>
      <c r="Q47" s="10" t="n">
        <v>1.713313173074378</v>
      </c>
      <c r="R47" s="10" t="n">
        <v>1.741197434961789</v>
      </c>
      <c r="S47" s="10" t="n">
        <v>1.767320142138839</v>
      </c>
      <c r="T47" s="10" t="n">
        <v>1.791701599478222</v>
      </c>
      <c r="U47" s="10" t="n">
        <v>1.814362868841973</v>
      </c>
      <c r="V47" s="10" t="n">
        <v>1.835325385065925</v>
      </c>
      <c r="W47" s="10" t="n">
        <v>1.854609876728079</v>
      </c>
      <c r="X47" s="10" t="n">
        <v>1.87223604796079</v>
      </c>
      <c r="Y47" s="10" t="n">
        <v>1.888222894057244</v>
      </c>
      <c r="Z47" s="10" t="n">
        <v>1.90258949567418</v>
      </c>
      <c r="AA47" s="10" t="n">
        <v>1.915355291088364</v>
      </c>
      <c r="AB47" s="10" t="n">
        <v>1.926540038565409</v>
      </c>
      <c r="AC47" s="10" t="n">
        <v>1.936163778265871</v>
      </c>
      <c r="AD47" s="10" t="n">
        <v>1.944246871488957</v>
      </c>
      <c r="AE47" s="10" t="n">
        <v>1.950811024067659</v>
      </c>
      <c r="AF47" s="10" t="n">
        <v>1.955880467179913</v>
      </c>
      <c r="AG47" s="10" t="n">
        <v>1.959481951638217</v>
      </c>
      <c r="AH47" s="10" t="n">
        <v>1.961644618928857</v>
      </c>
      <c r="AI47" s="10" t="n">
        <v>1.962401138613074</v>
      </c>
      <c r="AJ47" s="10" t="n">
        <v>1.961789071928256</v>
      </c>
      <c r="AK47" s="10" t="n">
        <v>1.959850591910296</v>
      </c>
      <c r="AL47" s="10" t="n">
        <v>1.956632106448333</v>
      </c>
      <c r="AM47" s="10" t="n">
        <v>1.952185000092472</v>
      </c>
      <c r="AN47" s="10" t="n">
        <v>1.946566620908809</v>
      </c>
      <c r="AO47" s="10" t="n">
        <v>1.939840185405087</v>
      </c>
      <c r="AP47" s="10" t="n">
        <v>1.9320748437282</v>
      </c>
      <c r="AQ47" s="10" t="n">
        <v>1.923345088836148</v>
      </c>
      <c r="AR47" s="10" t="n">
        <v>1.913729838751459</v>
      </c>
      <c r="AS47" s="10" t="n">
        <v>1.903311947086101</v>
      </c>
      <c r="AT47" s="10" t="n">
        <v>1.892177839834668</v>
      </c>
      <c r="AU47" s="10" t="n">
        <v>1.880416746159664</v>
      </c>
    </row>
    <row r="48">
      <c r="A48" s="9" t="n">
        <v>-77</v>
      </c>
      <c r="B48" s="7" t="n">
        <v>43062</v>
      </c>
      <c r="C48" s="10" t="n">
        <v>0.4319041928532713</v>
      </c>
      <c r="D48" s="10" t="n">
        <v>0.4680966798263431</v>
      </c>
      <c r="E48" s="10" t="n">
        <v>0.5145002516502073</v>
      </c>
      <c r="F48" s="10" t="n">
        <v>0.5677322208814858</v>
      </c>
      <c r="G48" s="10" t="n">
        <v>0.6252674999838038</v>
      </c>
      <c r="H48" s="10" t="n">
        <v>0.6852722659381665</v>
      </c>
      <c r="I48" s="10" t="n">
        <v>0.7464019558608381</v>
      </c>
      <c r="J48" s="10" t="n">
        <v>0.8076978403032226</v>
      </c>
      <c r="K48" s="10" t="n">
        <v>0.8685081062154163</v>
      </c>
      <c r="L48" s="10" t="n">
        <v>0.9284076807975551</v>
      </c>
      <c r="M48" s="10" t="n">
        <v>0.9871226384279833</v>
      </c>
      <c r="N48" s="10" t="n">
        <v>1.044470795762193</v>
      </c>
      <c r="O48" s="10" t="n">
        <v>1.632505171584512</v>
      </c>
      <c r="P48" s="10" t="n">
        <v>1.664670822037865</v>
      </c>
      <c r="Q48" s="10" t="n">
        <v>1.694942003487264</v>
      </c>
      <c r="R48" s="10" t="n">
        <v>1.723332375396011</v>
      </c>
      <c r="S48" s="10" t="n">
        <v>1.749859834885757</v>
      </c>
      <c r="T48" s="10" t="n">
        <v>1.774545879334345</v>
      </c>
      <c r="U48" s="10" t="n">
        <v>1.79741507511244</v>
      </c>
      <c r="V48" s="10" t="n">
        <v>1.818494373574537</v>
      </c>
      <c r="W48" s="10" t="n">
        <v>1.837811877144499</v>
      </c>
      <c r="X48" s="10" t="n">
        <v>1.855396323680957</v>
      </c>
      <c r="Y48" s="10" t="n">
        <v>1.8712770013697</v>
      </c>
      <c r="Z48" s="10" t="n">
        <v>1.885483700140938</v>
      </c>
      <c r="AA48" s="10" t="n">
        <v>1.898046657681404</v>
      </c>
      <c r="AB48" s="10" t="n">
        <v>1.908996505009788</v>
      </c>
      <c r="AC48" s="10" t="n">
        <v>1.918364219651502</v>
      </c>
      <c r="AD48" s="10" t="n">
        <v>1.926181124255454</v>
      </c>
      <c r="AE48" s="10" t="n">
        <v>1.93247941045032</v>
      </c>
      <c r="AF48" s="10" t="n">
        <v>1.937292772689346</v>
      </c>
      <c r="AG48" s="10" t="n">
        <v>1.940656505346634</v>
      </c>
      <c r="AH48" s="10" t="n">
        <v>1.942607485990099</v>
      </c>
      <c r="AI48" s="10" t="n">
        <v>1.943185195132167</v>
      </c>
      <c r="AJ48" s="10" t="n">
        <v>1.94243290504977</v>
      </c>
      <c r="AK48" s="10" t="n">
        <v>1.940397474569226</v>
      </c>
      <c r="AL48" s="10" t="n">
        <v>1.937129066514965</v>
      </c>
      <c r="AM48" s="10" t="n">
        <v>1.932681867443689</v>
      </c>
      <c r="AN48" s="10" t="n">
        <v>1.927115008040244</v>
      </c>
      <c r="AO48" s="10" t="n">
        <v>1.920492530360338</v>
      </c>
      <c r="AP48" s="10" t="n">
        <v>1.912883510189646</v>
      </c>
      <c r="AQ48" s="10" t="n">
        <v>1.904361534679973</v>
      </c>
      <c r="AR48" s="10" t="n">
        <v>1.895003855958863</v>
      </c>
      <c r="AS48" s="10" t="n">
        <v>1.884890968252646</v>
      </c>
      <c r="AT48" s="10" t="n">
        <v>1.874106302345772</v>
      </c>
      <c r="AU48" s="10" t="n">
        <v>1.862735500400075</v>
      </c>
    </row>
    <row r="49">
      <c r="A49" s="9" t="n">
        <v>-76</v>
      </c>
      <c r="B49" s="7" t="n">
        <v>43063</v>
      </c>
      <c r="C49" s="10" t="n">
        <v>0.4365759574573639</v>
      </c>
      <c r="D49" s="10" t="n">
        <v>0.4723767659913975</v>
      </c>
      <c r="E49" s="10" t="n">
        <v>0.5184542148313761</v>
      </c>
      <c r="F49" s="10" t="n">
        <v>0.5713984960363008</v>
      </c>
      <c r="G49" s="10" t="n">
        <v>0.6286704567246527</v>
      </c>
      <c r="H49" s="10" t="n">
        <v>0.6884213028524463</v>
      </c>
      <c r="I49" s="10" t="n">
        <v>0.7492952944885726</v>
      </c>
      <c r="J49" s="10" t="n">
        <v>0.8103265634524657</v>
      </c>
      <c r="K49" s="10" t="n">
        <v>0.8708575477588852</v>
      </c>
      <c r="L49" s="10" t="n">
        <v>0.9304579842507944</v>
      </c>
      <c r="M49" s="10" t="n">
        <v>0.9888497424142197</v>
      </c>
      <c r="N49" s="10" t="n">
        <v>1.045844376660907</v>
      </c>
      <c r="O49" s="10" t="n">
        <v>1.625440074507373</v>
      </c>
      <c r="P49" s="10" t="n">
        <v>1.656792600858629</v>
      </c>
      <c r="Q49" s="10" t="n">
        <v>1.686263418607992</v>
      </c>
      <c r="R49" s="10" t="n">
        <v>1.713872239417121</v>
      </c>
      <c r="S49" s="10" t="n">
        <v>1.739641967517806</v>
      </c>
      <c r="T49" s="10" t="n">
        <v>1.763598192828532</v>
      </c>
      <c r="U49" s="10" t="n">
        <v>1.785768793772597</v>
      </c>
      <c r="V49" s="10" t="n">
        <v>1.806183342038176</v>
      </c>
      <c r="W49" s="10" t="n">
        <v>1.824871919166436</v>
      </c>
      <c r="X49" s="10" t="n">
        <v>1.841864682862339</v>
      </c>
      <c r="Y49" s="10" t="n">
        <v>1.857191817586999</v>
      </c>
      <c r="Z49" s="10" t="n">
        <v>1.870883417248235</v>
      </c>
      <c r="AA49" s="10" t="n">
        <v>1.882969452922936</v>
      </c>
      <c r="AB49" s="10" t="n">
        <v>1.893479787005843</v>
      </c>
      <c r="AC49" s="10" t="n">
        <v>1.902444186147888</v>
      </c>
      <c r="AD49" s="10" t="n">
        <v>1.909892364004133</v>
      </c>
      <c r="AE49" s="10" t="n">
        <v>1.915854422431699</v>
      </c>
      <c r="AF49" s="10" t="n">
        <v>1.920361398561044</v>
      </c>
      <c r="AG49" s="10" t="n">
        <v>1.923445515327711</v>
      </c>
      <c r="AH49" s="10" t="n">
        <v>1.925140265459763</v>
      </c>
      <c r="AI49" s="10" t="n">
        <v>1.925481606582214</v>
      </c>
      <c r="AJ49" s="10" t="n">
        <v>1.924509281299907</v>
      </c>
      <c r="AK49" s="10" t="n">
        <v>1.922266618318226</v>
      </c>
      <c r="AL49" s="10" t="n">
        <v>1.918800264898104</v>
      </c>
      <c r="AM49" s="10" t="n">
        <v>1.91416106675135</v>
      </c>
      <c r="AN49" s="10" t="n">
        <v>1.908405122319809</v>
      </c>
      <c r="AO49" s="10" t="n">
        <v>1.901593771000256</v>
      </c>
      <c r="AP49" s="10" t="n">
        <v>1.893793746653307</v>
      </c>
      <c r="AQ49" s="10" t="n">
        <v>1.885076668670429</v>
      </c>
      <c r="AR49" s="10" t="n">
        <v>1.875518258405412</v>
      </c>
      <c r="AS49" s="10" t="n">
        <v>1.865197904617234</v>
      </c>
      <c r="AT49" s="10" t="n">
        <v>1.854198324694235</v>
      </c>
      <c r="AU49" s="10" t="n">
        <v>1.842604863430993</v>
      </c>
    </row>
    <row r="50">
      <c r="A50" s="9" t="n">
        <v>-75</v>
      </c>
      <c r="B50" s="7" t="n">
        <v>43066</v>
      </c>
      <c r="C50" s="10" t="n">
        <v>0.4472189393991846</v>
      </c>
      <c r="D50" s="10" t="n">
        <v>0.4831718143168979</v>
      </c>
      <c r="E50" s="10" t="n">
        <v>0.5294229338938974</v>
      </c>
      <c r="F50" s="10" t="n">
        <v>0.5824980245741522</v>
      </c>
      <c r="G50" s="10" t="n">
        <v>0.6398459904666932</v>
      </c>
      <c r="H50" s="10" t="n">
        <v>0.6996237619028168</v>
      </c>
      <c r="I50" s="10" t="n">
        <v>0.7604854307164951</v>
      </c>
      <c r="J50" s="10" t="n">
        <v>0.8214748078389839</v>
      </c>
      <c r="K50" s="10" t="n">
        <v>0.8819434877383258</v>
      </c>
      <c r="L50" s="10" t="n">
        <v>0.9414704050810896</v>
      </c>
      <c r="M50" s="10" t="n">
        <v>0.9997873499342637</v>
      </c>
      <c r="N50" s="10" t="n">
        <v>1.056715771573248</v>
      </c>
      <c r="O50" s="10" t="n">
        <v>1.63862777147572</v>
      </c>
      <c r="P50" s="10" t="n">
        <v>1.670313645288356</v>
      </c>
      <c r="Q50" s="10" t="n">
        <v>1.700112504969533</v>
      </c>
      <c r="R50" s="10" t="n">
        <v>1.728041148271361</v>
      </c>
      <c r="S50" s="10" t="n">
        <v>1.754120286554748</v>
      </c>
      <c r="T50" s="10" t="n">
        <v>1.778373917621446</v>
      </c>
      <c r="U50" s="10" t="n">
        <v>1.800828839479559</v>
      </c>
      <c r="V50" s="10" t="n">
        <v>1.821513910000947</v>
      </c>
      <c r="W50" s="10" t="n">
        <v>1.840458573702343</v>
      </c>
      <c r="X50" s="10" t="n">
        <v>1.85769233177789</v>
      </c>
      <c r="Y50" s="10" t="n">
        <v>1.873244729462881</v>
      </c>
      <c r="Z50" s="10" t="n">
        <v>1.88714536177378</v>
      </c>
      <c r="AA50" s="10" t="n">
        <v>1.899423871590829</v>
      </c>
      <c r="AB50" s="10" t="n">
        <v>1.910109943900862</v>
      </c>
      <c r="AC50" s="10" t="n">
        <v>1.919233300784615</v>
      </c>
      <c r="AD50" s="10" t="n">
        <v>1.926823736613114</v>
      </c>
      <c r="AE50" s="10" t="n">
        <v>1.932911644406803</v>
      </c>
      <c r="AF50" s="10" t="n">
        <v>1.937528640515195</v>
      </c>
      <c r="AG50" s="10" t="n">
        <v>1.940707763066669</v>
      </c>
      <c r="AH50" s="10" t="n">
        <v>1.942483515580477</v>
      </c>
      <c r="AI50" s="10" t="n">
        <v>1.942892998605728</v>
      </c>
      <c r="AJ50" s="10" t="n">
        <v>1.941977147533642</v>
      </c>
      <c r="AK50" s="10" t="n">
        <v>1.939780518272144</v>
      </c>
      <c r="AL50" s="10" t="n">
        <v>1.936351014241777</v>
      </c>
      <c r="AM50" s="10" t="n">
        <v>1.931740714062551</v>
      </c>
      <c r="AN50" s="10" t="n">
        <v>1.926006852083569</v>
      </c>
      <c r="AO50" s="10" t="n">
        <v>1.919211793851598</v>
      </c>
      <c r="AP50" s="10" t="n">
        <v>1.911423169927664</v>
      </c>
      <c r="AQ50" s="10" t="n">
        <v>1.902713357037571</v>
      </c>
      <c r="AR50" s="10" t="n">
        <v>1.893158683322177</v>
      </c>
      <c r="AS50" s="10" t="n">
        <v>1.882839002597043</v>
      </c>
      <c r="AT50" s="10" t="n">
        <v>1.871837365980443</v>
      </c>
      <c r="AU50" s="10" t="n">
        <v>1.860239315378958</v>
      </c>
    </row>
    <row r="51">
      <c r="A51" s="9" t="n">
        <v>-74</v>
      </c>
      <c r="B51" s="7" t="n">
        <v>43067</v>
      </c>
      <c r="C51" s="10" t="n">
        <v>0.4492953634960897</v>
      </c>
      <c r="D51" s="10" t="n">
        <v>0.4855616273671446</v>
      </c>
      <c r="E51" s="10" t="n">
        <v>0.531984558066237</v>
      </c>
      <c r="F51" s="10" t="n">
        <v>0.5849797412989273</v>
      </c>
      <c r="G51" s="10" t="n">
        <v>0.6419814133798161</v>
      </c>
      <c r="H51" s="10" t="n">
        <v>0.7011807131441342</v>
      </c>
      <c r="I51" s="10" t="n">
        <v>0.7612879748512191</v>
      </c>
      <c r="J51" s="10" t="n">
        <v>0.8214117719456954</v>
      </c>
      <c r="K51" s="10" t="n">
        <v>0.8809702352153622</v>
      </c>
      <c r="L51" s="10" t="n">
        <v>0.9396048735554664</v>
      </c>
      <c r="M51" s="10" t="n">
        <v>0.9971007184657843</v>
      </c>
      <c r="N51" s="10" t="n">
        <v>1.053322594601076</v>
      </c>
      <c r="O51" s="10" t="n">
        <v>1.63803973207801</v>
      </c>
      <c r="P51" s="10" t="n">
        <v>1.670282378526057</v>
      </c>
      <c r="Q51" s="10" t="n">
        <v>1.700595404862989</v>
      </c>
      <c r="R51" s="10" t="n">
        <v>1.728987202452481</v>
      </c>
      <c r="S51" s="10" t="n">
        <v>1.75547312157325</v>
      </c>
      <c r="T51" s="10" t="n">
        <v>1.780074421435699</v>
      </c>
      <c r="U51" s="10" t="n">
        <v>1.802817398255862</v>
      </c>
      <c r="V51" s="10" t="n">
        <v>1.823732334231309</v>
      </c>
      <c r="W51" s="10" t="n">
        <v>1.842851802657113</v>
      </c>
      <c r="X51" s="10" t="n">
        <v>1.860209928752963</v>
      </c>
      <c r="Y51" s="10" t="n">
        <v>1.875842000849211</v>
      </c>
      <c r="Z51" s="10" t="n">
        <v>1.88978371512542</v>
      </c>
      <c r="AA51" s="10" t="n">
        <v>1.902070898275316</v>
      </c>
      <c r="AB51" s="10" t="n">
        <v>1.912739487503232</v>
      </c>
      <c r="AC51" s="10" t="n">
        <v>1.921825517368072</v>
      </c>
      <c r="AD51" s="10" t="n">
        <v>1.929365125629302</v>
      </c>
      <c r="AE51" s="10" t="n">
        <v>1.935394770499927</v>
      </c>
      <c r="AF51" s="10" t="n">
        <v>1.939951553694572</v>
      </c>
      <c r="AG51" s="10" t="n">
        <v>1.943073523146306</v>
      </c>
      <c r="AH51" s="10" t="n">
        <v>1.944799790131883</v>
      </c>
      <c r="AI51" s="10" t="n">
        <v>1.945171589638786</v>
      </c>
      <c r="AJ51" s="10" t="n">
        <v>1.94423341699868</v>
      </c>
      <c r="AK51" s="10" t="n">
        <v>1.94203285187599</v>
      </c>
      <c r="AL51" s="10" t="n">
        <v>1.938620333576673</v>
      </c>
      <c r="AM51" s="10" t="n">
        <v>1.934049957706634</v>
      </c>
      <c r="AN51" s="10" t="n">
        <v>1.928380397863988</v>
      </c>
      <c r="AO51" s="10" t="n">
        <v>1.92167491077131</v>
      </c>
      <c r="AP51" s="10" t="n">
        <v>1.914001493598542</v>
      </c>
      <c r="AQ51" s="10" t="n">
        <v>1.905432402211758</v>
      </c>
      <c r="AR51" s="10" t="n">
        <v>1.896043398910685</v>
      </c>
      <c r="AS51" s="10" t="n">
        <v>1.885913366139915</v>
      </c>
      <c r="AT51" s="10" t="n">
        <v>1.875124011848881</v>
      </c>
      <c r="AU51" s="10" t="n">
        <v>1.863759191553449</v>
      </c>
    </row>
    <row r="52">
      <c r="A52" s="9" t="n">
        <v>-73</v>
      </c>
      <c r="B52" s="7" t="n">
        <v>43068</v>
      </c>
      <c r="C52" s="10" t="n">
        <v>0.5070460037567376</v>
      </c>
      <c r="D52" s="10" t="n">
        <v>0.5499758009755733</v>
      </c>
      <c r="E52" s="10" t="n">
        <v>0.6028315202214334</v>
      </c>
      <c r="F52" s="10" t="n">
        <v>0.6616634071130577</v>
      </c>
      <c r="G52" s="10" t="n">
        <v>0.7237754092124946</v>
      </c>
      <c r="H52" s="10" t="n">
        <v>0.7873358677045378</v>
      </c>
      <c r="I52" s="10" t="n">
        <v>0.8510786057410216</v>
      </c>
      <c r="J52" s="10" t="n">
        <v>0.9141535284239274</v>
      </c>
      <c r="K52" s="10" t="n">
        <v>0.97602566612106</v>
      </c>
      <c r="L52" s="10" t="n">
        <v>1.03638421067199</v>
      </c>
      <c r="M52" s="10" t="n">
        <v>1.095063694041762</v>
      </c>
      <c r="N52" s="10" t="n">
        <v>1.151980778041159</v>
      </c>
      <c r="O52" s="10" t="n">
        <v>1.723944336443042</v>
      </c>
      <c r="P52" s="10" t="n">
        <v>1.754865332957739</v>
      </c>
      <c r="Q52" s="10" t="n">
        <v>1.7839245376092</v>
      </c>
      <c r="R52" s="10" t="n">
        <v>1.811137477363785</v>
      </c>
      <c r="S52" s="10" t="n">
        <v>1.836523931494163</v>
      </c>
      <c r="T52" s="10" t="n">
        <v>1.86010731646664</v>
      </c>
      <c r="U52" s="10" t="n">
        <v>1.881914149089211</v>
      </c>
      <c r="V52" s="10" t="n">
        <v>1.901973391253314</v>
      </c>
      <c r="W52" s="10" t="n">
        <v>1.920315388583058</v>
      </c>
      <c r="X52" s="10" t="n">
        <v>1.936971415402236</v>
      </c>
      <c r="Y52" s="10" t="n">
        <v>1.951973468726774</v>
      </c>
      <c r="Z52" s="10" t="n">
        <v>1.965353908052416</v>
      </c>
      <c r="AA52" s="10" t="n">
        <v>1.977145311366596</v>
      </c>
      <c r="AB52" s="10" t="n">
        <v>1.98738044676925</v>
      </c>
      <c r="AC52" s="10" t="n">
        <v>1.996092249840376</v>
      </c>
      <c r="AD52" s="10" t="n">
        <v>2.003313835538801</v>
      </c>
      <c r="AE52" s="10" t="n">
        <v>2.009078888529828</v>
      </c>
      <c r="AF52" s="10" t="n">
        <v>2.013422137541643</v>
      </c>
      <c r="AG52" s="10" t="n">
        <v>2.016379550986524</v>
      </c>
      <c r="AH52" s="10" t="n">
        <v>2.017988383587331</v>
      </c>
      <c r="AI52" s="10" t="n">
        <v>2.018288118034735</v>
      </c>
      <c r="AJ52" s="10" t="n">
        <v>2.017321466426312</v>
      </c>
      <c r="AK52" s="10" t="n">
        <v>2.015134181469674</v>
      </c>
      <c r="AL52" s="10" t="n">
        <v>2.011774830826476</v>
      </c>
      <c r="AM52" s="10" t="n">
        <v>2.007295508962706</v>
      </c>
      <c r="AN52" s="10" t="n">
        <v>2.001752652364111</v>
      </c>
      <c r="AO52" s="10" t="n">
        <v>1.995207032004229</v>
      </c>
      <c r="AP52" s="10" t="n">
        <v>1.987723888585388</v>
      </c>
      <c r="AQ52" s="10" t="n">
        <v>1.979372489041571</v>
      </c>
      <c r="AR52" s="10" t="n">
        <v>1.970225451089553</v>
      </c>
      <c r="AS52" s="10" t="n">
        <v>1.960358383833536</v>
      </c>
      <c r="AT52" s="10" t="n">
        <v>1.949849607827201</v>
      </c>
      <c r="AU52" s="10" t="n">
        <v>1.938779544527253</v>
      </c>
    </row>
    <row r="53">
      <c r="A53" s="9" t="n">
        <v>-72</v>
      </c>
      <c r="B53" s="7" t="n">
        <v>43069</v>
      </c>
      <c r="C53" s="10" t="n">
        <v>0.4952891537286021</v>
      </c>
      <c r="D53" s="10" t="n">
        <v>0.5350516356083873</v>
      </c>
      <c r="E53" s="10" t="n">
        <v>0.5851556127565285</v>
      </c>
      <c r="F53" s="10" t="n">
        <v>0.6417233081469502</v>
      </c>
      <c r="G53" s="10" t="n">
        <v>0.7020222422498782</v>
      </c>
      <c r="H53" s="10" t="n">
        <v>0.764177643144779</v>
      </c>
      <c r="I53" s="10" t="n">
        <v>0.8268809386130149</v>
      </c>
      <c r="J53" s="10" t="n">
        <v>0.8892354610742448</v>
      </c>
      <c r="K53" s="10" t="n">
        <v>0.9506569442446432</v>
      </c>
      <c r="L53" s="10" t="n">
        <v>1.010782308893813</v>
      </c>
      <c r="M53" s="10" t="n">
        <v>1.069394793129652</v>
      </c>
      <c r="N53" s="10" t="n">
        <v>1.126363335067197</v>
      </c>
      <c r="O53" s="10" t="n">
        <v>1.699458153349348</v>
      </c>
      <c r="P53" s="10" t="n">
        <v>1.730368876572792</v>
      </c>
      <c r="Q53" s="10" t="n">
        <v>1.759427299508682</v>
      </c>
      <c r="R53" s="10" t="n">
        <v>1.786653472379048</v>
      </c>
      <c r="S53" s="10" t="n">
        <v>1.812070721413667</v>
      </c>
      <c r="T53" s="10" t="n">
        <v>1.835705159544809</v>
      </c>
      <c r="U53" s="10" t="n">
        <v>1.857585274160168</v>
      </c>
      <c r="V53" s="10" t="n">
        <v>1.877741334511815</v>
      </c>
      <c r="W53" s="10" t="n">
        <v>1.896204294103893</v>
      </c>
      <c r="X53" s="10" t="n">
        <v>1.913005386716079</v>
      </c>
      <c r="Y53" s="10" t="n">
        <v>1.928176025634947</v>
      </c>
      <c r="Z53" s="10" t="n">
        <v>1.941747585161915</v>
      </c>
      <c r="AA53" s="10" t="n">
        <v>1.953751334286347</v>
      </c>
      <c r="AB53" s="10" t="n">
        <v>1.964218448311474</v>
      </c>
      <c r="AC53" s="10" t="n">
        <v>1.973180020007494</v>
      </c>
      <c r="AD53" s="10" t="n">
        <v>1.980667108743786</v>
      </c>
      <c r="AE53" s="10" t="n">
        <v>1.986711253464222</v>
      </c>
      <c r="AF53" s="10" t="n">
        <v>1.991345092063882</v>
      </c>
      <c r="AG53" s="10" t="n">
        <v>1.994602664082815</v>
      </c>
      <c r="AH53" s="10" t="n">
        <v>1.996519482297097</v>
      </c>
      <c r="AI53" s="10" t="n">
        <v>1.997133504585094</v>
      </c>
      <c r="AJ53" s="10" t="n">
        <v>1.996486154089556</v>
      </c>
      <c r="AK53" s="10" t="n">
        <v>1.994622109183994</v>
      </c>
      <c r="AL53" s="10" t="n">
        <v>1.991589057615188</v>
      </c>
      <c r="AM53" s="10" t="n">
        <v>1.987438384528899</v>
      </c>
      <c r="AN53" s="10" t="n">
        <v>1.982225951226845</v>
      </c>
      <c r="AO53" s="10" t="n">
        <v>1.976012035578212</v>
      </c>
      <c r="AP53" s="10" t="n">
        <v>1.968861382270922</v>
      </c>
      <c r="AQ53" s="10" t="n">
        <v>1.960842711970197</v>
      </c>
      <c r="AR53" s="10" t="n">
        <v>1.952027993506761</v>
      </c>
      <c r="AS53" s="10" t="n">
        <v>1.942492082051467</v>
      </c>
      <c r="AT53" s="10" t="n">
        <v>1.932312444132361</v>
      </c>
      <c r="AU53" s="10" t="n">
        <v>1.921568509583049</v>
      </c>
    </row>
    <row r="54">
      <c r="A54" s="9" t="n">
        <v>-71</v>
      </c>
      <c r="B54" s="7" t="n">
        <v>43070</v>
      </c>
      <c r="C54" s="10" t="n">
        <v>0.4192488598735547</v>
      </c>
      <c r="D54" s="10" t="n">
        <v>0.4575837391720097</v>
      </c>
      <c r="E54" s="10" t="n">
        <v>0.5052715120783823</v>
      </c>
      <c r="F54" s="10" t="n">
        <v>0.5589166899580279</v>
      </c>
      <c r="G54" s="10" t="n">
        <v>0.616145207852918</v>
      </c>
      <c r="H54" s="10" t="n">
        <v>0.6753036321698026</v>
      </c>
      <c r="I54" s="10" t="n">
        <v>0.7352121333886465</v>
      </c>
      <c r="J54" s="10" t="n">
        <v>0.7950469758690889</v>
      </c>
      <c r="K54" s="10" t="n">
        <v>0.8542679960174663</v>
      </c>
      <c r="L54" s="10" t="n">
        <v>0.912536576018659</v>
      </c>
      <c r="M54" s="10" t="n">
        <v>0.9696465653421887</v>
      </c>
      <c r="N54" s="10" t="n">
        <v>1.025468100994349</v>
      </c>
      <c r="O54" s="10" t="n">
        <v>1.604796632349858</v>
      </c>
      <c r="P54" s="10" t="n">
        <v>1.636692890048915</v>
      </c>
      <c r="Q54" s="10" t="n">
        <v>1.666689010495019</v>
      </c>
      <c r="R54" s="10" t="n">
        <v>1.694798025115732</v>
      </c>
      <c r="S54" s="10" t="n">
        <v>1.721039556915268</v>
      </c>
      <c r="T54" s="10" t="n">
        <v>1.745438808336262</v>
      </c>
      <c r="U54" s="10" t="n">
        <v>1.768025736272798</v>
      </c>
      <c r="V54" s="10" t="n">
        <v>1.788833953580506</v>
      </c>
      <c r="W54" s="10" t="n">
        <v>1.807898867962588</v>
      </c>
      <c r="X54" s="10" t="n">
        <v>1.8252569597297</v>
      </c>
      <c r="Y54" s="10" t="n">
        <v>1.840945362803271</v>
      </c>
      <c r="Z54" s="10" t="n">
        <v>1.855000912196152</v>
      </c>
      <c r="AA54" s="10" t="n">
        <v>1.8674598766178</v>
      </c>
      <c r="AB54" s="10" t="n">
        <v>1.878358022749069</v>
      </c>
      <c r="AC54" s="10" t="n">
        <v>1.887730675007516</v>
      </c>
      <c r="AD54" s="10" t="n">
        <v>1.89561277694414</v>
      </c>
      <c r="AE54" s="10" t="n">
        <v>1.902039058380031</v>
      </c>
      <c r="AF54" s="10" t="n">
        <v>1.907044373308483</v>
      </c>
      <c r="AG54" s="10" t="n">
        <v>1.910664301408204</v>
      </c>
      <c r="AH54" s="10" t="n">
        <v>1.912935387606518</v>
      </c>
      <c r="AI54" s="10" t="n">
        <v>1.913896301454101</v>
      </c>
      <c r="AJ54" s="10" t="n">
        <v>1.913588990850568</v>
      </c>
      <c r="AK54" s="10" t="n">
        <v>1.912058494871081</v>
      </c>
      <c r="AL54" s="10" t="n">
        <v>1.909352726592531</v>
      </c>
      <c r="AM54" s="10" t="n">
        <v>1.905523286460418</v>
      </c>
      <c r="AN54" s="10" t="n">
        <v>1.900626327459029</v>
      </c>
      <c r="AO54" s="10" t="n">
        <v>1.894722498180709</v>
      </c>
      <c r="AP54" s="10" t="n">
        <v>1.88787698015077</v>
      </c>
      <c r="AQ54" s="10" t="n">
        <v>1.880158950143982</v>
      </c>
      <c r="AR54" s="10" t="n">
        <v>1.871640793668953</v>
      </c>
      <c r="AS54" s="10" t="n">
        <v>1.862397738026333</v>
      </c>
      <c r="AT54" s="10" t="n">
        <v>1.852507572558267</v>
      </c>
      <c r="AU54" s="10" t="n">
        <v>1.84204991305247</v>
      </c>
    </row>
    <row r="55">
      <c r="A55" s="9" t="n">
        <v>-70</v>
      </c>
      <c r="B55" s="7" t="n">
        <v>43073</v>
      </c>
      <c r="C55" s="10" t="n">
        <v>0.4838903125286238</v>
      </c>
      <c r="D55" s="10" t="n">
        <v>0.5213971566022056</v>
      </c>
      <c r="E55" s="10" t="n">
        <v>0.567908700629325</v>
      </c>
      <c r="F55" s="10" t="n">
        <v>0.6204091186283776</v>
      </c>
      <c r="G55" s="10" t="n">
        <v>0.6766765907276386</v>
      </c>
      <c r="H55" s="10" t="n">
        <v>0.7351052280421868</v>
      </c>
      <c r="I55" s="10" t="n">
        <v>0.7945134525074865</v>
      </c>
      <c r="J55" s="10" t="n">
        <v>0.8540513148227737</v>
      </c>
      <c r="K55" s="10" t="n">
        <v>0.9131410191600816</v>
      </c>
      <c r="L55" s="10" t="n">
        <v>0.9714013946573679</v>
      </c>
      <c r="M55" s="10" t="n">
        <v>1.028584822755008</v>
      </c>
      <c r="N55" s="10" t="n">
        <v>1.084524647165573</v>
      </c>
      <c r="O55" s="10" t="n">
        <v>1.66369066991215</v>
      </c>
      <c r="P55" s="10" t="n">
        <v>1.695433823644384</v>
      </c>
      <c r="Q55" s="10" t="n">
        <v>1.725273419919406</v>
      </c>
      <c r="R55" s="10" t="n">
        <v>1.753224886674606</v>
      </c>
      <c r="S55" s="10" t="n">
        <v>1.779309727460936</v>
      </c>
      <c r="T55" s="10" t="n">
        <v>1.803554583703249</v>
      </c>
      <c r="U55" s="10" t="n">
        <v>1.825990474784964</v>
      </c>
      <c r="V55" s="10" t="n">
        <v>1.846651779654043</v>
      </c>
      <c r="W55" s="10" t="n">
        <v>1.865574517995588</v>
      </c>
      <c r="X55" s="10" t="n">
        <v>1.882795689659317</v>
      </c>
      <c r="Y55" s="10" t="n">
        <v>1.898352852613898</v>
      </c>
      <c r="Z55" s="10" t="n">
        <v>1.912283142782813</v>
      </c>
      <c r="AA55" s="10" t="n">
        <v>1.924623012025837</v>
      </c>
      <c r="AB55" s="10" t="n">
        <v>1.935408306758187</v>
      </c>
      <c r="AC55" s="10" t="n">
        <v>1.944674340027243</v>
      </c>
      <c r="AD55" s="10" t="n">
        <v>1.952455958990239</v>
      </c>
      <c r="AE55" s="10" t="n">
        <v>1.958787665621587</v>
      </c>
      <c r="AF55" s="10" t="n">
        <v>1.963703920352374</v>
      </c>
      <c r="AG55" s="10" t="n">
        <v>1.967239788303532</v>
      </c>
      <c r="AH55" s="10" t="n">
        <v>1.969431206253959</v>
      </c>
      <c r="AI55" s="10" t="n">
        <v>1.970316199036751</v>
      </c>
      <c r="AJ55" s="10" t="n">
        <v>1.969936071619419</v>
      </c>
      <c r="AK55" s="10" t="n">
        <v>1.968335223081755</v>
      </c>
      <c r="AL55" s="10" t="n">
        <v>1.965560934115668</v>
      </c>
      <c r="AM55" s="10" t="n">
        <v>1.961664223760767</v>
      </c>
      <c r="AN55" s="10" t="n">
        <v>1.956700743831689</v>
      </c>
      <c r="AO55" s="10" t="n">
        <v>1.950730716755757</v>
      </c>
      <c r="AP55" s="10" t="n">
        <v>1.943818961558732</v>
      </c>
      <c r="AQ55" s="10" t="n">
        <v>1.936034344687272</v>
      </c>
      <c r="AR55" s="10" t="n">
        <v>1.927448986999178</v>
      </c>
      <c r="AS55" s="10" t="n">
        <v>1.918137893723936</v>
      </c>
      <c r="AT55" s="10" t="n">
        <v>1.908178669815602</v>
      </c>
      <c r="AU55" s="10" t="n">
        <v>1.89765077252978</v>
      </c>
    </row>
    <row r="56">
      <c r="A56" s="9" t="n">
        <v>-69</v>
      </c>
      <c r="B56" s="7" t="n">
        <v>43074</v>
      </c>
      <c r="C56" s="10" t="n">
        <v>0.4795869870346601</v>
      </c>
      <c r="D56" s="10" t="n">
        <v>0.5151793518682561</v>
      </c>
      <c r="E56" s="10" t="n">
        <v>0.5598572940099756</v>
      </c>
      <c r="F56" s="10" t="n">
        <v>0.6106659182969575</v>
      </c>
      <c r="G56" s="10" t="n">
        <v>0.6654120179467105</v>
      </c>
      <c r="H56" s="10" t="n">
        <v>0.7224925274410684</v>
      </c>
      <c r="I56" s="10" t="n">
        <v>0.7807146227769948</v>
      </c>
      <c r="J56" s="10" t="n">
        <v>0.8392125553526949</v>
      </c>
      <c r="K56" s="10" t="n">
        <v>0.8973944368154069</v>
      </c>
      <c r="L56" s="10" t="n">
        <v>0.9548686157368164</v>
      </c>
      <c r="M56" s="10" t="n">
        <v>1.011379420424781</v>
      </c>
      <c r="N56" s="10" t="n">
        <v>1.066753874710757</v>
      </c>
      <c r="O56" s="10" t="n">
        <v>1.645410758030895</v>
      </c>
      <c r="P56" s="10" t="n">
        <v>1.677350977636425</v>
      </c>
      <c r="Q56" s="10" t="n">
        <v>1.707379269469923</v>
      </c>
      <c r="R56" s="10" t="n">
        <v>1.735505737449661</v>
      </c>
      <c r="S56" s="10" t="n">
        <v>1.761747796894176</v>
      </c>
      <c r="T56" s="10" t="n">
        <v>1.786129073147445</v>
      </c>
      <c r="U56" s="10" t="n">
        <v>1.808678484269678</v>
      </c>
      <c r="V56" s="10" t="n">
        <v>1.829429129033142</v>
      </c>
      <c r="W56" s="10" t="n">
        <v>1.848416586621873</v>
      </c>
      <c r="X56" s="10" t="n">
        <v>1.865678192820145</v>
      </c>
      <c r="Y56" s="10" t="n">
        <v>1.881252461040087</v>
      </c>
      <c r="Z56" s="10" t="n">
        <v>1.895177859738645</v>
      </c>
      <c r="AA56" s="10" t="n">
        <v>1.907492451435351</v>
      </c>
      <c r="AB56" s="10" t="n">
        <v>1.918233936783784</v>
      </c>
      <c r="AC56" s="10" t="n">
        <v>1.927439697650845</v>
      </c>
      <c r="AD56" s="10" t="n">
        <v>1.935146832173944</v>
      </c>
      <c r="AE56" s="10" t="n">
        <v>1.941392165313818</v>
      </c>
      <c r="AF56" s="10" t="n">
        <v>1.94621244738717</v>
      </c>
      <c r="AG56" s="10" t="n">
        <v>1.949644979178369</v>
      </c>
      <c r="AH56" s="10" t="n">
        <v>1.951727873312549</v>
      </c>
      <c r="AI56" s="10" t="n">
        <v>1.952501217009647</v>
      </c>
      <c r="AJ56" s="10" t="n">
        <v>1.95200819551958</v>
      </c>
      <c r="AK56" s="10" t="n">
        <v>1.950294914133802</v>
      </c>
      <c r="AL56" s="10" t="n">
        <v>1.947410201564802</v>
      </c>
      <c r="AM56" s="10" t="n">
        <v>1.943406448855612</v>
      </c>
      <c r="AN56" s="10" t="n">
        <v>1.938340469761821</v>
      </c>
      <c r="AO56" s="10" t="n">
        <v>1.932273438438523</v>
      </c>
      <c r="AP56" s="10" t="n">
        <v>1.925270905951739</v>
      </c>
      <c r="AQ56" s="10" t="n">
        <v>1.917402270149419</v>
      </c>
      <c r="AR56" s="10" t="n">
        <v>1.90874001739113</v>
      </c>
      <c r="AS56" s="10" t="n">
        <v>1.899359371487988</v>
      </c>
      <c r="AT56" s="10" t="n">
        <v>1.889338021816348</v>
      </c>
      <c r="AU56" s="10" t="n">
        <v>1.878755397965332</v>
      </c>
    </row>
    <row r="57">
      <c r="A57" s="9" t="n">
        <v>-68</v>
      </c>
      <c r="B57" s="7" t="n">
        <v>43075</v>
      </c>
      <c r="C57" s="10" t="n">
        <v>0.4703767219182799</v>
      </c>
      <c r="D57" s="10" t="n">
        <v>0.505012845957182</v>
      </c>
      <c r="E57" s="10" t="n">
        <v>0.5483281131523203</v>
      </c>
      <c r="F57" s="10" t="n">
        <v>0.5974090820481237</v>
      </c>
      <c r="G57" s="10" t="n">
        <v>0.6501833718467942</v>
      </c>
      <c r="H57" s="10" t="n">
        <v>0.7051544463924015</v>
      </c>
      <c r="I57" s="10" t="n">
        <v>0.7612168946652017</v>
      </c>
      <c r="J57" s="10" t="n">
        <v>0.8175779717833564</v>
      </c>
      <c r="K57" s="10" t="n">
        <v>0.8737052287933348</v>
      </c>
      <c r="L57" s="10" t="n">
        <v>0.9292557655010645</v>
      </c>
      <c r="M57" s="10" t="n">
        <v>0.9840103645885723</v>
      </c>
      <c r="N57" s="10" t="n">
        <v>1.037821498070243</v>
      </c>
      <c r="O57" s="10" t="n">
        <v>1.611519955276899</v>
      </c>
      <c r="P57" s="10" t="n">
        <v>1.643769182215534</v>
      </c>
      <c r="Q57" s="10" t="n">
        <v>1.674140296481619</v>
      </c>
      <c r="R57" s="10" t="n">
        <v>1.702634062771196</v>
      </c>
      <c r="S57" s="10" t="n">
        <v>1.729259424277606</v>
      </c>
      <c r="T57" s="10" t="n">
        <v>1.754032281914429</v>
      </c>
      <c r="U57" s="10" t="n">
        <v>1.776974467090861</v>
      </c>
      <c r="V57" s="10" t="n">
        <v>1.79811255355854</v>
      </c>
      <c r="W57" s="10" t="n">
        <v>1.817476139819437</v>
      </c>
      <c r="X57" s="10" t="n">
        <v>1.83509707746146</v>
      </c>
      <c r="Y57" s="10" t="n">
        <v>1.851008863376032</v>
      </c>
      <c r="Z57" s="10" t="n">
        <v>1.865245482115355</v>
      </c>
      <c r="AA57" s="10" t="n">
        <v>1.877841025115907</v>
      </c>
      <c r="AB57" s="10" t="n">
        <v>1.888829673062029</v>
      </c>
      <c r="AC57" s="10" t="n">
        <v>1.898245685261182</v>
      </c>
      <c r="AD57" s="10" t="n">
        <v>1.906123397288417</v>
      </c>
      <c r="AE57" s="10" t="n">
        <v>1.912497293783679</v>
      </c>
      <c r="AF57" s="10" t="n">
        <v>1.917402285275901</v>
      </c>
      <c r="AG57" s="10" t="n">
        <v>1.920874338715905</v>
      </c>
      <c r="AH57" s="10" t="n">
        <v>1.922950713054044</v>
      </c>
      <c r="AI57" s="10" t="n">
        <v>1.923671213754399</v>
      </c>
      <c r="AJ57" s="10" t="n">
        <v>1.923079391211658</v>
      </c>
      <c r="AK57" s="10" t="n">
        <v>1.92122230908873</v>
      </c>
      <c r="AL57" s="10" t="n">
        <v>1.918150296302048</v>
      </c>
      <c r="AM57" s="10" t="n">
        <v>1.913917797675445</v>
      </c>
      <c r="AN57" s="10" t="n">
        <v>1.908584235069876</v>
      </c>
      <c r="AO57" s="10" t="n">
        <v>1.902213864555729</v>
      </c>
      <c r="AP57" s="10" t="n">
        <v>1.894875682589665</v>
      </c>
      <c r="AQ57" s="10" t="n">
        <v>1.8866427872102</v>
      </c>
      <c r="AR57" s="10" t="n">
        <v>1.87759148505564</v>
      </c>
      <c r="AS57" s="10" t="n">
        <v>1.867800908795513</v>
      </c>
      <c r="AT57" s="10" t="n">
        <v>1.857352731207687</v>
      </c>
      <c r="AU57" s="10" t="n">
        <v>1.846330360626844</v>
      </c>
    </row>
    <row r="58">
      <c r="A58" s="9" t="n">
        <v>-67</v>
      </c>
      <c r="B58" s="7" t="n">
        <v>43076</v>
      </c>
      <c r="C58" s="10" t="n">
        <v>0.484263810098425</v>
      </c>
      <c r="D58" s="10" t="n">
        <v>0.5194437457872751</v>
      </c>
      <c r="E58" s="10" t="n">
        <v>0.5633595743655536</v>
      </c>
      <c r="F58" s="10" t="n">
        <v>0.6130816172532496</v>
      </c>
      <c r="G58" s="10" t="n">
        <v>0.6665258508634805</v>
      </c>
      <c r="H58" s="10" t="n">
        <v>0.7221886159018459</v>
      </c>
      <c r="I58" s="10" t="n">
        <v>0.7789586837816356</v>
      </c>
      <c r="J58" s="10" t="n">
        <v>0.8360372970679241</v>
      </c>
      <c r="K58" s="10" t="n">
        <v>0.8928855849428182</v>
      </c>
      <c r="L58" s="10" t="n">
        <v>0.949154079673725</v>
      </c>
      <c r="M58" s="10" t="n">
        <v>1.004617102250994</v>
      </c>
      <c r="N58" s="10" t="n">
        <v>1.059121579916806</v>
      </c>
      <c r="O58" s="10" t="n">
        <v>1.639104349223368</v>
      </c>
      <c r="P58" s="10" t="n">
        <v>1.67163747131397</v>
      </c>
      <c r="Q58" s="10" t="n">
        <v>1.702280041505869</v>
      </c>
      <c r="R58" s="10" t="n">
        <v>1.731035696884099</v>
      </c>
      <c r="S58" s="10" t="n">
        <v>1.757915568122849</v>
      </c>
      <c r="T58" s="10" t="n">
        <v>1.78293714828143</v>
      </c>
      <c r="U58" s="10" t="n">
        <v>1.80612335303585</v>
      </c>
      <c r="V58" s="10" t="n">
        <v>1.827501408428671</v>
      </c>
      <c r="W58" s="10" t="n">
        <v>1.84710121698611</v>
      </c>
      <c r="X58" s="10" t="n">
        <v>1.864954645610803</v>
      </c>
      <c r="Y58" s="10" t="n">
        <v>1.881094969908352</v>
      </c>
      <c r="Z58" s="10" t="n">
        <v>1.895555801000148</v>
      </c>
      <c r="AA58" s="10" t="n">
        <v>1.908370745829557</v>
      </c>
      <c r="AB58" s="10" t="n">
        <v>1.919573403513444</v>
      </c>
      <c r="AC58" s="10" t="n">
        <v>1.929197366273889</v>
      </c>
      <c r="AD58" s="10" t="n">
        <v>1.937276227584847</v>
      </c>
      <c r="AE58" s="10" t="n">
        <v>1.94384366877161</v>
      </c>
      <c r="AF58" s="10" t="n">
        <v>1.948933752656172</v>
      </c>
      <c r="AG58" s="10" t="n">
        <v>1.952581568609973</v>
      </c>
      <c r="AH58" s="10" t="n">
        <v>1.954823480877353</v>
      </c>
      <c r="AI58" s="10" t="n">
        <v>1.95569847038803</v>
      </c>
      <c r="AJ58" s="10" t="n">
        <v>1.955249397714673</v>
      </c>
      <c r="AK58" s="10" t="n">
        <v>1.953522762631634</v>
      </c>
      <c r="AL58" s="10" t="n">
        <v>1.950568449436808</v>
      </c>
      <c r="AM58" s="10" t="n">
        <v>1.946440614832318</v>
      </c>
      <c r="AN58" s="10" t="n">
        <v>1.941198569956304</v>
      </c>
      <c r="AO58" s="10" t="n">
        <v>1.934906594440161</v>
      </c>
      <c r="AP58" s="10" t="n">
        <v>1.927633774943435</v>
      </c>
      <c r="AQ58" s="10" t="n">
        <v>1.919453358213185</v>
      </c>
      <c r="AR58" s="10" t="n">
        <v>1.910441876665778</v>
      </c>
      <c r="AS58" s="10" t="n">
        <v>1.900678765275601</v>
      </c>
      <c r="AT58" s="10" t="n">
        <v>1.890246068477315</v>
      </c>
      <c r="AU58" s="10" t="n">
        <v>1.879227629318294</v>
      </c>
    </row>
    <row r="59">
      <c r="A59" s="9" t="n">
        <v>-66</v>
      </c>
      <c r="B59" s="7" t="n">
        <v>43077</v>
      </c>
      <c r="C59" s="10" t="n">
        <v>0.4807597642355633</v>
      </c>
      <c r="D59" s="10" t="n">
        <v>0.5208756439626274</v>
      </c>
      <c r="E59" s="10" t="n">
        <v>0.5693436039350442</v>
      </c>
      <c r="F59" s="10" t="n">
        <v>0.6230667659989514</v>
      </c>
      <c r="G59" s="10" t="n">
        <v>0.6799297925203783</v>
      </c>
      <c r="H59" s="10" t="n">
        <v>0.7384655040485765</v>
      </c>
      <c r="I59" s="10" t="n">
        <v>0.7976234526080512</v>
      </c>
      <c r="J59" s="10" t="n">
        <v>0.856670044668309</v>
      </c>
      <c r="K59" s="10" t="n">
        <v>0.9151246592473882</v>
      </c>
      <c r="L59" s="10" t="n">
        <v>0.9726883564609268</v>
      </c>
      <c r="M59" s="10" t="n">
        <v>1.029175969250994</v>
      </c>
      <c r="N59" s="10" t="n">
        <v>1.084467828244503</v>
      </c>
      <c r="O59" s="10" t="n">
        <v>1.662661079909282</v>
      </c>
      <c r="P59" s="10" t="n">
        <v>1.694707401444866</v>
      </c>
      <c r="Q59" s="10" t="n">
        <v>1.724873323806646</v>
      </c>
      <c r="R59" s="10" t="n">
        <v>1.75316792403021</v>
      </c>
      <c r="S59" s="10" t="n">
        <v>1.77960643551916</v>
      </c>
      <c r="T59" s="10" t="n">
        <v>1.804209321956605</v>
      </c>
      <c r="U59" s="10" t="n">
        <v>1.827001503970972</v>
      </c>
      <c r="V59" s="10" t="n">
        <v>1.848011411748982</v>
      </c>
      <c r="W59" s="10" t="n">
        <v>1.867269580591647</v>
      </c>
      <c r="X59" s="10" t="n">
        <v>1.884808066982909</v>
      </c>
      <c r="Y59" s="10" t="n">
        <v>1.900659973014986</v>
      </c>
      <c r="Z59" s="10" t="n">
        <v>1.914858513999392</v>
      </c>
      <c r="AA59" s="10" t="n">
        <v>1.927436747926096</v>
      </c>
      <c r="AB59" s="10" t="n">
        <v>1.938427591383403</v>
      </c>
      <c r="AC59" s="10" t="n">
        <v>1.94786383639148</v>
      </c>
      <c r="AD59" s="10" t="n">
        <v>1.955778176407367</v>
      </c>
      <c r="AE59" s="10" t="n">
        <v>1.962203346286022</v>
      </c>
      <c r="AF59" s="10" t="n">
        <v>1.967172468169711</v>
      </c>
      <c r="AG59" s="10" t="n">
        <v>1.970719700337742</v>
      </c>
      <c r="AH59" s="10" t="n">
        <v>1.97288048575793</v>
      </c>
      <c r="AI59" s="10" t="n">
        <v>1.973692927607151</v>
      </c>
      <c r="AJ59" s="10" t="n">
        <v>1.97319902913849</v>
      </c>
      <c r="AK59" s="10" t="n">
        <v>1.971444442665833</v>
      </c>
      <c r="AL59" s="10" t="n">
        <v>1.968478220625264</v>
      </c>
      <c r="AM59" s="10" t="n">
        <v>1.964353720354585</v>
      </c>
      <c r="AN59" s="10" t="n">
        <v>1.9591294570913</v>
      </c>
      <c r="AO59" s="10" t="n">
        <v>1.952868909008217</v>
      </c>
      <c r="AP59" s="10" t="n">
        <v>1.945640343718684</v>
      </c>
      <c r="AQ59" s="10" t="n">
        <v>1.937516156778145</v>
      </c>
      <c r="AR59" s="10" t="n">
        <v>1.928571997281159</v>
      </c>
      <c r="AS59" s="10" t="n">
        <v>1.918886391064795</v>
      </c>
      <c r="AT59" s="10" t="n">
        <v>1.90854044470856</v>
      </c>
      <c r="AU59" s="10" t="n">
        <v>1.897617002597565</v>
      </c>
    </row>
    <row r="60">
      <c r="A60" s="9" t="n">
        <v>-65</v>
      </c>
      <c r="B60" s="7" t="n">
        <v>43080</v>
      </c>
      <c r="C60" s="10" t="n">
        <v>0.4380761275738326</v>
      </c>
      <c r="D60" s="10" t="n">
        <v>0.474260303885979</v>
      </c>
      <c r="E60" s="10" t="n">
        <v>0.5188063957128066</v>
      </c>
      <c r="F60" s="10" t="n">
        <v>0.568776186865631</v>
      </c>
      <c r="G60" s="10" t="n">
        <v>0.6221513791954837</v>
      </c>
      <c r="H60" s="10" t="n">
        <v>0.6775114427521911</v>
      </c>
      <c r="I60" s="10" t="n">
        <v>0.7338242979842142</v>
      </c>
      <c r="J60" s="10" t="n">
        <v>0.7903606839927755</v>
      </c>
      <c r="K60" s="10" t="n">
        <v>0.8466386360701715</v>
      </c>
      <c r="L60" s="10" t="n">
        <v>0.90235717360412</v>
      </c>
      <c r="M60" s="10" t="n">
        <v>0.9573270691358976</v>
      </c>
      <c r="N60" s="10" t="n">
        <v>1.011420486931627</v>
      </c>
      <c r="O60" s="10" t="n">
        <v>1.592501550553779</v>
      </c>
      <c r="P60" s="10" t="n">
        <v>1.625285935559383</v>
      </c>
      <c r="Q60" s="10" t="n">
        <v>1.656170092394524</v>
      </c>
      <c r="R60" s="10" t="n">
        <v>1.685155142809491</v>
      </c>
      <c r="S60" s="10" t="n">
        <v>1.712250443003296</v>
      </c>
      <c r="T60" s="10" t="n">
        <v>1.737472343773854</v>
      </c>
      <c r="U60" s="10" t="n">
        <v>1.760843157613537</v>
      </c>
      <c r="V60" s="10" t="n">
        <v>1.782389997811883</v>
      </c>
      <c r="W60" s="10" t="n">
        <v>1.802143210467599</v>
      </c>
      <c r="X60" s="10" t="n">
        <v>1.820135645346468</v>
      </c>
      <c r="Y60" s="10" t="n">
        <v>1.83640194699508</v>
      </c>
      <c r="Z60" s="10" t="n">
        <v>1.850977233743442</v>
      </c>
      <c r="AA60" s="10" t="n">
        <v>1.863896692560227</v>
      </c>
      <c r="AB60" s="10" t="n">
        <v>1.875195566412518</v>
      </c>
      <c r="AC60" s="10" t="n">
        <v>1.884909147599329</v>
      </c>
      <c r="AD60" s="10" t="n">
        <v>1.893072760804321</v>
      </c>
      <c r="AE60" s="10" t="n">
        <v>1.899721642134534</v>
      </c>
      <c r="AF60" s="10" t="n">
        <v>1.904891073562801</v>
      </c>
      <c r="AG60" s="10" t="n">
        <v>1.908617087495741</v>
      </c>
      <c r="AH60" s="10" t="n">
        <v>1.910936757218165</v>
      </c>
      <c r="AI60" s="10" t="n">
        <v>1.911889587311318</v>
      </c>
      <c r="AJ60" s="10" t="n">
        <v>1.911518748467366</v>
      </c>
      <c r="AK60" s="10" t="n">
        <v>1.909870845111112</v>
      </c>
      <c r="AL60" s="10" t="n">
        <v>1.906995694357403</v>
      </c>
      <c r="AM60" s="10" t="n">
        <v>1.902947304756421</v>
      </c>
      <c r="AN60" s="10" t="n">
        <v>1.897784782634761</v>
      </c>
      <c r="AO60" s="10" t="n">
        <v>1.89157217386039</v>
      </c>
      <c r="AP60" s="10" t="n">
        <v>1.884378339660139</v>
      </c>
      <c r="AQ60" s="10" t="n">
        <v>1.876276314877989</v>
      </c>
      <c r="AR60" s="10" t="n">
        <v>1.8673424610889</v>
      </c>
      <c r="AS60" s="10" t="n">
        <v>1.857656090667136</v>
      </c>
      <c r="AT60" s="10" t="n">
        <v>1.84729916305424</v>
      </c>
      <c r="AU60" s="10" t="n">
        <v>1.836355428010897</v>
      </c>
    </row>
    <row r="61">
      <c r="A61" s="9" t="n">
        <v>-64</v>
      </c>
      <c r="B61" s="7" t="n">
        <v>43081</v>
      </c>
      <c r="C61" s="10" t="n">
        <v>0.4475173979996036</v>
      </c>
      <c r="D61" s="10" t="n">
        <v>0.4858389705418169</v>
      </c>
      <c r="E61" s="10" t="n">
        <v>0.532313919232974</v>
      </c>
      <c r="F61" s="10" t="n">
        <v>0.584082317276221</v>
      </c>
      <c r="G61" s="10" t="n">
        <v>0.6391272702302302</v>
      </c>
      <c r="H61" s="10" t="n">
        <v>0.6960127635097063</v>
      </c>
      <c r="I61" s="10" t="n">
        <v>0.7536918051283058</v>
      </c>
      <c r="J61" s="10" t="n">
        <v>0.8114236130123141</v>
      </c>
      <c r="K61" s="10" t="n">
        <v>0.8687161177042583</v>
      </c>
      <c r="L61" s="10" t="n">
        <v>0.9252600112413559</v>
      </c>
      <c r="M61" s="10" t="n">
        <v>0.9808597819247125</v>
      </c>
      <c r="N61" s="10" t="n">
        <v>1.035383684170693</v>
      </c>
      <c r="O61" s="10" t="n">
        <v>1.608727667146049</v>
      </c>
      <c r="P61" s="10" t="n">
        <v>1.640594190879696</v>
      </c>
      <c r="Q61" s="10" t="n">
        <v>1.670612744321177</v>
      </c>
      <c r="R61" s="10" t="n">
        <v>1.698793350011847</v>
      </c>
      <c r="S61" s="10" t="n">
        <v>1.725151612456099</v>
      </c>
      <c r="T61" s="10" t="n">
        <v>1.749707887758742</v>
      </c>
      <c r="U61" s="10" t="n">
        <v>1.772486581404466</v>
      </c>
      <c r="V61" s="10" t="n">
        <v>1.793515328030793</v>
      </c>
      <c r="W61" s="10" t="n">
        <v>1.812823847259176</v>
      </c>
      <c r="X61" s="10" t="n">
        <v>1.830443438224746</v>
      </c>
      <c r="Y61" s="10" t="n">
        <v>1.846406425680052</v>
      </c>
      <c r="Z61" s="10" t="n">
        <v>1.860745044323754</v>
      </c>
      <c r="AA61" s="10" t="n">
        <v>1.873491141922216</v>
      </c>
      <c r="AB61" s="10" t="n">
        <v>1.884676222812318</v>
      </c>
      <c r="AC61" s="10" t="n">
        <v>1.89433148878592</v>
      </c>
      <c r="AD61" s="10" t="n">
        <v>1.902487865080868</v>
      </c>
      <c r="AE61" s="10" t="n">
        <v>1.909175938192748</v>
      </c>
      <c r="AF61" s="10" t="n">
        <v>1.914426161214756</v>
      </c>
      <c r="AG61" s="10" t="n">
        <v>1.918269627348261</v>
      </c>
      <c r="AH61" s="10" t="n">
        <v>1.920738397775695</v>
      </c>
      <c r="AI61" s="10" t="n">
        <v>1.921867021651883</v>
      </c>
      <c r="AJ61" s="10" t="n">
        <v>1.921693866944082</v>
      </c>
      <c r="AK61" s="10" t="n">
        <v>1.920260879734403</v>
      </c>
      <c r="AL61" s="10" t="n">
        <v>1.917613361845927</v>
      </c>
      <c r="AM61" s="10" t="n">
        <v>1.913801055945978</v>
      </c>
      <c r="AN61" s="10" t="n">
        <v>1.908879133626123</v>
      </c>
      <c r="AO61" s="10" t="n">
        <v>1.902908043807985</v>
      </c>
      <c r="AP61" s="10" t="n">
        <v>1.895953405885245</v>
      </c>
      <c r="AQ61" s="10" t="n">
        <v>1.888085384114403</v>
      </c>
      <c r="AR61" s="10" t="n">
        <v>1.879377884431735</v>
      </c>
      <c r="AS61" s="10" t="n">
        <v>1.869908157927715</v>
      </c>
      <c r="AT61" s="10" t="n">
        <v>1.859756467623046</v>
      </c>
      <c r="AU61" s="10" t="n">
        <v>1.8490052515422</v>
      </c>
    </row>
    <row r="62">
      <c r="A62" s="9" t="n">
        <v>-63</v>
      </c>
      <c r="B62" s="7" t="n">
        <v>43082</v>
      </c>
      <c r="C62" s="10" t="n">
        <v>0.4623235365061188</v>
      </c>
      <c r="D62" s="10" t="n">
        <v>0.5008949181451694</v>
      </c>
      <c r="E62" s="10" t="n">
        <v>0.5465436060576307</v>
      </c>
      <c r="F62" s="10" t="n">
        <v>0.5969094773621373</v>
      </c>
      <c r="G62" s="10" t="n">
        <v>0.6502197049746046</v>
      </c>
      <c r="H62" s="10" t="n">
        <v>0.7051819982253459</v>
      </c>
      <c r="I62" s="10" t="n">
        <v>0.7608466755792672</v>
      </c>
      <c r="J62" s="10" t="n">
        <v>0.8165458549049309</v>
      </c>
      <c r="K62" s="10" t="n">
        <v>0.871844605649973</v>
      </c>
      <c r="L62" s="10" t="n">
        <v>0.9264793645699403</v>
      </c>
      <c r="M62" s="10" t="n">
        <v>0.9802891914261664</v>
      </c>
      <c r="N62" s="10" t="n">
        <v>1.033166206507696</v>
      </c>
      <c r="O62" s="10" t="n">
        <v>1.596963618358274</v>
      </c>
      <c r="P62" s="10" t="n">
        <v>1.628645242797352</v>
      </c>
      <c r="Q62" s="10" t="n">
        <v>1.658512977768134</v>
      </c>
      <c r="R62" s="10" t="n">
        <v>1.686571740902741</v>
      </c>
      <c r="S62" s="10" t="n">
        <v>1.712832816707006</v>
      </c>
      <c r="T62" s="10" t="n">
        <v>1.737312912148798</v>
      </c>
      <c r="U62" s="10" t="n">
        <v>1.760033355005563</v>
      </c>
      <c r="V62" s="10" t="n">
        <v>1.781019146564321</v>
      </c>
      <c r="W62" s="10" t="n">
        <v>1.800297635352048</v>
      </c>
      <c r="X62" s="10" t="n">
        <v>1.817897941421994</v>
      </c>
      <c r="Y62" s="10" t="n">
        <v>1.833850373708091</v>
      </c>
      <c r="Z62" s="10" t="n">
        <v>1.848185296825436</v>
      </c>
      <c r="AA62" s="10" t="n">
        <v>1.860932820931492</v>
      </c>
      <c r="AB62" s="10" t="n">
        <v>1.872122829247832</v>
      </c>
      <c r="AC62" s="10" t="n">
        <v>1.881785005076319</v>
      </c>
      <c r="AD62" s="10" t="n">
        <v>1.889948852693421</v>
      </c>
      <c r="AE62" s="10" t="n">
        <v>1.896643696691635</v>
      </c>
      <c r="AF62" s="10" t="n">
        <v>1.901898924462797</v>
      </c>
      <c r="AG62" s="10" t="n">
        <v>1.905744689396504</v>
      </c>
      <c r="AH62" s="10" t="n">
        <v>1.908212208800523</v>
      </c>
      <c r="AI62" s="10" t="n">
        <v>1.909335290443212</v>
      </c>
      <c r="AJ62" s="10" t="n">
        <v>1.909151650453099</v>
      </c>
      <c r="AK62" s="10" t="n">
        <v>1.907702661212607</v>
      </c>
      <c r="AL62" s="10" t="n">
        <v>1.90503312716983</v>
      </c>
      <c r="AM62" s="10" t="n">
        <v>1.901192403377779</v>
      </c>
      <c r="AN62" s="10" t="n">
        <v>1.896235397725975</v>
      </c>
      <c r="AO62" s="10" t="n">
        <v>1.890222430072233</v>
      </c>
      <c r="AP62" s="10" t="n">
        <v>1.883219146304422</v>
      </c>
      <c r="AQ62" s="10" t="n">
        <v>1.875295901426928</v>
      </c>
      <c r="AR62" s="10" t="n">
        <v>1.866526977541266</v>
      </c>
      <c r="AS62" s="10" t="n">
        <v>1.856990178776921</v>
      </c>
      <c r="AT62" s="10" t="n">
        <v>1.846766485326354</v>
      </c>
      <c r="AU62" s="10" t="n">
        <v>1.835939232457967</v>
      </c>
    </row>
    <row r="63">
      <c r="A63" s="9" t="n">
        <v>-62</v>
      </c>
      <c r="B63" s="7" t="n">
        <v>43083</v>
      </c>
      <c r="C63" s="10" t="n">
        <v>0.4297321174018053</v>
      </c>
      <c r="D63" s="10" t="n">
        <v>0.4693912225507885</v>
      </c>
      <c r="E63" s="10" t="n">
        <v>0.5158201169931692</v>
      </c>
      <c r="F63" s="10" t="n">
        <v>0.56661022218696</v>
      </c>
      <c r="G63" s="10" t="n">
        <v>0.6199932976054364</v>
      </c>
      <c r="H63" s="10" t="n">
        <v>0.6747029842629829</v>
      </c>
      <c r="I63" s="10" t="n">
        <v>0.7298304730416627</v>
      </c>
      <c r="J63" s="10" t="n">
        <v>0.784758930025523</v>
      </c>
      <c r="K63" s="10" t="n">
        <v>0.8391059202064115</v>
      </c>
      <c r="L63" s="10" t="n">
        <v>0.8926575550407129</v>
      </c>
      <c r="M63" s="10" t="n">
        <v>0.9452956882973161</v>
      </c>
      <c r="N63" s="10" t="n">
        <v>0.9969476273247546</v>
      </c>
      <c r="O63" s="10" t="n">
        <v>1.546042417738164</v>
      </c>
      <c r="P63" s="10" t="n">
        <v>1.576905882230951</v>
      </c>
      <c r="Q63" s="10" t="n">
        <v>1.606017421272312</v>
      </c>
      <c r="R63" s="10" t="n">
        <v>1.633381516834882</v>
      </c>
      <c r="S63" s="10" t="n">
        <v>1.659008166163389</v>
      </c>
      <c r="T63" s="10" t="n">
        <v>1.682912068044289</v>
      </c>
      <c r="U63" s="10" t="n">
        <v>1.705111927965786</v>
      </c>
      <c r="V63" s="10" t="n">
        <v>1.725629659361472</v>
      </c>
      <c r="W63" s="10" t="n">
        <v>1.744489302876237</v>
      </c>
      <c r="X63" s="10" t="n">
        <v>1.761716539057137</v>
      </c>
      <c r="Y63" s="10" t="n">
        <v>1.777338135064505</v>
      </c>
      <c r="Z63" s="10" t="n">
        <v>1.791380868381419</v>
      </c>
      <c r="AA63" s="10" t="n">
        <v>1.803871239560458</v>
      </c>
      <c r="AB63" s="10" t="n">
        <v>1.814835502791838</v>
      </c>
      <c r="AC63" s="10" t="n">
        <v>1.824299695232273</v>
      </c>
      <c r="AD63" s="10" t="n">
        <v>1.83228966005173</v>
      </c>
      <c r="AE63" s="10" t="n">
        <v>1.838831049418352</v>
      </c>
      <c r="AF63" s="10" t="n">
        <v>1.843949555854677</v>
      </c>
      <c r="AG63" s="10" t="n">
        <v>1.847671567418513</v>
      </c>
      <c r="AH63" s="10" t="n">
        <v>1.850024464824308</v>
      </c>
      <c r="AI63" s="10" t="n">
        <v>1.851038237696791</v>
      </c>
      <c r="AJ63" s="10" t="n">
        <v>1.850746860783006</v>
      </c>
      <c r="AK63" s="10" t="n">
        <v>1.849188037159189</v>
      </c>
      <c r="AL63" s="10" t="n">
        <v>1.846402981319381</v>
      </c>
      <c r="AM63" s="10" t="n">
        <v>1.842437659510173</v>
      </c>
      <c r="AN63" s="10" t="n">
        <v>1.837343882346796</v>
      </c>
      <c r="AO63" s="10" t="n">
        <v>1.831179157780217</v>
      </c>
      <c r="AP63" s="10" t="n">
        <v>1.824006601542746</v>
      </c>
      <c r="AQ63" s="10" t="n">
        <v>1.815894427434249</v>
      </c>
      <c r="AR63" s="10" t="n">
        <v>1.80691535779635</v>
      </c>
      <c r="AS63" s="10" t="n">
        <v>1.797146209527542</v>
      </c>
      <c r="AT63" s="10" t="n">
        <v>1.786667515436373</v>
      </c>
      <c r="AU63" s="10" t="n">
        <v>1.775562830487224</v>
      </c>
    </row>
    <row r="64">
      <c r="A64" s="9" t="n">
        <v>-61</v>
      </c>
      <c r="B64" s="7" t="n">
        <v>43084</v>
      </c>
      <c r="C64" s="10" t="n">
        <v>0.4334092220063958</v>
      </c>
      <c r="D64" s="10" t="n">
        <v>0.472804675150071</v>
      </c>
      <c r="E64" s="10" t="n">
        <v>0.5183514193238216</v>
      </c>
      <c r="F64" s="10" t="n">
        <v>0.5678763620354823</v>
      </c>
      <c r="G64" s="10" t="n">
        <v>0.6197386162842875</v>
      </c>
      <c r="H64" s="10" t="n">
        <v>0.6727610187769775</v>
      </c>
      <c r="I64" s="10" t="n">
        <v>0.7261074538197931</v>
      </c>
      <c r="J64" s="10" t="n">
        <v>0.7792251753838454</v>
      </c>
      <c r="K64" s="10" t="n">
        <v>0.8317879101744327</v>
      </c>
      <c r="L64" s="10" t="n">
        <v>0.8836311334202654</v>
      </c>
      <c r="M64" s="10" t="n">
        <v>0.9346783132383268</v>
      </c>
      <c r="N64" s="10" t="n">
        <v>0.9848899240504366</v>
      </c>
      <c r="O64" s="10" t="n">
        <v>1.530804986810143</v>
      </c>
      <c r="P64" s="10" t="n">
        <v>1.562098712956754</v>
      </c>
      <c r="Q64" s="10" t="n">
        <v>1.591634836714763</v>
      </c>
      <c r="R64" s="10" t="n">
        <v>1.619404764314069</v>
      </c>
      <c r="S64" s="10" t="n">
        <v>1.645408427568108</v>
      </c>
      <c r="T64" s="10" t="n">
        <v>1.669653044554033</v>
      </c>
      <c r="U64" s="10" t="n">
        <v>1.692152045760293</v>
      </c>
      <c r="V64" s="10" t="n">
        <v>1.71292404521602</v>
      </c>
      <c r="W64" s="10" t="n">
        <v>1.731991738527925</v>
      </c>
      <c r="X64" s="10" t="n">
        <v>1.749381229748374</v>
      </c>
      <c r="Y64" s="10" t="n">
        <v>1.765121051916665</v>
      </c>
      <c r="Z64" s="10" t="n">
        <v>1.779240429863354</v>
      </c>
      <c r="AA64" s="10" t="n">
        <v>1.791768775015855</v>
      </c>
      <c r="AB64" s="10" t="n">
        <v>1.802735658401335</v>
      </c>
      <c r="AC64" s="10" t="n">
        <v>1.812170791646696</v>
      </c>
      <c r="AD64" s="10" t="n">
        <v>1.820103970277069</v>
      </c>
      <c r="AE64" s="10" t="n">
        <v>1.82656467409239</v>
      </c>
      <c r="AF64" s="10" t="n">
        <v>1.831582023551061</v>
      </c>
      <c r="AG64" s="10" t="n">
        <v>1.835185561848029</v>
      </c>
      <c r="AH64" s="10" t="n">
        <v>1.837405618645294</v>
      </c>
      <c r="AI64" s="10" t="n">
        <v>1.838274988998087</v>
      </c>
      <c r="AJ64" s="10" t="n">
        <v>1.837830304324422</v>
      </c>
      <c r="AK64" s="10" t="n">
        <v>1.836111782158552</v>
      </c>
      <c r="AL64" s="10" t="n">
        <v>1.833163036637787</v>
      </c>
      <c r="AM64" s="10" t="n">
        <v>1.829032393010517</v>
      </c>
      <c r="AN64" s="10" t="n">
        <v>1.823773990242801</v>
      </c>
      <c r="AO64" s="10" t="n">
        <v>1.817447638117372</v>
      </c>
      <c r="AP64" s="10" t="n">
        <v>1.81011872401779</v>
      </c>
      <c r="AQ64" s="10" t="n">
        <v>1.80185765408908</v>
      </c>
      <c r="AR64" s="10" t="n">
        <v>1.792739196657892</v>
      </c>
      <c r="AS64" s="10" t="n">
        <v>1.782842069308296</v>
      </c>
      <c r="AT64" s="10" t="n">
        <v>1.772248564348133</v>
      </c>
      <c r="AU64" s="10" t="n">
        <v>1.7610437943355</v>
      </c>
    </row>
    <row r="65">
      <c r="A65" s="9" t="n">
        <v>-60</v>
      </c>
      <c r="B65" s="7" t="n">
        <v>43087</v>
      </c>
      <c r="C65" s="10" t="n">
        <v>0.4262980668273564</v>
      </c>
      <c r="D65" s="10" t="n">
        <v>0.4666832501015566</v>
      </c>
      <c r="E65" s="10" t="n">
        <v>0.5130414669570061</v>
      </c>
      <c r="F65" s="10" t="n">
        <v>0.5630776111551311</v>
      </c>
      <c r="G65" s="10" t="n">
        <v>0.6151251264472806</v>
      </c>
      <c r="H65" s="10" t="n">
        <v>0.6680419771634231</v>
      </c>
      <c r="I65" s="10" t="n">
        <v>0.7210502881171401</v>
      </c>
      <c r="J65" s="10" t="n">
        <v>0.7736611804818856</v>
      </c>
      <c r="K65" s="10" t="n">
        <v>0.8256107050179392</v>
      </c>
      <c r="L65" s="10" t="n">
        <v>0.8767918249761082</v>
      </c>
      <c r="M65" s="10" t="n">
        <v>0.9271756525614071</v>
      </c>
      <c r="N65" s="10" t="n">
        <v>0.9767598808533079</v>
      </c>
      <c r="O65" s="10" t="n">
        <v>1.52082128519342</v>
      </c>
      <c r="P65" s="10" t="n">
        <v>1.552230346489796</v>
      </c>
      <c r="Q65" s="10" t="n">
        <v>1.58187973241744</v>
      </c>
      <c r="R65" s="10" t="n">
        <v>1.609757810383428</v>
      </c>
      <c r="S65" s="10" t="n">
        <v>1.635862551467057</v>
      </c>
      <c r="T65" s="10" t="n">
        <v>1.660200122182379</v>
      </c>
      <c r="U65" s="10" t="n">
        <v>1.682783676215291</v>
      </c>
      <c r="V65" s="10" t="n">
        <v>1.70363217727838</v>
      </c>
      <c r="W65" s="10" t="n">
        <v>1.722769114577777</v>
      </c>
      <c r="X65" s="10" t="n">
        <v>1.740221741362294</v>
      </c>
      <c r="Y65" s="10" t="n">
        <v>1.756019950542044</v>
      </c>
      <c r="Z65" s="10" t="n">
        <v>1.770194268026311</v>
      </c>
      <c r="AA65" s="10" t="n">
        <v>1.782775289941401</v>
      </c>
      <c r="AB65" s="10" t="n">
        <v>1.793793669334776</v>
      </c>
      <c r="AC65" s="10" t="n">
        <v>1.803280109398613</v>
      </c>
      <c r="AD65" s="10" t="n">
        <v>1.811265298613614</v>
      </c>
      <c r="AE65" s="10" t="n">
        <v>1.817779349237033</v>
      </c>
      <c r="AF65" s="10" t="n">
        <v>1.822851655596551</v>
      </c>
      <c r="AG65" s="10" t="n">
        <v>1.826511761470254</v>
      </c>
      <c r="AH65" s="10" t="n">
        <v>1.828789777816308</v>
      </c>
      <c r="AI65" s="10" t="n">
        <v>1.82971816209479</v>
      </c>
      <c r="AJ65" s="10" t="n">
        <v>1.829333152742291</v>
      </c>
      <c r="AK65" s="10" t="n">
        <v>1.827674526469939</v>
      </c>
      <c r="AL65" s="10" t="n">
        <v>1.824785424470619</v>
      </c>
      <c r="AM65" s="10" t="n">
        <v>1.820713754368213</v>
      </c>
      <c r="AN65" s="10" t="n">
        <v>1.815513347866463</v>
      </c>
      <c r="AO65" s="10" t="n">
        <v>1.809243817088109</v>
      </c>
      <c r="AP65" s="10" t="n">
        <v>1.801970455628664</v>
      </c>
      <c r="AQ65" s="10" t="n">
        <v>1.793763647635632</v>
      </c>
      <c r="AR65" s="10" t="n">
        <v>1.784698170685601</v>
      </c>
      <c r="AS65" s="10" t="n">
        <v>1.774852774933919</v>
      </c>
      <c r="AT65" s="10" t="n">
        <v>1.764309802327222</v>
      </c>
      <c r="AU65" s="10" t="n">
        <v>1.753154393411564</v>
      </c>
    </row>
    <row r="66">
      <c r="A66" s="9" t="n">
        <v>-59</v>
      </c>
      <c r="B66" s="7" t="n">
        <v>43088</v>
      </c>
      <c r="C66" s="10" t="n">
        <v>0.4469543879225429</v>
      </c>
      <c r="D66" s="10" t="n">
        <v>0.4906331755820816</v>
      </c>
      <c r="E66" s="10" t="n">
        <v>0.5404555610074878</v>
      </c>
      <c r="F66" s="10" t="n">
        <v>0.5939296246790723</v>
      </c>
      <c r="G66" s="10" t="n">
        <v>0.6493011778213302</v>
      </c>
      <c r="H66" s="10" t="n">
        <v>0.7053946104660487</v>
      </c>
      <c r="I66" s="10" t="n">
        <v>0.7614209607503747</v>
      </c>
      <c r="J66" s="10" t="n">
        <v>0.8168876991030054</v>
      </c>
      <c r="K66" s="10" t="n">
        <v>0.8715283529979817</v>
      </c>
      <c r="L66" s="10" t="n">
        <v>0.925232429579014</v>
      </c>
      <c r="M66" s="10" t="n">
        <v>0.9779681256378827</v>
      </c>
      <c r="N66" s="10" t="n">
        <v>1.029732008734956</v>
      </c>
      <c r="O66" s="10" t="n">
        <v>1.589702272292985</v>
      </c>
      <c r="P66" s="10" t="n">
        <v>1.621678064337666</v>
      </c>
      <c r="Q66" s="10" t="n">
        <v>1.651836037311781</v>
      </c>
      <c r="R66" s="10" t="n">
        <v>1.680170090133324</v>
      </c>
      <c r="S66" s="10" t="n">
        <v>1.706683317436366</v>
      </c>
      <c r="T66" s="10" t="n">
        <v>1.731386655473609</v>
      </c>
      <c r="U66" s="10" t="n">
        <v>1.754297724402963</v>
      </c>
      <c r="V66" s="10" t="n">
        <v>1.775439614932248</v>
      </c>
      <c r="W66" s="10" t="n">
        <v>1.79483944728683</v>
      </c>
      <c r="X66" s="10" t="n">
        <v>1.812527620602661</v>
      </c>
      <c r="Y66" s="10" t="n">
        <v>1.828536801916152</v>
      </c>
      <c r="Z66" s="10" t="n">
        <v>1.84290011921842</v>
      </c>
      <c r="AA66" s="10" t="n">
        <v>1.855650669896567</v>
      </c>
      <c r="AB66" s="10" t="n">
        <v>1.866821520365771</v>
      </c>
      <c r="AC66" s="10" t="n">
        <v>1.87644570975628</v>
      </c>
      <c r="AD66" s="10" t="n">
        <v>1.884556208983489</v>
      </c>
      <c r="AE66" s="10" t="n">
        <v>1.891185515154608</v>
      </c>
      <c r="AF66" s="10" t="n">
        <v>1.896365606972061</v>
      </c>
      <c r="AG66" s="10" t="n">
        <v>1.900128708235878</v>
      </c>
      <c r="AH66" s="10" t="n">
        <v>1.902507659951614</v>
      </c>
      <c r="AI66" s="10" t="n">
        <v>1.903537618917322</v>
      </c>
      <c r="AJ66" s="10" t="n">
        <v>1.9032574077513</v>
      </c>
      <c r="AK66" s="10" t="n">
        <v>1.901709274546588</v>
      </c>
      <c r="AL66" s="10" t="n">
        <v>1.898938720343737</v>
      </c>
      <c r="AM66" s="10" t="n">
        <v>1.894995788868422</v>
      </c>
      <c r="AN66" s="10" t="n">
        <v>1.889936111915296</v>
      </c>
      <c r="AO66" s="10" t="n">
        <v>1.88382073304521</v>
      </c>
      <c r="AP66" s="10" t="n">
        <v>1.876715954345051</v>
      </c>
      <c r="AQ66" s="10" t="n">
        <v>1.868692709929458</v>
      </c>
      <c r="AR66" s="10" t="n">
        <v>1.859825817893596</v>
      </c>
      <c r="AS66" s="10" t="n">
        <v>1.850193588883722</v>
      </c>
      <c r="AT66" s="10" t="n">
        <v>1.839877477571493</v>
      </c>
      <c r="AU66" s="10" t="n">
        <v>1.828961253484193</v>
      </c>
    </row>
    <row r="67">
      <c r="A67" s="9" t="n">
        <v>-58</v>
      </c>
      <c r="B67" s="7" t="n">
        <v>43089</v>
      </c>
      <c r="C67" s="10" t="n">
        <v>0.4684378109093874</v>
      </c>
      <c r="D67" s="10" t="n">
        <v>0.5137443666974623</v>
      </c>
      <c r="E67" s="10" t="n">
        <v>0.565477967182454</v>
      </c>
      <c r="F67" s="10" t="n">
        <v>0.6211998837385463</v>
      </c>
      <c r="G67" s="10" t="n">
        <v>0.6791028255740378</v>
      </c>
      <c r="H67" s="10" t="n">
        <v>0.7379331722503828</v>
      </c>
      <c r="I67" s="10" t="n">
        <v>0.7968170837222947</v>
      </c>
      <c r="J67" s="10" t="n">
        <v>0.8551750188586204</v>
      </c>
      <c r="K67" s="10" t="n">
        <v>0.9126556290867519</v>
      </c>
      <c r="L67" s="10" t="n">
        <v>0.9690680496498427</v>
      </c>
      <c r="M67" s="10" t="n">
        <v>1.024311849405533</v>
      </c>
      <c r="N67" s="10" t="n">
        <v>1.078328617987818</v>
      </c>
      <c r="O67" s="10" t="n">
        <v>1.644423913494937</v>
      </c>
      <c r="P67" s="10" t="n">
        <v>1.676011998977636</v>
      </c>
      <c r="Q67" s="10" t="n">
        <v>1.705796267008145</v>
      </c>
      <c r="R67" s="10" t="n">
        <v>1.733784112930781</v>
      </c>
      <c r="S67" s="10" t="n">
        <v>1.759988556552779</v>
      </c>
      <c r="T67" s="10" t="n">
        <v>1.784427419896095</v>
      </c>
      <c r="U67" s="10" t="n">
        <v>1.807122617077782</v>
      </c>
      <c r="V67" s="10" t="n">
        <v>1.828099352844998</v>
      </c>
      <c r="W67" s="10" t="n">
        <v>1.847385101115635</v>
      </c>
      <c r="X67" s="10" t="n">
        <v>1.86500913082925</v>
      </c>
      <c r="Y67" s="10" t="n">
        <v>1.881001866133663</v>
      </c>
      <c r="Z67" s="10" t="n">
        <v>1.895393695936325</v>
      </c>
      <c r="AA67" s="10" t="n">
        <v>1.908214683817426</v>
      </c>
      <c r="AB67" s="10" t="n">
        <v>1.919494605018591</v>
      </c>
      <c r="AC67" s="10" t="n">
        <v>1.929262980768842</v>
      </c>
      <c r="AD67" s="10" t="n">
        <v>1.937549097117262</v>
      </c>
      <c r="AE67" s="10" t="n">
        <v>1.94438193613132</v>
      </c>
      <c r="AF67" s="10" t="n">
        <v>1.949790371898988</v>
      </c>
      <c r="AG67" s="10" t="n">
        <v>1.953803838226362</v>
      </c>
      <c r="AH67" s="10" t="n">
        <v>1.956452653844577</v>
      </c>
      <c r="AI67" s="10" t="n">
        <v>1.95776976601722</v>
      </c>
      <c r="AJ67" s="10" t="n">
        <v>1.95779211498543</v>
      </c>
      <c r="AK67" s="10" t="n">
        <v>1.956560362484435</v>
      </c>
      <c r="AL67" s="10" t="n">
        <v>1.954118690919846</v>
      </c>
      <c r="AM67" s="10" t="n">
        <v>1.950516049517381</v>
      </c>
      <c r="AN67" s="10" t="n">
        <v>1.945807143594641</v>
      </c>
      <c r="AO67" s="10" t="n">
        <v>1.940052203164488</v>
      </c>
      <c r="AP67" s="10" t="n">
        <v>1.933316758025179</v>
      </c>
      <c r="AQ67" s="10" t="n">
        <v>1.925670932471635</v>
      </c>
      <c r="AR67" s="10" t="n">
        <v>1.917188601437616</v>
      </c>
      <c r="AS67" s="10" t="n">
        <v>1.907946995184381</v>
      </c>
      <c r="AT67" s="10" t="n">
        <v>1.898026354394768</v>
      </c>
      <c r="AU67" s="10" t="n">
        <v>1.887509042609097</v>
      </c>
    </row>
    <row r="68">
      <c r="A68" s="9" t="n">
        <v>-57</v>
      </c>
      <c r="B68" s="7" t="n">
        <v>43090</v>
      </c>
      <c r="C68" s="10" t="n">
        <v>0.4567803020818058</v>
      </c>
      <c r="D68" s="10" t="n">
        <v>0.5040280827141482</v>
      </c>
      <c r="E68" s="10" t="n">
        <v>0.5574620651535285</v>
      </c>
      <c r="F68" s="10" t="n">
        <v>0.6147121518806865</v>
      </c>
      <c r="G68" s="10" t="n">
        <v>0.673991978123176</v>
      </c>
      <c r="H68" s="10" t="n">
        <v>0.7340465298217559</v>
      </c>
      <c r="I68" s="10" t="n">
        <v>0.7939996172575042</v>
      </c>
      <c r="J68" s="10" t="n">
        <v>0.8532755148260005</v>
      </c>
      <c r="K68" s="10" t="n">
        <v>0.9115313881510506</v>
      </c>
      <c r="L68" s="10" t="n">
        <v>0.9685865636749387</v>
      </c>
      <c r="M68" s="10" t="n">
        <v>1.024352703430873</v>
      </c>
      <c r="N68" s="10" t="n">
        <v>1.078785424370603</v>
      </c>
      <c r="O68" s="10" t="n">
        <v>1.646427608205904</v>
      </c>
      <c r="P68" s="10" t="n">
        <v>1.678072203942123</v>
      </c>
      <c r="Q68" s="10" t="n">
        <v>1.707914675955663</v>
      </c>
      <c r="R68" s="10" t="n">
        <v>1.735962621011528</v>
      </c>
      <c r="S68" s="10" t="n">
        <v>1.762229014218923</v>
      </c>
      <c r="T68" s="10" t="n">
        <v>1.786731419522576</v>
      </c>
      <c r="U68" s="10" t="n">
        <v>1.809491310507759</v>
      </c>
      <c r="V68" s="10" t="n">
        <v>1.830533276376208</v>
      </c>
      <c r="W68" s="10" t="n">
        <v>1.84988398392554</v>
      </c>
      <c r="X68" s="10" t="n">
        <v>1.867571720150627</v>
      </c>
      <c r="Y68" s="10" t="n">
        <v>1.88362579966783</v>
      </c>
      <c r="Z68" s="10" t="n">
        <v>1.898075465657602</v>
      </c>
      <c r="AA68" s="10" t="n">
        <v>1.910949629018195</v>
      </c>
      <c r="AB68" s="10" t="n">
        <v>1.922276906515031</v>
      </c>
      <c r="AC68" s="10" t="n">
        <v>1.932085655796477</v>
      </c>
      <c r="AD68" s="10" t="n">
        <v>1.940404000718129</v>
      </c>
      <c r="AE68" s="10" t="n">
        <v>1.947259818285259</v>
      </c>
      <c r="AF68" s="10" t="n">
        <v>1.952680980540319</v>
      </c>
      <c r="AG68" s="10" t="n">
        <v>1.95669601411901</v>
      </c>
      <c r="AH68" s="10" t="n">
        <v>1.959334419175436</v>
      </c>
      <c r="AI68" s="10" t="n">
        <v>1.960628436122627</v>
      </c>
      <c r="AJ68" s="10" t="n">
        <v>1.960614407824715</v>
      </c>
      <c r="AK68" s="10" t="n">
        <v>1.959332495787911</v>
      </c>
      <c r="AL68" s="10" t="n">
        <v>1.956826475024266</v>
      </c>
      <c r="AM68" s="10" t="n">
        <v>1.95314499634361</v>
      </c>
      <c r="AN68" s="10" t="n">
        <v>1.948342571641164</v>
      </c>
      <c r="AO68" s="10" t="n">
        <v>1.942479346919448</v>
      </c>
      <c r="AP68" s="10" t="n">
        <v>1.935620888801084</v>
      </c>
      <c r="AQ68" s="10" t="n">
        <v>1.927837498244761</v>
      </c>
      <c r="AR68" s="10" t="n">
        <v>1.91920340239621</v>
      </c>
      <c r="AS68" s="10" t="n">
        <v>1.909796352886965</v>
      </c>
      <c r="AT68" s="10" t="n">
        <v>1.899697267856575</v>
      </c>
      <c r="AU68" s="10" t="n">
        <v>1.888989350950876</v>
      </c>
    </row>
    <row r="69">
      <c r="A69" s="9" t="n">
        <v>-56</v>
      </c>
      <c r="B69" s="7" t="n">
        <v>43091</v>
      </c>
      <c r="C69" s="10" t="n">
        <v>0.4380081166852235</v>
      </c>
      <c r="D69" s="10" t="n">
        <v>0.4853341493961866</v>
      </c>
      <c r="E69" s="10" t="n">
        <v>0.5387138307420445</v>
      </c>
      <c r="F69" s="10" t="n">
        <v>0.5957614604886395</v>
      </c>
      <c r="G69" s="10" t="n">
        <v>0.6547232362301436</v>
      </c>
      <c r="H69" s="10" t="n">
        <v>0.7143847392380902</v>
      </c>
      <c r="I69" s="10" t="n">
        <v>0.7739059413028848</v>
      </c>
      <c r="J69" s="10" t="n">
        <v>0.8327419703771404</v>
      </c>
      <c r="K69" s="10" t="n">
        <v>0.8905772346528948</v>
      </c>
      <c r="L69" s="10" t="n">
        <v>0.947251708166985</v>
      </c>
      <c r="M69" s="10" t="n">
        <v>1.002691039908441</v>
      </c>
      <c r="N69" s="10" t="n">
        <v>1.056860908197258</v>
      </c>
      <c r="O69" s="10" t="n">
        <v>1.625557138165622</v>
      </c>
      <c r="P69" s="10" t="n">
        <v>1.657368539499869</v>
      </c>
      <c r="Q69" s="10" t="n">
        <v>1.687359622029386</v>
      </c>
      <c r="R69" s="10" t="n">
        <v>1.715536269977424</v>
      </c>
      <c r="S69" s="10" t="n">
        <v>1.741910683258902</v>
      </c>
      <c r="T69" s="10" t="n">
        <v>1.766500442770197</v>
      </c>
      <c r="U69" s="10" t="n">
        <v>1.789327712713827</v>
      </c>
      <c r="V69" s="10" t="n">
        <v>1.810418285915327</v>
      </c>
      <c r="W69" s="10" t="n">
        <v>1.829800355404317</v>
      </c>
      <c r="X69" s="10" t="n">
        <v>1.847503989936907</v>
      </c>
      <c r="Y69" s="10" t="n">
        <v>1.863560419577756</v>
      </c>
      <c r="Z69" s="10" t="n">
        <v>1.878000765229294</v>
      </c>
      <c r="AA69" s="10" t="n">
        <v>1.890855759209817</v>
      </c>
      <c r="AB69" s="10" t="n">
        <v>1.902155790507302</v>
      </c>
      <c r="AC69" s="10" t="n">
        <v>1.911930945651409</v>
      </c>
      <c r="AD69" s="10" t="n">
        <v>1.920211024819171</v>
      </c>
      <c r="AE69" s="10" t="n">
        <v>1.927025417793658</v>
      </c>
      <c r="AF69" s="10" t="n">
        <v>1.932403291231016</v>
      </c>
      <c r="AG69" s="10" t="n">
        <v>1.936374278513261</v>
      </c>
      <c r="AH69" s="10" t="n">
        <v>1.938968831243686</v>
      </c>
      <c r="AI69" s="10" t="n">
        <v>1.940220045325305</v>
      </c>
      <c r="AJ69" s="10" t="n">
        <v>1.940164973773587</v>
      </c>
      <c r="AK69" s="10" t="n">
        <v>1.938844343163</v>
      </c>
      <c r="AL69" s="10" t="n">
        <v>1.936302379523509</v>
      </c>
      <c r="AM69" s="10" t="n">
        <v>1.93258810989816</v>
      </c>
      <c r="AN69" s="10" t="n">
        <v>1.927756297091279</v>
      </c>
      <c r="AO69" s="10" t="n">
        <v>1.921867228257198</v>
      </c>
      <c r="AP69" s="10" t="n">
        <v>1.914986516797244</v>
      </c>
      <c r="AQ69" s="10" t="n">
        <v>1.907184419629067</v>
      </c>
      <c r="AR69" s="10" t="n">
        <v>1.898535056223276</v>
      </c>
      <c r="AS69" s="10" t="n">
        <v>1.889116019663674</v>
      </c>
      <c r="AT69" s="10" t="n">
        <v>1.8790080194346</v>
      </c>
      <c r="AU69" s="10" t="n">
        <v>1.868294007784307</v>
      </c>
    </row>
    <row r="70">
      <c r="A70" s="9" t="n">
        <v>-55</v>
      </c>
      <c r="B70" s="7" t="n">
        <v>43096</v>
      </c>
      <c r="C70" s="10" t="n">
        <v>0.4098164659574207</v>
      </c>
      <c r="D70" s="10" t="n">
        <v>0.4545560779242561</v>
      </c>
      <c r="E70" s="10" t="n">
        <v>0.5052286093789253</v>
      </c>
      <c r="F70" s="10" t="n">
        <v>0.5593677646491305</v>
      </c>
      <c r="G70" s="10" t="n">
        <v>0.6152428238302957</v>
      </c>
      <c r="H70" s="10" t="n">
        <v>0.671700989272371</v>
      </c>
      <c r="I70" s="10" t="n">
        <v>0.7279761205518989</v>
      </c>
      <c r="J70" s="10" t="n">
        <v>0.7836007655052349</v>
      </c>
      <c r="K70" s="10" t="n">
        <v>0.838336664867843</v>
      </c>
      <c r="L70" s="10" t="n">
        <v>0.8920987999238668</v>
      </c>
      <c r="M70" s="10" t="n">
        <v>0.9448772948454529</v>
      </c>
      <c r="N70" s="10" t="n">
        <v>0.9966890879786986</v>
      </c>
      <c r="O70" s="10" t="n">
        <v>1.561060480710339</v>
      </c>
      <c r="P70" s="10" t="n">
        <v>1.593588793384183</v>
      </c>
      <c r="Q70" s="10" t="n">
        <v>1.624302479934888</v>
      </c>
      <c r="R70" s="10" t="n">
        <v>1.65319158026192</v>
      </c>
      <c r="S70" s="10" t="n">
        <v>1.680255892234277</v>
      </c>
      <c r="T70" s="10" t="n">
        <v>1.705503525992517</v>
      </c>
      <c r="U70" s="10" t="n">
        <v>1.728949674865396</v>
      </c>
      <c r="V70" s="10" t="n">
        <v>1.750615295763754</v>
      </c>
      <c r="W70" s="10" t="n">
        <v>1.770525574545821</v>
      </c>
      <c r="X70" s="10" t="n">
        <v>1.788709152456593</v>
      </c>
      <c r="Y70" s="10" t="n">
        <v>1.80519712838816</v>
      </c>
      <c r="Z70" s="10" t="n">
        <v>1.820021456527361</v>
      </c>
      <c r="AA70" s="10" t="n">
        <v>1.833214507467151</v>
      </c>
      <c r="AB70" s="10" t="n">
        <v>1.844809015101173</v>
      </c>
      <c r="AC70" s="10" t="n">
        <v>1.854838033372326</v>
      </c>
      <c r="AD70" s="10" t="n">
        <v>1.863334867717367</v>
      </c>
      <c r="AE70" s="10" t="n">
        <v>1.870332789346588</v>
      </c>
      <c r="AF70" s="10" t="n">
        <v>1.875865087499277</v>
      </c>
      <c r="AG70" s="10" t="n">
        <v>1.8799656862137</v>
      </c>
      <c r="AH70" s="10" t="n">
        <v>1.882669454130828</v>
      </c>
      <c r="AI70" s="10" t="n">
        <v>1.884013898886062</v>
      </c>
      <c r="AJ70" s="10" t="n">
        <v>1.884040364740797</v>
      </c>
      <c r="AK70" s="10" t="n">
        <v>1.882793751141721</v>
      </c>
      <c r="AL70" s="10" t="n">
        <v>1.880322341275972</v>
      </c>
      <c r="AM70" s="10" t="n">
        <v>1.876679012271565</v>
      </c>
      <c r="AN70" s="10" t="n">
        <v>1.871922086560647</v>
      </c>
      <c r="AO70" s="10" t="n">
        <v>1.866115106736099</v>
      </c>
      <c r="AP70" s="10" t="n">
        <v>1.859326611834204</v>
      </c>
      <c r="AQ70" s="10" t="n">
        <v>1.85162939950221</v>
      </c>
      <c r="AR70" s="10" t="n">
        <v>1.843099671199161</v>
      </c>
      <c r="AS70" s="10" t="n">
        <v>1.833816667728073</v>
      </c>
      <c r="AT70" s="10" t="n">
        <v>1.82386233747293</v>
      </c>
      <c r="AU70" s="10" t="n">
        <v>1.813320405012255</v>
      </c>
    </row>
    <row r="71">
      <c r="A71" s="9" t="n">
        <v>-54</v>
      </c>
      <c r="B71" s="7" t="n">
        <v>43097</v>
      </c>
      <c r="C71" s="10" t="n">
        <v>0.4291048407851497</v>
      </c>
      <c r="D71" s="10" t="n">
        <v>0.4737188006201408</v>
      </c>
      <c r="E71" s="10" t="n">
        <v>0.5245876921087267</v>
      </c>
      <c r="F71" s="10" t="n">
        <v>0.5791950581476885</v>
      </c>
      <c r="G71" s="10" t="n">
        <v>0.6357318383440879</v>
      </c>
      <c r="H71" s="10" t="n">
        <v>0.6929705089477591</v>
      </c>
      <c r="I71" s="10" t="n">
        <v>0.7500796692498274</v>
      </c>
      <c r="J71" s="10" t="n">
        <v>0.806535257304946</v>
      </c>
      <c r="K71" s="10" t="n">
        <v>0.8620505935763512</v>
      </c>
      <c r="L71" s="10" t="n">
        <v>0.9164987733608689</v>
      </c>
      <c r="M71" s="10" t="n">
        <v>0.9698374253751368</v>
      </c>
      <c r="N71" s="10" t="n">
        <v>1.022061042229535</v>
      </c>
      <c r="O71" s="10" t="n">
        <v>1.580531290242175</v>
      </c>
      <c r="P71" s="10" t="n">
        <v>1.612293504327222</v>
      </c>
      <c r="Q71" s="10" t="n">
        <v>1.6422669142081</v>
      </c>
      <c r="R71" s="10" t="n">
        <v>1.670446736368238</v>
      </c>
      <c r="S71" s="10" t="n">
        <v>1.696836327997103</v>
      </c>
      <c r="T71" s="10" t="n">
        <v>1.721446000179032</v>
      </c>
      <c r="U71" s="10" t="n">
        <v>1.744291991994317</v>
      </c>
      <c r="V71" s="10" t="n">
        <v>1.765395477183142</v>
      </c>
      <c r="W71" s="10" t="n">
        <v>1.784781533609096</v>
      </c>
      <c r="X71" s="10" t="n">
        <v>1.802478514845354</v>
      </c>
      <c r="Y71" s="10" t="n">
        <v>1.818517060380648</v>
      </c>
      <c r="Z71" s="10" t="n">
        <v>1.832928492478382</v>
      </c>
      <c r="AA71" s="10" t="n">
        <v>1.845744397384008</v>
      </c>
      <c r="AB71" s="10" t="n">
        <v>1.856996590889525</v>
      </c>
      <c r="AC71" s="10" t="n">
        <v>1.866717091003956</v>
      </c>
      <c r="AD71" s="10" t="n">
        <v>1.874938047292392</v>
      </c>
      <c r="AE71" s="10" t="n">
        <v>1.881691342735034</v>
      </c>
      <c r="AF71" s="10" t="n">
        <v>1.88700858750741</v>
      </c>
      <c r="AG71" s="10" t="n">
        <v>1.89092178712818</v>
      </c>
      <c r="AH71" s="10" t="n">
        <v>1.893463687486309</v>
      </c>
      <c r="AI71" s="10" t="n">
        <v>1.894669506337168</v>
      </c>
      <c r="AJ71" s="10" t="n">
        <v>1.894578143381224</v>
      </c>
      <c r="AK71" s="10" t="n">
        <v>1.893231912262983</v>
      </c>
      <c r="AL71" s="10" t="n">
        <v>1.890676395461039</v>
      </c>
      <c r="AM71" s="10" t="n">
        <v>1.886961748878331</v>
      </c>
      <c r="AN71" s="10" t="n">
        <v>1.882143611266471</v>
      </c>
      <c r="AO71" s="10" t="n">
        <v>1.876282926774958</v>
      </c>
      <c r="AP71" s="10" t="n">
        <v>1.86944578263619</v>
      </c>
      <c r="AQ71" s="10" t="n">
        <v>1.861702738708333</v>
      </c>
      <c r="AR71" s="10" t="n">
        <v>1.853128062992502</v>
      </c>
      <c r="AS71" s="10" t="n">
        <v>1.843799357825034</v>
      </c>
      <c r="AT71" s="10" t="n">
        <v>1.833797210836054</v>
      </c>
      <c r="AU71" s="10" t="n">
        <v>1.823204313339879</v>
      </c>
    </row>
    <row r="72">
      <c r="A72" s="9" t="n">
        <v>-53</v>
      </c>
      <c r="B72" s="7" t="n">
        <v>43098</v>
      </c>
      <c r="C72" s="10" t="n">
        <v>0.4249838570275202</v>
      </c>
      <c r="D72" s="10" t="n">
        <v>0.4685709522158559</v>
      </c>
      <c r="E72" s="10" t="n">
        <v>0.5189438326972791</v>
      </c>
      <c r="F72" s="10" t="n">
        <v>0.5733626373477677</v>
      </c>
      <c r="G72" s="10" t="n">
        <v>0.6298869633198783</v>
      </c>
      <c r="H72" s="10" t="n">
        <v>0.6871994582666936</v>
      </c>
      <c r="I72" s="10" t="n">
        <v>0.7444086506903466</v>
      </c>
      <c r="J72" s="10" t="n">
        <v>0.8009501562200602</v>
      </c>
      <c r="K72" s="10" t="n">
        <v>0.8565105466647657</v>
      </c>
      <c r="L72" s="10" t="n">
        <v>0.9109474155083068</v>
      </c>
      <c r="M72" s="10" t="n">
        <v>0.9642088771680383</v>
      </c>
      <c r="N72" s="10" t="n">
        <v>1.016283830391858</v>
      </c>
      <c r="O72" s="10" t="n">
        <v>1.567990299828687</v>
      </c>
      <c r="P72" s="10" t="n">
        <v>1.599157808540857</v>
      </c>
      <c r="Q72" s="10" t="n">
        <v>1.628563087518082</v>
      </c>
      <c r="R72" s="10" t="n">
        <v>1.656204050848592</v>
      </c>
      <c r="S72" s="10" t="n">
        <v>1.682086007964296</v>
      </c>
      <c r="T72" s="10" t="n">
        <v>1.706220596090357</v>
      </c>
      <c r="U72" s="10" t="n">
        <v>1.728624848215779</v>
      </c>
      <c r="V72" s="10" t="n">
        <v>1.749320362566261</v>
      </c>
      <c r="W72" s="10" t="n">
        <v>1.768332534619726</v>
      </c>
      <c r="X72" s="10" t="n">
        <v>1.785689994987535</v>
      </c>
      <c r="Y72" s="10" t="n">
        <v>1.801423520805572</v>
      </c>
      <c r="Z72" s="10" t="n">
        <v>1.815564279764172</v>
      </c>
      <c r="AA72" s="10" t="n">
        <v>1.828143423806927</v>
      </c>
      <c r="AB72" s="10" t="n">
        <v>1.839192089017466</v>
      </c>
      <c r="AC72" s="10" t="n">
        <v>1.848741397498753</v>
      </c>
      <c r="AD72" s="10" t="n">
        <v>1.856822383252047</v>
      </c>
      <c r="AE72" s="10" t="n">
        <v>1.86346542205834</v>
      </c>
      <c r="AF72" s="10" t="n">
        <v>1.868700208239075</v>
      </c>
      <c r="AG72" s="10" t="n">
        <v>1.872556603443581</v>
      </c>
      <c r="AH72" s="10" t="n">
        <v>1.875065060457461</v>
      </c>
      <c r="AI72" s="10" t="n">
        <v>1.876258484401782</v>
      </c>
      <c r="AJ72" s="10" t="n">
        <v>1.87617346461239</v>
      </c>
      <c r="AK72" s="10" t="n">
        <v>1.874850001062639</v>
      </c>
      <c r="AL72" s="10" t="n">
        <v>1.872331387214208</v>
      </c>
      <c r="AM72" s="10" t="n">
        <v>1.868665638939929</v>
      </c>
      <c r="AN72" s="10" t="n">
        <v>1.863906429095354</v>
      </c>
      <c r="AO72" s="10" t="n">
        <v>1.858112909141529</v>
      </c>
      <c r="AP72" s="10" t="n">
        <v>1.851349540243752</v>
      </c>
      <c r="AQ72" s="10" t="n">
        <v>1.843685415380212</v>
      </c>
      <c r="AR72" s="10" t="n">
        <v>1.835193510435386</v>
      </c>
      <c r="AS72" s="10" t="n">
        <v>1.825950302460537</v>
      </c>
      <c r="AT72" s="10" t="n">
        <v>1.816035405736263</v>
      </c>
      <c r="AU72" s="10" t="n">
        <v>1.805530695333854</v>
      </c>
    </row>
    <row r="73">
      <c r="A73" s="9" t="n">
        <v>-52</v>
      </c>
      <c r="B73" s="7" t="n">
        <v>43102</v>
      </c>
      <c r="C73" s="10" t="n">
        <v>0.4906494034894019</v>
      </c>
      <c r="D73" s="10" t="n">
        <v>0.5352878935766026</v>
      </c>
      <c r="E73" s="10" t="n">
        <v>0.5872932402383604</v>
      </c>
      <c r="F73" s="10" t="n">
        <v>0.6437258751974766</v>
      </c>
      <c r="G73" s="10" t="n">
        <v>0.7025094103825428</v>
      </c>
      <c r="H73" s="10" t="n">
        <v>0.7622161896396425</v>
      </c>
      <c r="I73" s="10" t="n">
        <v>0.8218630416912166</v>
      </c>
      <c r="J73" s="10" t="n">
        <v>0.8808066405675373</v>
      </c>
      <c r="K73" s="10" t="n">
        <v>0.9386628355444008</v>
      </c>
      <c r="L73" s="10" t="n">
        <v>0.9952257778881611</v>
      </c>
      <c r="M73" s="10" t="n">
        <v>1.050391237981521</v>
      </c>
      <c r="N73" s="10" t="n">
        <v>1.104108134054326</v>
      </c>
      <c r="O73" s="10" t="n">
        <v>1.656480035617961</v>
      </c>
      <c r="P73" s="10" t="n">
        <v>1.686984789262665</v>
      </c>
      <c r="Q73" s="10" t="n">
        <v>1.715737694453494</v>
      </c>
      <c r="R73" s="10" t="n">
        <v>1.74274719399762</v>
      </c>
      <c r="S73" s="10" t="n">
        <v>1.768026376500769</v>
      </c>
      <c r="T73" s="10" t="n">
        <v>1.79159231911002</v>
      </c>
      <c r="U73" s="10" t="n">
        <v>1.813465500504709</v>
      </c>
      <c r="V73" s="10" t="n">
        <v>1.833669296793297</v>
      </c>
      <c r="W73" s="10" t="n">
        <v>1.85222953883236</v>
      </c>
      <c r="X73" s="10" t="n">
        <v>1.869174155755086</v>
      </c>
      <c r="Y73" s="10" t="n">
        <v>1.884532306224905</v>
      </c>
      <c r="Z73" s="10" t="n">
        <v>1.898332912895559</v>
      </c>
      <c r="AA73" s="10" t="n">
        <v>1.910604380333011</v>
      </c>
      <c r="AB73" s="10" t="n">
        <v>1.921374656500175</v>
      </c>
      <c r="AC73" s="10" t="n">
        <v>1.930671287106299</v>
      </c>
      <c r="AD73" s="10" t="n">
        <v>1.938521403108054</v>
      </c>
      <c r="AE73" s="10" t="n">
        <v>1.944951323439299</v>
      </c>
      <c r="AF73" s="10" t="n">
        <v>1.949986682756811</v>
      </c>
      <c r="AG73" s="10" t="n">
        <v>1.953653339208936</v>
      </c>
      <c r="AH73" s="10" t="n">
        <v>1.955977831614071</v>
      </c>
      <c r="AI73" s="10" t="n">
        <v>1.956989431287003</v>
      </c>
      <c r="AJ73" s="10" t="n">
        <v>1.956721480108079</v>
      </c>
      <c r="AK73" s="10" t="n">
        <v>1.955211085163969</v>
      </c>
      <c r="AL73" s="10" t="n">
        <v>1.952498987747347</v>
      </c>
      <c r="AM73" s="10" t="n">
        <v>1.948631098913048</v>
      </c>
      <c r="AN73" s="10" t="n">
        <v>1.943659485750958</v>
      </c>
      <c r="AO73" s="10" t="n">
        <v>1.937642186548855</v>
      </c>
      <c r="AP73" s="10" t="n">
        <v>1.930643038151183</v>
      </c>
      <c r="AQ73" s="10" t="n">
        <v>1.922730934099003</v>
      </c>
      <c r="AR73" s="10" t="n">
        <v>1.913979008258343</v>
      </c>
      <c r="AS73" s="10" t="n">
        <v>1.904464218874274</v>
      </c>
      <c r="AT73" s="10" t="n">
        <v>1.894266950978609</v>
      </c>
      <c r="AU73" s="10" t="n">
        <v>1.883470072096376</v>
      </c>
    </row>
    <row r="74">
      <c r="A74" s="9" t="n">
        <v>-51</v>
      </c>
      <c r="B74" s="7" t="n">
        <v>43103</v>
      </c>
      <c r="C74" s="10" t="n">
        <v>0.4599242136879003</v>
      </c>
      <c r="D74" s="10" t="n">
        <v>0.4991516961292844</v>
      </c>
      <c r="E74" s="10" t="n">
        <v>0.5466504094088095</v>
      </c>
      <c r="F74" s="10" t="n">
        <v>0.599332539240354</v>
      </c>
      <c r="G74" s="10" t="n">
        <v>0.6549694980412522</v>
      </c>
      <c r="H74" s="10" t="n">
        <v>0.7120055747233148</v>
      </c>
      <c r="I74" s="10" t="n">
        <v>0.7693634680520373</v>
      </c>
      <c r="J74" s="10" t="n">
        <v>0.826335991548753</v>
      </c>
      <c r="K74" s="10" t="n">
        <v>0.8824959536893684</v>
      </c>
      <c r="L74" s="10" t="n">
        <v>0.937608359680622</v>
      </c>
      <c r="M74" s="10" t="n">
        <v>0.9915483180766503</v>
      </c>
      <c r="N74" s="10" t="n">
        <v>1.044248403407077</v>
      </c>
      <c r="O74" s="10" t="n">
        <v>1.595323710008117</v>
      </c>
      <c r="P74" s="10" t="n">
        <v>1.626075732659342</v>
      </c>
      <c r="Q74" s="10" t="n">
        <v>1.65505654256296</v>
      </c>
      <c r="R74" s="10" t="n">
        <v>1.682267446136515</v>
      </c>
      <c r="S74" s="10" t="n">
        <v>1.707716257104156</v>
      </c>
      <c r="T74" s="10" t="n">
        <v>1.731416366985867</v>
      </c>
      <c r="U74" s="10" t="n">
        <v>1.753385927515018</v>
      </c>
      <c r="V74" s="10" t="n">
        <v>1.77364727425555</v>
      </c>
      <c r="W74" s="10" t="n">
        <v>1.792226572373479</v>
      </c>
      <c r="X74" s="10" t="n">
        <v>1.80915333158852</v>
      </c>
      <c r="Y74" s="10" t="n">
        <v>1.824459158379462</v>
      </c>
      <c r="Z74" s="10" t="n">
        <v>1.838175725582677</v>
      </c>
      <c r="AA74" s="10" t="n">
        <v>1.850334349994368</v>
      </c>
      <c r="AB74" s="10" t="n">
        <v>1.860966033633135</v>
      </c>
      <c r="AC74" s="10" t="n">
        <v>1.870101501194533</v>
      </c>
      <c r="AD74" s="10" t="n">
        <v>1.877771114308888</v>
      </c>
      <c r="AE74" s="10" t="n">
        <v>1.884004034613139</v>
      </c>
      <c r="AF74" s="10" t="n">
        <v>1.888828154244035</v>
      </c>
      <c r="AG74" s="10" t="n">
        <v>1.892271214879156</v>
      </c>
      <c r="AH74" s="10" t="n">
        <v>1.894361350495533</v>
      </c>
      <c r="AI74" s="10" t="n">
        <v>1.895129202406942</v>
      </c>
      <c r="AJ74" s="10" t="n">
        <v>1.894609285959856</v>
      </c>
      <c r="AK74" s="10" t="n">
        <v>1.892839703429114</v>
      </c>
      <c r="AL74" s="10" t="n">
        <v>1.889862044321345</v>
      </c>
      <c r="AM74" s="10" t="n">
        <v>1.885723014730647</v>
      </c>
      <c r="AN74" s="10" t="n">
        <v>1.880475475183007</v>
      </c>
      <c r="AO74" s="10" t="n">
        <v>1.874178301029451</v>
      </c>
      <c r="AP74" s="10" t="n">
        <v>1.866896259686535</v>
      </c>
      <c r="AQ74" s="10" t="n">
        <v>1.8586992874333</v>
      </c>
      <c r="AR74" s="10" t="n">
        <v>1.84966169567789</v>
      </c>
      <c r="AS74" s="10" t="n">
        <v>1.839861748455687</v>
      </c>
      <c r="AT74" s="10" t="n">
        <v>1.829381258769189</v>
      </c>
      <c r="AU74" s="10" t="n">
        <v>1.818304672071946</v>
      </c>
    </row>
    <row r="75">
      <c r="A75" s="9" t="n">
        <v>-50</v>
      </c>
      <c r="B75" s="7" t="n">
        <v>43104</v>
      </c>
      <c r="C75" s="10" t="n">
        <v>0.4863523372624118</v>
      </c>
      <c r="D75" s="10" t="n">
        <v>0.524028657509786</v>
      </c>
      <c r="E75" s="10" t="n">
        <v>0.5699931976699852</v>
      </c>
      <c r="F75" s="10" t="n">
        <v>0.6214190070384574</v>
      </c>
      <c r="G75" s="10" t="n">
        <v>0.6761532106626984</v>
      </c>
      <c r="H75" s="10" t="n">
        <v>0.7326177220592865</v>
      </c>
      <c r="I75" s="10" t="n">
        <v>0.789676836526065</v>
      </c>
      <c r="J75" s="10" t="n">
        <v>0.8465582640881205</v>
      </c>
      <c r="K75" s="10" t="n">
        <v>0.9027727399733708</v>
      </c>
      <c r="L75" s="10" t="n">
        <v>0.9580292544044842</v>
      </c>
      <c r="M75" s="10" t="n">
        <v>1.012155217615015</v>
      </c>
      <c r="N75" s="10" t="n">
        <v>1.065043042737707</v>
      </c>
      <c r="O75" s="10" t="n">
        <v>1.613407398467847</v>
      </c>
      <c r="P75" s="10" t="n">
        <v>1.643702830572967</v>
      </c>
      <c r="Q75" s="10" t="n">
        <v>1.672236185636973</v>
      </c>
      <c r="R75" s="10" t="n">
        <v>1.699014932597052</v>
      </c>
      <c r="S75" s="10" t="n">
        <v>1.724051541755091</v>
      </c>
      <c r="T75" s="10" t="n">
        <v>1.747362765371614</v>
      </c>
      <c r="U75" s="10" t="n">
        <v>1.768969008562373</v>
      </c>
      <c r="V75" s="10" t="n">
        <v>1.788893829968156</v>
      </c>
      <c r="W75" s="10" t="n">
        <v>1.80716355242604</v>
      </c>
      <c r="X75" s="10" t="n">
        <v>1.823806882422902</v>
      </c>
      <c r="Y75" s="10" t="n">
        <v>1.838853910775603</v>
      </c>
      <c r="Z75" s="10" t="n">
        <v>1.852334458323359</v>
      </c>
      <c r="AA75" s="10" t="n">
        <v>1.864277767116674</v>
      </c>
      <c r="AB75" s="10" t="n">
        <v>1.874712569295945</v>
      </c>
      <c r="AC75" s="10" t="n">
        <v>1.883667147778899</v>
      </c>
      <c r="AD75" s="10" t="n">
        <v>1.891169302145403</v>
      </c>
      <c r="AE75" s="10" t="n">
        <v>1.897245773593809</v>
      </c>
      <c r="AF75" s="10" t="n">
        <v>1.901922339168735</v>
      </c>
      <c r="AG75" s="10" t="n">
        <v>1.905224873950632</v>
      </c>
      <c r="AH75" s="10" t="n">
        <v>1.907179863720603</v>
      </c>
      <c r="AI75" s="10" t="n">
        <v>1.907816526096452</v>
      </c>
      <c r="AJ75" s="10" t="n">
        <v>1.907168156598204</v>
      </c>
      <c r="AK75" s="10" t="n">
        <v>1.905271819563347</v>
      </c>
      <c r="AL75" s="10" t="n">
        <v>1.902168236992935</v>
      </c>
      <c r="AM75" s="10" t="n">
        <v>1.897903421240672</v>
      </c>
      <c r="AN75" s="10" t="n">
        <v>1.892529695918563</v>
      </c>
      <c r="AO75" s="10" t="n">
        <v>1.886105572101158</v>
      </c>
      <c r="AP75" s="10" t="n">
        <v>1.878695644569228</v>
      </c>
      <c r="AQ75" s="10" t="n">
        <v>1.87036983303252</v>
      </c>
      <c r="AR75" s="10" t="n">
        <v>1.861202549282359</v>
      </c>
      <c r="AS75" s="10" t="n">
        <v>1.851272261937971</v>
      </c>
      <c r="AT75" s="10" t="n">
        <v>1.84066108554633</v>
      </c>
      <c r="AU75" s="10" t="n">
        <v>1.829453869293965</v>
      </c>
    </row>
    <row r="76">
      <c r="A76" s="9" t="n">
        <v>-49</v>
      </c>
      <c r="B76" s="7" t="n">
        <v>43105</v>
      </c>
      <c r="C76" s="10" t="n">
        <v>0.4898136190407221</v>
      </c>
      <c r="D76" s="10" t="n">
        <v>0.5270188908616418</v>
      </c>
      <c r="E76" s="10" t="n">
        <v>0.572439410674159</v>
      </c>
      <c r="F76" s="10" t="n">
        <v>0.6233580727211303</v>
      </c>
      <c r="G76" s="10" t="n">
        <v>0.6776827782186948</v>
      </c>
      <c r="H76" s="10" t="n">
        <v>0.7338566216738539</v>
      </c>
      <c r="I76" s="10" t="n">
        <v>0.790744567725571</v>
      </c>
      <c r="J76" s="10" t="n">
        <v>0.8475662771894925</v>
      </c>
      <c r="K76" s="10" t="n">
        <v>0.9038163072091109</v>
      </c>
      <c r="L76" s="10" t="n">
        <v>0.9591839805099465</v>
      </c>
      <c r="M76" s="10" t="n">
        <v>1.013475854590577</v>
      </c>
      <c r="N76" s="10" t="n">
        <v>1.066563194179248</v>
      </c>
      <c r="O76" s="10" t="n">
        <v>1.6158850988399</v>
      </c>
      <c r="P76" s="10" t="n">
        <v>1.646002596310089</v>
      </c>
      <c r="Q76" s="10" t="n">
        <v>1.674324729455325</v>
      </c>
      <c r="R76" s="10" t="n">
        <v>1.700862587765208</v>
      </c>
      <c r="S76" s="10" t="n">
        <v>1.725632760178768</v>
      </c>
      <c r="T76" s="10" t="n">
        <v>1.748656537324306</v>
      </c>
      <c r="U76" s="10" t="n">
        <v>1.769959219837374</v>
      </c>
      <c r="V76" s="10" t="n">
        <v>1.789569536459041</v>
      </c>
      <c r="W76" s="10" t="n">
        <v>1.807519149061159</v>
      </c>
      <c r="X76" s="10" t="n">
        <v>1.82384222512244</v>
      </c>
      <c r="Y76" s="10" t="n">
        <v>1.838574169358071</v>
      </c>
      <c r="Z76" s="10" t="n">
        <v>1.851749516316429</v>
      </c>
      <c r="AA76" s="10" t="n">
        <v>1.863401604955442</v>
      </c>
      <c r="AB76" s="10" t="n">
        <v>1.873562722568557</v>
      </c>
      <c r="AC76" s="10" t="n">
        <v>1.882264229941631</v>
      </c>
      <c r="AD76" s="10" t="n">
        <v>1.889536523186816</v>
      </c>
      <c r="AE76" s="10" t="n">
        <v>1.895408122159221</v>
      </c>
      <c r="AF76" s="10" t="n">
        <v>1.899905704513304</v>
      </c>
      <c r="AG76" s="10" t="n">
        <v>1.903055452582527</v>
      </c>
      <c r="AH76" s="10" t="n">
        <v>1.904883688094668</v>
      </c>
      <c r="AI76" s="10" t="n">
        <v>1.905419105249151</v>
      </c>
      <c r="AJ76" s="10" t="n">
        <v>1.904694141314103</v>
      </c>
      <c r="AK76" s="10" t="n">
        <v>1.90274469525863</v>
      </c>
      <c r="AL76" s="10" t="n">
        <v>1.899610070943922</v>
      </c>
      <c r="AM76" s="10" t="n">
        <v>1.895334725275988</v>
      </c>
      <c r="AN76" s="10" t="n">
        <v>1.889969318780192</v>
      </c>
      <c r="AO76" s="10" t="n">
        <v>1.883570625859345</v>
      </c>
      <c r="AP76" s="10" t="n">
        <v>1.876201454719412</v>
      </c>
      <c r="AQ76" s="10" t="n">
        <v>1.867929887652582</v>
      </c>
      <c r="AR76" s="10" t="n">
        <v>1.858828459206955</v>
      </c>
      <c r="AS76" s="10" t="n">
        <v>1.848973727283965</v>
      </c>
      <c r="AT76" s="10" t="n">
        <v>1.83844586097718</v>
      </c>
      <c r="AU76" s="10" t="n">
        <v>1.827327722837171</v>
      </c>
    </row>
    <row r="77">
      <c r="A77" s="9" t="n">
        <v>-48</v>
      </c>
      <c r="B77" s="7" t="n">
        <v>43108</v>
      </c>
      <c r="C77" s="10" t="n">
        <v>0.4935978867905138</v>
      </c>
      <c r="D77" s="10" t="n">
        <v>0.5302513615819662</v>
      </c>
      <c r="E77" s="10" t="n">
        <v>0.5748774293666149</v>
      </c>
      <c r="F77" s="10" t="n">
        <v>0.6248016897783105</v>
      </c>
      <c r="G77" s="10" t="n">
        <v>0.6779721967566497</v>
      </c>
      <c r="H77" s="10" t="n">
        <v>0.7328708147748082</v>
      </c>
      <c r="I77" s="10" t="n">
        <v>0.7884025626323805</v>
      </c>
      <c r="J77" s="10" t="n">
        <v>0.8438263425758776</v>
      </c>
      <c r="K77" s="10" t="n">
        <v>0.8986720328446171</v>
      </c>
      <c r="L77" s="10" t="n">
        <v>0.9526601012620632</v>
      </c>
      <c r="M77" s="10" t="n">
        <v>1.005622868438867</v>
      </c>
      <c r="N77" s="10" t="n">
        <v>1.057451931540766</v>
      </c>
      <c r="O77" s="10" t="n">
        <v>1.597517962393578</v>
      </c>
      <c r="P77" s="10" t="n">
        <v>1.627267658661002</v>
      </c>
      <c r="Q77" s="10" t="n">
        <v>1.655244827674329</v>
      </c>
      <c r="R77" s="10" t="n">
        <v>1.68145827515748</v>
      </c>
      <c r="S77" s="10" t="n">
        <v>1.705922900736828</v>
      </c>
      <c r="T77" s="10" t="n">
        <v>1.728658809437429</v>
      </c>
      <c r="U77" s="10" t="n">
        <v>1.749690544972432</v>
      </c>
      <c r="V77" s="10" t="n">
        <v>1.769046414030314</v>
      </c>
      <c r="W77" s="10" t="n">
        <v>1.786757877956412</v>
      </c>
      <c r="X77" s="10" t="n">
        <v>1.802859077165799</v>
      </c>
      <c r="Y77" s="10" t="n">
        <v>1.817385444586947</v>
      </c>
      <c r="Z77" s="10" t="n">
        <v>1.830371419331661</v>
      </c>
      <c r="AA77" s="10" t="n">
        <v>1.841850104768962</v>
      </c>
      <c r="AB77" s="10" t="n">
        <v>1.851853429500425</v>
      </c>
      <c r="AC77" s="10" t="n">
        <v>1.860412287161759</v>
      </c>
      <c r="AD77" s="10" t="n">
        <v>1.867556495747752</v>
      </c>
      <c r="AE77" s="10" t="n">
        <v>1.873313809034365</v>
      </c>
      <c r="AF77" s="10" t="n">
        <v>1.877709941696549</v>
      </c>
      <c r="AG77" s="10" t="n">
        <v>1.880769973079081</v>
      </c>
      <c r="AH77" s="10" t="n">
        <v>1.882519008422517</v>
      </c>
      <c r="AI77" s="10" t="n">
        <v>1.882984438629014</v>
      </c>
      <c r="AJ77" s="10" t="n">
        <v>1.882197311117165</v>
      </c>
      <c r="AK77" s="10" t="n">
        <v>1.880192054991839</v>
      </c>
      <c r="AL77" s="10" t="n">
        <v>1.877006444612292</v>
      </c>
      <c r="AM77" s="10" t="n">
        <v>1.872683413604154</v>
      </c>
      <c r="AN77" s="10" t="n">
        <v>1.867272133158598</v>
      </c>
      <c r="AO77" s="10" t="n">
        <v>1.860827957084095</v>
      </c>
      <c r="AP77" s="10" t="n">
        <v>1.853412379811703</v>
      </c>
      <c r="AQ77" s="10" t="n">
        <v>1.845092326903391</v>
      </c>
      <c r="AR77" s="10" t="n">
        <v>1.835939394108412</v>
      </c>
      <c r="AS77" s="10" t="n">
        <v>1.826029409573711</v>
      </c>
      <c r="AT77" s="10" t="n">
        <v>1.815442012842016</v>
      </c>
      <c r="AU77" s="10" t="n">
        <v>1.804259787616161</v>
      </c>
    </row>
    <row r="78">
      <c r="A78" s="9" t="n">
        <v>-47</v>
      </c>
      <c r="B78" s="7" t="n">
        <v>43109</v>
      </c>
      <c r="C78" s="10" t="n">
        <v>0.5249609912302153</v>
      </c>
      <c r="D78" s="10" t="n">
        <v>0.5628671565643902</v>
      </c>
      <c r="E78" s="10" t="n">
        <v>0.6091446276608613</v>
      </c>
      <c r="F78" s="10" t="n">
        <v>0.6608859720239219</v>
      </c>
      <c r="G78" s="10" t="n">
        <v>0.7159124600998388</v>
      </c>
      <c r="H78" s="10" t="n">
        <v>0.7726450998625239</v>
      </c>
      <c r="I78" s="10" t="n">
        <v>0.8299560019534998</v>
      </c>
      <c r="J78" s="10" t="n">
        <v>0.8870796430792137</v>
      </c>
      <c r="K78" s="10" t="n">
        <v>0.9435223923158965</v>
      </c>
      <c r="L78" s="10" t="n">
        <v>0.9989809555203488</v>
      </c>
      <c r="M78" s="10" t="n">
        <v>1.053267423987192</v>
      </c>
      <c r="N78" s="10" t="n">
        <v>1.106258822984463</v>
      </c>
      <c r="O78" s="10" t="n">
        <v>1.649320482564747</v>
      </c>
      <c r="P78" s="10" t="n">
        <v>1.678776289470001</v>
      </c>
      <c r="Q78" s="10" t="n">
        <v>1.706442507190732</v>
      </c>
      <c r="R78" s="10" t="n">
        <v>1.732336518253342</v>
      </c>
      <c r="S78" s="10" t="n">
        <v>1.756480407348179</v>
      </c>
      <c r="T78" s="10" t="n">
        <v>1.778900265224879</v>
      </c>
      <c r="U78" s="10" t="n">
        <v>1.799625594659775</v>
      </c>
      <c r="V78" s="10" t="n">
        <v>1.818688658206281</v>
      </c>
      <c r="W78" s="10" t="n">
        <v>1.836123759649263</v>
      </c>
      <c r="X78" s="10" t="n">
        <v>1.851966863960977</v>
      </c>
      <c r="Y78" s="10" t="n">
        <v>1.866254341156012</v>
      </c>
      <c r="Z78" s="10" t="n">
        <v>1.87902081271395</v>
      </c>
      <c r="AA78" s="10" t="n">
        <v>1.890298914365931</v>
      </c>
      <c r="AB78" s="10" t="n">
        <v>1.900119536472641</v>
      </c>
      <c r="AC78" s="10" t="n">
        <v>1.908512031749924</v>
      </c>
      <c r="AD78" s="10" t="n">
        <v>1.915504237987673</v>
      </c>
      <c r="AE78" s="10" t="n">
        <v>1.921121590399904</v>
      </c>
      <c r="AF78" s="10" t="n">
        <v>1.925387230427789</v>
      </c>
      <c r="AG78" s="10" t="n">
        <v>1.928323429165445</v>
      </c>
      <c r="AH78" s="10" t="n">
        <v>1.929952287578755</v>
      </c>
      <c r="AI78" s="10" t="n">
        <v>1.930298125037295</v>
      </c>
      <c r="AJ78" s="10" t="n">
        <v>1.929388913964262</v>
      </c>
      <c r="AK78" s="10" t="n">
        <v>1.9272560069193</v>
      </c>
      <c r="AL78" s="10" t="n">
        <v>1.923934125005581</v>
      </c>
      <c r="AM78" s="10" t="n">
        <v>1.919463314302783</v>
      </c>
      <c r="AN78" s="10" t="n">
        <v>1.913890097264532</v>
      </c>
      <c r="AO78" s="10" t="n">
        <v>1.907267452599118</v>
      </c>
      <c r="AP78" s="10" t="n">
        <v>1.899654813335999</v>
      </c>
      <c r="AQ78" s="10" t="n">
        <v>1.89111742778216</v>
      </c>
      <c r="AR78" s="10" t="n">
        <v>1.881725683612948</v>
      </c>
      <c r="AS78" s="10" t="n">
        <v>1.871554644620314</v>
      </c>
      <c r="AT78" s="10" t="n">
        <v>1.860683606124745</v>
      </c>
      <c r="AU78" s="10" t="n">
        <v>1.849195295739416</v>
      </c>
    </row>
    <row r="79">
      <c r="A79" s="9" t="n">
        <v>-46</v>
      </c>
      <c r="B79" s="7" t="n">
        <v>43110</v>
      </c>
      <c r="C79" s="10" t="n">
        <v>0.533245473228577</v>
      </c>
      <c r="D79" s="10" t="n">
        <v>0.5709499414303967</v>
      </c>
      <c r="E79" s="10" t="n">
        <v>0.617207381397132</v>
      </c>
      <c r="F79" s="10" t="n">
        <v>0.6690099024926163</v>
      </c>
      <c r="G79" s="10" t="n">
        <v>0.7241394117003046</v>
      </c>
      <c r="H79" s="10" t="n">
        <v>0.7810139884566443</v>
      </c>
      <c r="I79" s="10" t="n">
        <v>0.8385165958850619</v>
      </c>
      <c r="J79" s="10" t="n">
        <v>0.8958915176056259</v>
      </c>
      <c r="K79" s="10" t="n">
        <v>0.9526491918179941</v>
      </c>
      <c r="L79" s="10" t="n">
        <v>1.008484346260892</v>
      </c>
      <c r="M79" s="10" t="n">
        <v>1.063201401195297</v>
      </c>
      <c r="N79" s="10" t="n">
        <v>1.116664992644374</v>
      </c>
      <c r="O79" s="10" t="n">
        <v>1.663552201053211</v>
      </c>
      <c r="P79" s="10" t="n">
        <v>1.692989113555014</v>
      </c>
      <c r="Q79" s="10" t="n">
        <v>1.72060653517935</v>
      </c>
      <c r="R79" s="10" t="n">
        <v>1.7464259846565</v>
      </c>
      <c r="S79" s="10" t="n">
        <v>1.770473350881262</v>
      </c>
      <c r="T79" s="10" t="n">
        <v>1.792778243637786</v>
      </c>
      <c r="U79" s="10" t="n">
        <v>1.8133734397126</v>
      </c>
      <c r="V79" s="10" t="n">
        <v>1.832294210517754</v>
      </c>
      <c r="W79" s="10" t="n">
        <v>1.849577533648326</v>
      </c>
      <c r="X79" s="10" t="n">
        <v>1.865261734946358</v>
      </c>
      <c r="Y79" s="10" t="n">
        <v>1.879385257225448</v>
      </c>
      <c r="Z79" s="10" t="n">
        <v>1.891984536546494</v>
      </c>
      <c r="AA79" s="10" t="n">
        <v>1.903093801900367</v>
      </c>
      <c r="AB79" s="10" t="n">
        <v>1.912745342681748</v>
      </c>
      <c r="AC79" s="10" t="n">
        <v>1.920969739527407</v>
      </c>
      <c r="AD79" s="10" t="n">
        <v>1.927795900986664</v>
      </c>
      <c r="AE79" s="10" t="n">
        <v>1.933250169884109</v>
      </c>
      <c r="AF79" s="10" t="n">
        <v>1.937356458663631</v>
      </c>
      <c r="AG79" s="10" t="n">
        <v>1.940137706931114</v>
      </c>
      <c r="AH79" s="10" t="n">
        <v>1.941616596993191</v>
      </c>
      <c r="AI79" s="10" t="n">
        <v>1.941817943610529</v>
      </c>
      <c r="AJ79" s="10" t="n">
        <v>1.940770112258514</v>
      </c>
      <c r="AK79" s="10" t="n">
        <v>1.93850475343302</v>
      </c>
      <c r="AL79" s="10" t="n">
        <v>1.935056802017142</v>
      </c>
      <c r="AM79" s="10" t="n">
        <v>1.930466419879834</v>
      </c>
      <c r="AN79" s="10" t="n">
        <v>1.924780121584567</v>
      </c>
      <c r="AO79" s="10" t="n">
        <v>1.9180507499651</v>
      </c>
      <c r="AP79" s="10" t="n">
        <v>1.910337464092106</v>
      </c>
      <c r="AQ79" s="10" t="n">
        <v>1.901705111115037</v>
      </c>
      <c r="AR79" s="10" t="n">
        <v>1.892223566115742</v>
      </c>
      <c r="AS79" s="10" t="n">
        <v>1.881967279316166</v>
      </c>
      <c r="AT79" s="10" t="n">
        <v>1.871014840487348</v>
      </c>
      <c r="AU79" s="10" t="n">
        <v>1.85944819587568</v>
      </c>
    </row>
    <row r="80">
      <c r="A80" s="9" t="n">
        <v>-45</v>
      </c>
      <c r="B80" s="7" t="n">
        <v>43111</v>
      </c>
      <c r="C80" s="10" t="n">
        <v>0.561485755903381</v>
      </c>
      <c r="D80" s="10" t="n">
        <v>0.6002216066641124</v>
      </c>
      <c r="E80" s="10" t="n">
        <v>0.646879517619618</v>
      </c>
      <c r="F80" s="10" t="n">
        <v>0.6987581819802313</v>
      </c>
      <c r="G80" s="10" t="n">
        <v>0.7537927907089081</v>
      </c>
      <c r="H80" s="10" t="n">
        <v>0.8104827881039198</v>
      </c>
      <c r="I80" s="10" t="n">
        <v>0.8677534728202713</v>
      </c>
      <c r="J80" s="10" t="n">
        <v>0.9248679129424944</v>
      </c>
      <c r="K80" s="10" t="n">
        <v>0.9813408017814124</v>
      </c>
      <c r="L80" s="10" t="n">
        <v>1.036861849928097</v>
      </c>
      <c r="M80" s="10" t="n">
        <v>1.091227053746736</v>
      </c>
      <c r="N80" s="10" t="n">
        <v>1.144292026424046</v>
      </c>
      <c r="O80" s="10" t="n">
        <v>1.680568017127238</v>
      </c>
      <c r="P80" s="10" t="n">
        <v>1.708996747802256</v>
      </c>
      <c r="Q80" s="10" t="n">
        <v>1.735643705461188</v>
      </c>
      <c r="R80" s="10" t="n">
        <v>1.760542218007201</v>
      </c>
      <c r="S80" s="10" t="n">
        <v>1.783727261957257</v>
      </c>
      <c r="T80" s="10" t="n">
        <v>1.805235179215003</v>
      </c>
      <c r="U80" s="10" t="n">
        <v>1.82510346192811</v>
      </c>
      <c r="V80" s="10" t="n">
        <v>1.843370127349524</v>
      </c>
      <c r="W80" s="10" t="n">
        <v>1.860072730126786</v>
      </c>
      <c r="X80" s="10" t="n">
        <v>1.875248205943031</v>
      </c>
      <c r="Y80" s="10" t="n">
        <v>1.888932160206747</v>
      </c>
      <c r="Z80" s="10" t="n">
        <v>1.901157472378533</v>
      </c>
      <c r="AA80" s="10" t="n">
        <v>1.91195430614255</v>
      </c>
      <c r="AB80" s="10" t="n">
        <v>1.921350439429034</v>
      </c>
      <c r="AC80" s="10" t="n">
        <v>1.929371548387244</v>
      </c>
      <c r="AD80" s="10" t="n">
        <v>1.936041352280274</v>
      </c>
      <c r="AE80" s="10" t="n">
        <v>1.941381187474581</v>
      </c>
      <c r="AF80" s="10" t="n">
        <v>1.945410423893646</v>
      </c>
      <c r="AG80" s="10" t="n">
        <v>1.948147871680035</v>
      </c>
      <c r="AH80" s="10" t="n">
        <v>1.949612451068517</v>
      </c>
      <c r="AI80" s="10" t="n">
        <v>1.949825547544926</v>
      </c>
      <c r="AJ80" s="10" t="n">
        <v>1.948812379261798</v>
      </c>
      <c r="AK80" s="10" t="n">
        <v>1.946601700649896</v>
      </c>
      <c r="AL80" s="10" t="n">
        <v>1.943225771465162</v>
      </c>
      <c r="AM80" s="10" t="n">
        <v>1.938722205769564</v>
      </c>
      <c r="AN80" s="10" t="n">
        <v>1.93313501623873</v>
      </c>
      <c r="AO80" s="10" t="n">
        <v>1.926514567505671</v>
      </c>
      <c r="AP80" s="10" t="n">
        <v>1.918917544042898</v>
      </c>
      <c r="AQ80" s="10" t="n">
        <v>1.910406376749105</v>
      </c>
      <c r="AR80" s="10" t="n">
        <v>1.901048650951641</v>
      </c>
      <c r="AS80" s="10" t="n">
        <v>1.890916651658619</v>
      </c>
      <c r="AT80" s="10" t="n">
        <v>1.880086930990118</v>
      </c>
      <c r="AU80" s="10" t="n">
        <v>1.868639610529754</v>
      </c>
    </row>
    <row r="81">
      <c r="A81" s="9" t="n">
        <v>-44</v>
      </c>
      <c r="B81" s="7" t="n">
        <v>43112</v>
      </c>
      <c r="C81" s="10" t="n">
        <v>0.5968783817436685</v>
      </c>
      <c r="D81" s="10" t="n">
        <v>0.6370181658280814</v>
      </c>
      <c r="E81" s="10" t="n">
        <v>0.6841081494347284</v>
      </c>
      <c r="F81" s="10" t="n">
        <v>0.7358003361265399</v>
      </c>
      <c r="G81" s="10" t="n">
        <v>0.79021368827059</v>
      </c>
      <c r="H81" s="10" t="n">
        <v>0.8459710274431076</v>
      </c>
      <c r="I81" s="10" t="n">
        <v>0.9020937840295595</v>
      </c>
      <c r="J81" s="10" t="n">
        <v>0.9579245811849767</v>
      </c>
      <c r="K81" s="10" t="n">
        <v>1.013045022758926</v>
      </c>
      <c r="L81" s="10" t="n">
        <v>1.067197202308105</v>
      </c>
      <c r="M81" s="10" t="n">
        <v>1.120213630483482</v>
      </c>
      <c r="N81" s="10" t="n">
        <v>1.171972564167619</v>
      </c>
      <c r="O81" s="10" t="n">
        <v>1.694077733004456</v>
      </c>
      <c r="P81" s="10" t="n">
        <v>1.721655268771378</v>
      </c>
      <c r="Q81" s="10" t="n">
        <v>1.74751500084336</v>
      </c>
      <c r="R81" s="10" t="n">
        <v>1.771693922592047</v>
      </c>
      <c r="S81" s="10" t="n">
        <v>1.794229064319926</v>
      </c>
      <c r="T81" s="10" t="n">
        <v>1.815157444264679</v>
      </c>
      <c r="U81" s="10" t="n">
        <v>1.834516049722269</v>
      </c>
      <c r="V81" s="10" t="n">
        <v>1.852341220842024</v>
      </c>
      <c r="W81" s="10" t="n">
        <v>1.868667552564248</v>
      </c>
      <c r="X81" s="10" t="n">
        <v>1.883527868211087</v>
      </c>
      <c r="Y81" s="10" t="n">
        <v>1.896952843209951</v>
      </c>
      <c r="Z81" s="10" t="n">
        <v>1.908970119963189</v>
      </c>
      <c r="AA81" s="10" t="n">
        <v>1.919604451863628</v>
      </c>
      <c r="AB81" s="10" t="n">
        <v>1.928878054904857</v>
      </c>
      <c r="AC81" s="10" t="n">
        <v>1.936810909724224</v>
      </c>
      <c r="AD81" s="10" t="n">
        <v>1.943420976155673</v>
      </c>
      <c r="AE81" s="10" t="n">
        <v>1.948724150170958</v>
      </c>
      <c r="AF81" s="10" t="n">
        <v>1.952734868871593</v>
      </c>
      <c r="AG81" s="10" t="n">
        <v>1.955467361614241</v>
      </c>
      <c r="AH81" s="10" t="n">
        <v>1.956936280056028</v>
      </c>
      <c r="AI81" s="10" t="n">
        <v>1.957159127347499</v>
      </c>
      <c r="AJ81" s="10" t="n">
        <v>1.956157599548628</v>
      </c>
      <c r="AK81" s="10" t="n">
        <v>1.95395724930802</v>
      </c>
      <c r="AL81" s="10" t="n">
        <v>1.950587450870785</v>
      </c>
      <c r="AM81" s="10" t="n">
        <v>1.946083306011612</v>
      </c>
      <c r="AN81" s="10" t="n">
        <v>1.940486660539976</v>
      </c>
      <c r="AO81" s="10" t="n">
        <v>1.933846031025732</v>
      </c>
      <c r="AP81" s="10" t="n">
        <v>1.926216538551986</v>
      </c>
      <c r="AQ81" s="10" t="n">
        <v>1.917659355460419</v>
      </c>
      <c r="AR81" s="10" t="n">
        <v>1.908241147686305</v>
      </c>
      <c r="AS81" s="10" t="n">
        <v>1.898033598127371</v>
      </c>
      <c r="AT81" s="10" t="n">
        <v>1.887112953242376</v>
      </c>
      <c r="AU81" s="10" t="n">
        <v>1.875559341348301</v>
      </c>
    </row>
    <row r="82">
      <c r="A82" s="9" t="n">
        <v>-43</v>
      </c>
      <c r="B82" s="7" t="n">
        <v>43115</v>
      </c>
      <c r="C82" s="10" t="n">
        <v>0.599295498206331</v>
      </c>
      <c r="D82" s="10" t="n">
        <v>0.6380147904045274</v>
      </c>
      <c r="E82" s="10" t="n">
        <v>0.6835524334124279</v>
      </c>
      <c r="F82" s="10" t="n">
        <v>0.7337178503871002</v>
      </c>
      <c r="G82" s="10" t="n">
        <v>0.7866911479354091</v>
      </c>
      <c r="H82" s="10" t="n">
        <v>0.8411132615664576</v>
      </c>
      <c r="I82" s="10" t="n">
        <v>0.8960002059671113</v>
      </c>
      <c r="J82" s="10" t="n">
        <v>0.9506765942744007</v>
      </c>
      <c r="K82" s="10" t="n">
        <v>1.004702577155036</v>
      </c>
      <c r="L82" s="10" t="n">
        <v>1.057798987656533</v>
      </c>
      <c r="M82" s="10" t="n">
        <v>1.109781244466667</v>
      </c>
      <c r="N82" s="10" t="n">
        <v>1.160515728652015</v>
      </c>
      <c r="O82" s="10" t="n">
        <v>1.671303889721623</v>
      </c>
      <c r="P82" s="10" t="n">
        <v>1.698335486516856</v>
      </c>
      <c r="Q82" s="10" t="n">
        <v>1.723704922810435</v>
      </c>
      <c r="R82" s="10" t="n">
        <v>1.747447450269695</v>
      </c>
      <c r="S82" s="10" t="n">
        <v>1.769597911474363</v>
      </c>
      <c r="T82" s="10" t="n">
        <v>1.79019076311493</v>
      </c>
      <c r="U82" s="10" t="n">
        <v>1.80926011270349</v>
      </c>
      <c r="V82" s="10" t="n">
        <v>1.82683917921326</v>
      </c>
      <c r="W82" s="10" t="n">
        <v>1.842959302201015</v>
      </c>
      <c r="X82" s="10" t="n">
        <v>1.857649954154309</v>
      </c>
      <c r="Y82" s="10" t="n">
        <v>1.870938463954904</v>
      </c>
      <c r="Z82" s="10" t="n">
        <v>1.882849309227149</v>
      </c>
      <c r="AA82" s="10" t="n">
        <v>1.89340427641202</v>
      </c>
      <c r="AB82" s="10" t="n">
        <v>1.902622788401294</v>
      </c>
      <c r="AC82" s="10" t="n">
        <v>1.910522185897101</v>
      </c>
      <c r="AD82" s="10" t="n">
        <v>1.917117947255788</v>
      </c>
      <c r="AE82" s="10" t="n">
        <v>1.92242377760466</v>
      </c>
      <c r="AF82" s="10" t="n">
        <v>1.92645226758918</v>
      </c>
      <c r="AG82" s="10" t="n">
        <v>1.929216074052319</v>
      </c>
      <c r="AH82" s="10" t="n">
        <v>1.93072851257432</v>
      </c>
      <c r="AI82" s="10" t="n">
        <v>1.931005942563228</v>
      </c>
      <c r="AJ82" s="10" t="n">
        <v>1.930069056954573</v>
      </c>
      <c r="AK82" s="10" t="n">
        <v>1.927942528727198</v>
      </c>
      <c r="AL82" s="10" t="n">
        <v>1.924654964150216</v>
      </c>
      <c r="AM82" s="10" t="n">
        <v>1.920240767341242</v>
      </c>
      <c r="AN82" s="10" t="n">
        <v>1.914741112145152</v>
      </c>
      <c r="AO82" s="10" t="n">
        <v>1.90820386017969</v>
      </c>
      <c r="AP82" s="10" t="n">
        <v>1.900683483483183</v>
      </c>
      <c r="AQ82" s="10" t="n">
        <v>1.892240511588275</v>
      </c>
      <c r="AR82" s="10" t="n">
        <v>1.882940976891074</v>
      </c>
      <c r="AS82" s="10" t="n">
        <v>1.872855937665037</v>
      </c>
      <c r="AT82" s="10" t="n">
        <v>1.862061026771019</v>
      </c>
      <c r="AU82" s="10" t="n">
        <v>1.850635787306986</v>
      </c>
    </row>
    <row r="83">
      <c r="A83" s="9" t="n">
        <v>-42</v>
      </c>
      <c r="B83" s="7" t="n">
        <v>43116</v>
      </c>
      <c r="C83" s="10" t="n">
        <v>0.5890099401430229</v>
      </c>
      <c r="D83" s="10" t="n">
        <v>0.6273772661620124</v>
      </c>
      <c r="E83" s="10" t="n">
        <v>0.6720503460480975</v>
      </c>
      <c r="F83" s="10" t="n">
        <v>0.7211139629206306</v>
      </c>
      <c r="G83" s="10" t="n">
        <v>0.7729444626711606</v>
      </c>
      <c r="H83" s="10" t="n">
        <v>0.826303642338681</v>
      </c>
      <c r="I83" s="10" t="n">
        <v>0.8802747689935957</v>
      </c>
      <c r="J83" s="10" t="n">
        <v>0.9342149171890184</v>
      </c>
      <c r="K83" s="10" t="n">
        <v>0.9876971547526496</v>
      </c>
      <c r="L83" s="10" t="n">
        <v>1.040443363563463</v>
      </c>
      <c r="M83" s="10" t="n">
        <v>1.092263197538207</v>
      </c>
      <c r="N83" s="10" t="n">
        <v>1.143013225126641</v>
      </c>
      <c r="O83" s="10" t="n">
        <v>1.66296883197947</v>
      </c>
      <c r="P83" s="10" t="n">
        <v>1.69079309727519</v>
      </c>
      <c r="Q83" s="10" t="n">
        <v>1.716905275681936</v>
      </c>
      <c r="R83" s="10" t="n">
        <v>1.741337375484335</v>
      </c>
      <c r="S83" s="10" t="n">
        <v>1.764122623698158</v>
      </c>
      <c r="T83" s="10" t="n">
        <v>1.785295236465106</v>
      </c>
      <c r="U83" s="10" t="n">
        <v>1.804890247105052</v>
      </c>
      <c r="V83" s="10" t="n">
        <v>1.822942627053489</v>
      </c>
      <c r="W83" s="10" t="n">
        <v>1.839485870224577</v>
      </c>
      <c r="X83" s="10" t="n">
        <v>1.854551893741875</v>
      </c>
      <c r="Y83" s="10" t="n">
        <v>1.868170763499702</v>
      </c>
      <c r="Z83" s="10" t="n">
        <v>1.880370036071357</v>
      </c>
      <c r="AA83" s="10" t="n">
        <v>1.891174895879425</v>
      </c>
      <c r="AB83" s="10" t="n">
        <v>1.900608444007988</v>
      </c>
      <c r="AC83" s="10" t="n">
        <v>1.908691946218662</v>
      </c>
      <c r="AD83" s="10" t="n">
        <v>1.915445045755843</v>
      </c>
      <c r="AE83" s="10" t="n">
        <v>1.920885960142169</v>
      </c>
      <c r="AF83" s="10" t="n">
        <v>1.925032116217387</v>
      </c>
      <c r="AG83" s="10" t="n">
        <v>1.927901147677309</v>
      </c>
      <c r="AH83" s="10" t="n">
        <v>1.929511401223505</v>
      </c>
      <c r="AI83" s="10" t="n">
        <v>1.929884041752741</v>
      </c>
      <c r="AJ83" s="10" t="n">
        <v>1.929044169328479</v>
      </c>
      <c r="AK83" s="10" t="n">
        <v>1.927020494492202</v>
      </c>
      <c r="AL83" s="10" t="n">
        <v>1.923845294148896</v>
      </c>
      <c r="AM83" s="10" t="n">
        <v>1.919556062858051</v>
      </c>
      <c r="AN83" s="10" t="n">
        <v>1.914196357807766</v>
      </c>
      <c r="AO83" s="10" t="n">
        <v>1.907815743806366</v>
      </c>
      <c r="AP83" s="10" t="n">
        <v>1.900469738655279</v>
      </c>
      <c r="AQ83" s="10" t="n">
        <v>1.892219297665712</v>
      </c>
      <c r="AR83" s="10" t="n">
        <v>1.883130294909952</v>
      </c>
      <c r="AS83" s="10" t="n">
        <v>1.873273094595714</v>
      </c>
      <c r="AT83" s="10" t="n">
        <v>1.862722136311031</v>
      </c>
      <c r="AU83" s="10" t="n">
        <v>1.851555264819455</v>
      </c>
    </row>
    <row r="84">
      <c r="A84" s="9" t="n">
        <v>-41</v>
      </c>
      <c r="B84" s="7" t="n">
        <v>43117</v>
      </c>
      <c r="C84" s="10" t="n">
        <v>0.5750259004056087</v>
      </c>
      <c r="D84" s="10" t="n">
        <v>0.6161643987132511</v>
      </c>
      <c r="E84" s="10" t="n">
        <v>0.662948281984902</v>
      </c>
      <c r="F84" s="10" t="n">
        <v>0.7134868374592288</v>
      </c>
      <c r="G84" s="10" t="n">
        <v>0.7662956300731117</v>
      </c>
      <c r="H84" s="10" t="n">
        <v>0.8202743856672194</v>
      </c>
      <c r="I84" s="10" t="n">
        <v>0.8746181413222044</v>
      </c>
      <c r="J84" s="10" t="n">
        <v>0.9287662227151767</v>
      </c>
      <c r="K84" s="10" t="n">
        <v>0.9823485977782526</v>
      </c>
      <c r="L84" s="10" t="n">
        <v>1.035123854863466</v>
      </c>
      <c r="M84" s="10" t="n">
        <v>1.086923542336611</v>
      </c>
      <c r="N84" s="10" t="n">
        <v>1.137616548343811</v>
      </c>
      <c r="O84" s="10" t="n">
        <v>1.655145011220063</v>
      </c>
      <c r="P84" s="10" t="n">
        <v>1.682788910264055</v>
      </c>
      <c r="Q84" s="10" t="n">
        <v>1.708734987213387</v>
      </c>
      <c r="R84" s="10" t="n">
        <v>1.733014856575706</v>
      </c>
      <c r="S84" s="10" t="n">
        <v>1.755661089577482</v>
      </c>
      <c r="T84" s="10" t="n">
        <v>1.776707033676345</v>
      </c>
      <c r="U84" s="10" t="n">
        <v>1.796186672257888</v>
      </c>
      <c r="V84" s="10" t="n">
        <v>1.814133797073146</v>
      </c>
      <c r="W84" s="10" t="n">
        <v>1.830580675021507</v>
      </c>
      <c r="X84" s="10" t="n">
        <v>1.845557973876043</v>
      </c>
      <c r="Y84" s="10" t="n">
        <v>1.85909456139113</v>
      </c>
      <c r="Z84" s="10" t="n">
        <v>1.871216981079834</v>
      </c>
      <c r="AA84" s="10" t="n">
        <v>1.881949595967336</v>
      </c>
      <c r="AB84" s="10" t="n">
        <v>1.891314854131963</v>
      </c>
      <c r="AC84" s="10" t="n">
        <v>1.899333516691268</v>
      </c>
      <c r="AD84" s="10" t="n">
        <v>1.906024873489908</v>
      </c>
      <c r="AE84" s="10" t="n">
        <v>1.911407045835505</v>
      </c>
      <c r="AF84" s="10" t="n">
        <v>1.915497643995723</v>
      </c>
      <c r="AG84" s="10" t="n">
        <v>1.918314676856181</v>
      </c>
      <c r="AH84" s="10" t="n">
        <v>1.919877019969377</v>
      </c>
      <c r="AI84" s="10" t="n">
        <v>1.920206454653633</v>
      </c>
      <c r="AJ84" s="10" t="n">
        <v>1.919328727442355</v>
      </c>
      <c r="AK84" s="10" t="n">
        <v>1.917273218798271</v>
      </c>
      <c r="AL84" s="10" t="n">
        <v>1.914072890661638</v>
      </c>
      <c r="AM84" s="10" t="n">
        <v>1.909765869302916</v>
      </c>
      <c r="AN84" s="10" t="n">
        <v>1.904396235768387</v>
      </c>
      <c r="AO84" s="10" t="n">
        <v>1.898013959436335</v>
      </c>
      <c r="AP84" s="10" t="n">
        <v>1.890674827782671</v>
      </c>
      <c r="AQ84" s="10" t="n">
        <v>1.882439921871742</v>
      </c>
      <c r="AR84" s="10" t="n">
        <v>1.873375090715854</v>
      </c>
      <c r="AS84" s="10" t="n">
        <v>1.863550533611542</v>
      </c>
      <c r="AT84" s="10" t="n">
        <v>1.85304039320017</v>
      </c>
      <c r="AU84" s="10" t="n">
        <v>1.841922073949261</v>
      </c>
    </row>
    <row r="85">
      <c r="A85" s="9" t="n">
        <v>-40</v>
      </c>
      <c r="B85" s="7" t="n">
        <v>43118</v>
      </c>
      <c r="C85" s="10" t="n">
        <v>0.6098004564741736</v>
      </c>
      <c r="D85" s="10" t="n">
        <v>0.6528884771419724</v>
      </c>
      <c r="E85" s="10" t="n">
        <v>0.700494165691398</v>
      </c>
      <c r="F85" s="10" t="n">
        <v>0.7512620416334526</v>
      </c>
      <c r="G85" s="10" t="n">
        <v>0.8039949374031372</v>
      </c>
      <c r="H85" s="10" t="n">
        <v>0.8577572608920389</v>
      </c>
      <c r="I85" s="10" t="n">
        <v>0.9118373783352591</v>
      </c>
      <c r="J85" s="10" t="n">
        <v>0.9657225735293991</v>
      </c>
      <c r="K85" s="10" t="n">
        <v>1.019063996252819</v>
      </c>
      <c r="L85" s="10" t="n">
        <v>1.071624875192533</v>
      </c>
      <c r="M85" s="10" t="n">
        <v>1.123232035575716</v>
      </c>
      <c r="N85" s="10" t="n">
        <v>1.173744669374088</v>
      </c>
      <c r="O85" s="10" t="n">
        <v>1.687704972891987</v>
      </c>
      <c r="P85" s="10" t="n">
        <v>1.715074413836402</v>
      </c>
      <c r="Q85" s="10" t="n">
        <v>1.740773788566158</v>
      </c>
      <c r="R85" s="10" t="n">
        <v>1.764837589645575</v>
      </c>
      <c r="S85" s="10" t="n">
        <v>1.78729981215053</v>
      </c>
      <c r="T85" s="10" t="n">
        <v>1.808193981307984</v>
      </c>
      <c r="U85" s="10" t="n">
        <v>1.827553185964713</v>
      </c>
      <c r="V85" s="10" t="n">
        <v>1.845409158356236</v>
      </c>
      <c r="W85" s="10" t="n">
        <v>1.861790670692394</v>
      </c>
      <c r="X85" s="10" t="n">
        <v>1.876723589223152</v>
      </c>
      <c r="Y85" s="10" t="n">
        <v>1.890231236382555</v>
      </c>
      <c r="Z85" s="10" t="n">
        <v>1.902334681728826</v>
      </c>
      <c r="AA85" s="10" t="n">
        <v>1.913053016806505</v>
      </c>
      <c r="AB85" s="10" t="n">
        <v>1.922403596351521</v>
      </c>
      <c r="AC85" s="10" t="n">
        <v>1.930402245169085</v>
      </c>
      <c r="AD85" s="10" t="n">
        <v>1.937063562773724</v>
      </c>
      <c r="AE85" s="10" t="n">
        <v>1.942401842451494</v>
      </c>
      <c r="AF85" s="10" t="n">
        <v>1.946431939218046</v>
      </c>
      <c r="AG85" s="10" t="n">
        <v>1.949169895410455</v>
      </c>
      <c r="AH85" s="10" t="n">
        <v>1.95063328644369</v>
      </c>
      <c r="AI85" s="10" t="n">
        <v>1.950843162716815</v>
      </c>
      <c r="AJ85" s="10" t="n">
        <v>1.949825017421691</v>
      </c>
      <c r="AK85" s="10" t="n">
        <v>1.947608404710236</v>
      </c>
      <c r="AL85" s="10" t="n">
        <v>1.944226828624326</v>
      </c>
      <c r="AM85" s="10" t="n">
        <v>1.939719158134262</v>
      </c>
      <c r="AN85" s="10" t="n">
        <v>1.934130298333439</v>
      </c>
      <c r="AO85" s="10" t="n">
        <v>1.927511090518047</v>
      </c>
      <c r="AP85" s="10" t="n">
        <v>1.91991821232173</v>
      </c>
      <c r="AQ85" s="10" t="n">
        <v>1.911413677417234</v>
      </c>
      <c r="AR85" s="10" t="n">
        <v>1.902064339846137</v>
      </c>
      <c r="AS85" s="10" t="n">
        <v>1.891941473790677</v>
      </c>
      <c r="AT85" s="10" t="n">
        <v>1.881120365223726</v>
      </c>
      <c r="AU85" s="10" t="n">
        <v>1.869679655148598</v>
      </c>
    </row>
    <row r="86">
      <c r="A86" s="9" t="n">
        <v>-39</v>
      </c>
      <c r="B86" s="7" t="n">
        <v>43119</v>
      </c>
      <c r="C86" s="10" t="n">
        <v>0.5889005901780363</v>
      </c>
      <c r="D86" s="10" t="n">
        <v>0.6337243992530286</v>
      </c>
      <c r="E86" s="10" t="n">
        <v>0.683308304683339</v>
      </c>
      <c r="F86" s="10" t="n">
        <v>0.7361340636105683</v>
      </c>
      <c r="G86" s="10" t="n">
        <v>0.7909232302549807</v>
      </c>
      <c r="H86" s="10" t="n">
        <v>0.8466858688123404</v>
      </c>
      <c r="I86" s="10" t="n">
        <v>0.9026774924954724</v>
      </c>
      <c r="J86" s="10" t="n">
        <v>0.9583660003826938</v>
      </c>
      <c r="K86" s="10" t="n">
        <v>1.013390770406237</v>
      </c>
      <c r="L86" s="10" t="n">
        <v>1.067507872914712</v>
      </c>
      <c r="M86" s="10" t="n">
        <v>1.120540536262268</v>
      </c>
      <c r="N86" s="10" t="n">
        <v>1.172348325426024</v>
      </c>
      <c r="O86" s="10" t="n">
        <v>1.694620281510195</v>
      </c>
      <c r="P86" s="10" t="n">
        <v>1.722230980217735</v>
      </c>
      <c r="Q86" s="10" t="n">
        <v>1.748143523557659</v>
      </c>
      <c r="R86" s="10" t="n">
        <v>1.772396266264994</v>
      </c>
      <c r="S86" s="10" t="n">
        <v>1.795026587648503</v>
      </c>
      <c r="T86" s="10" t="n">
        <v>1.816070992426763</v>
      </c>
      <c r="U86" s="10" t="n">
        <v>1.835565197151131</v>
      </c>
      <c r="V86" s="10" t="n">
        <v>1.853543149829341</v>
      </c>
      <c r="W86" s="10" t="n">
        <v>1.870035353314652</v>
      </c>
      <c r="X86" s="10" t="n">
        <v>1.885068976925719</v>
      </c>
      <c r="Y86" s="10" t="n">
        <v>1.898668328134012</v>
      </c>
      <c r="Z86" s="10" t="n">
        <v>1.910855278665158</v>
      </c>
      <c r="AA86" s="10" t="n">
        <v>1.921649579854413</v>
      </c>
      <c r="AB86" s="10" t="n">
        <v>1.931069121252377</v>
      </c>
      <c r="AC86" s="10" t="n">
        <v>1.939130152445188</v>
      </c>
      <c r="AD86" s="10" t="n">
        <v>1.945847627391974</v>
      </c>
      <c r="AE86" s="10" t="n">
        <v>1.951236255426113</v>
      </c>
      <c r="AF86" s="10" t="n">
        <v>1.955311401511338</v>
      </c>
      <c r="AG86" s="10" t="n">
        <v>1.958089646829692</v>
      </c>
      <c r="AH86" s="10" t="n">
        <v>1.959589129605962</v>
      </c>
      <c r="AI86" s="10" t="n">
        <v>1.959831478713849</v>
      </c>
      <c r="AJ86" s="10" t="n">
        <v>1.958842729671598</v>
      </c>
      <c r="AK86" s="10" t="n">
        <v>1.956652940791922</v>
      </c>
      <c r="AL86" s="10" t="n">
        <v>1.953296093084662</v>
      </c>
      <c r="AM86" s="10" t="n">
        <v>1.948811475469254</v>
      </c>
      <c r="AN86" s="10" t="n">
        <v>1.943244302038079</v>
      </c>
      <c r="AO86" s="10" t="n">
        <v>1.936645610496506</v>
      </c>
      <c r="AP86" s="10" t="n">
        <v>1.929072152756888</v>
      </c>
      <c r="AQ86" s="10" t="n">
        <v>1.920585930012033</v>
      </c>
      <c r="AR86" s="10" t="n">
        <v>1.91125373667691</v>
      </c>
      <c r="AS86" s="10" t="n">
        <v>1.901146747592047</v>
      </c>
      <c r="AT86" s="10" t="n">
        <v>1.890340112024057</v>
      </c>
      <c r="AU86" s="10" t="n">
        <v>1.878912298027124</v>
      </c>
    </row>
    <row r="87">
      <c r="A87" s="9" t="n">
        <v>-38</v>
      </c>
      <c r="B87" s="7" t="n">
        <v>43122</v>
      </c>
      <c r="C87" s="10" t="n">
        <v>0.5882266237610815</v>
      </c>
      <c r="D87" s="10" t="n">
        <v>0.6354469141217557</v>
      </c>
      <c r="E87" s="10" t="n">
        <v>0.6874131696369705</v>
      </c>
      <c r="F87" s="10" t="n">
        <v>0.7424472297487329</v>
      </c>
      <c r="G87" s="10" t="n">
        <v>0.7991928804394268</v>
      </c>
      <c r="H87" s="10" t="n">
        <v>0.8566328886852745</v>
      </c>
      <c r="I87" s="10" t="n">
        <v>0.9140226630358509</v>
      </c>
      <c r="J87" s="10" t="n">
        <v>0.9708467891421703</v>
      </c>
      <c r="K87" s="10" t="n">
        <v>1.026771600609252</v>
      </c>
      <c r="L87" s="10" t="n">
        <v>1.081586454587894</v>
      </c>
      <c r="M87" s="10" t="n">
        <v>1.135148285251465</v>
      </c>
      <c r="N87" s="10" t="n">
        <v>1.187348081390768</v>
      </c>
      <c r="O87" s="10" t="n">
        <v>1.709626431317026</v>
      </c>
      <c r="P87" s="10" t="n">
        <v>1.737106068567882</v>
      </c>
      <c r="Q87" s="10" t="n">
        <v>1.762887538816895</v>
      </c>
      <c r="R87" s="10" t="n">
        <v>1.787011136483457</v>
      </c>
      <c r="S87" s="10" t="n">
        <v>1.809515790221929</v>
      </c>
      <c r="T87" s="10" t="n">
        <v>1.830439221698045</v>
      </c>
      <c r="U87" s="10" t="n">
        <v>1.849818078895547</v>
      </c>
      <c r="V87" s="10" t="n">
        <v>1.867686968081184</v>
      </c>
      <c r="W87" s="10" t="n">
        <v>1.884076788748735</v>
      </c>
      <c r="X87" s="10" t="n">
        <v>1.89901488395325</v>
      </c>
      <c r="Y87" s="10" t="n">
        <v>1.912525622498998</v>
      </c>
      <c r="Z87" s="10" t="n">
        <v>1.924630979169851</v>
      </c>
      <c r="AA87" s="10" t="n">
        <v>1.935350870057733</v>
      </c>
      <c r="AB87" s="10" t="n">
        <v>1.944703403689433</v>
      </c>
      <c r="AC87" s="10" t="n">
        <v>1.952705096438927</v>
      </c>
      <c r="AD87" s="10" t="n">
        <v>1.959371236758501</v>
      </c>
      <c r="AE87" s="10" t="n">
        <v>1.964717060556342</v>
      </c>
      <c r="AF87" s="10" t="n">
        <v>1.96875867267935</v>
      </c>
      <c r="AG87" s="10" t="n">
        <v>1.971513527108089</v>
      </c>
      <c r="AH87" s="10" t="n">
        <v>1.973000736683714</v>
      </c>
      <c r="AI87" s="10" t="n">
        <v>1.973242941741323</v>
      </c>
      <c r="AJ87" s="10" t="n">
        <v>1.972267174576253</v>
      </c>
      <c r="AK87" s="10" t="n">
        <v>1.970104473908604</v>
      </c>
      <c r="AL87" s="10" t="n">
        <v>1.966789775661993</v>
      </c>
      <c r="AM87" s="10" t="n">
        <v>1.962363212272654</v>
      </c>
      <c r="AN87" s="10" t="n">
        <v>1.956870671648644</v>
      </c>
      <c r="AO87" s="10" t="n">
        <v>1.950363675833493</v>
      </c>
      <c r="AP87" s="10" t="n">
        <v>1.942899246924539</v>
      </c>
      <c r="AQ87" s="10" t="n">
        <v>1.934539408586966</v>
      </c>
      <c r="AR87" s="10" t="n">
        <v>1.92535069999621</v>
      </c>
      <c r="AS87" s="10" t="n">
        <v>1.915403781804079</v>
      </c>
      <c r="AT87" s="10" t="n">
        <v>1.904773045329461</v>
      </c>
      <c r="AU87" s="10" t="n">
        <v>1.893535939423342</v>
      </c>
    </row>
    <row r="88">
      <c r="A88" s="9" t="n">
        <v>-37</v>
      </c>
      <c r="B88" s="7" t="n">
        <v>43123</v>
      </c>
      <c r="C88" s="10" t="n">
        <v>0.5958354821799851</v>
      </c>
      <c r="D88" s="10" t="n">
        <v>0.6426802057641106</v>
      </c>
      <c r="E88" s="10" t="n">
        <v>0.6940672550091774</v>
      </c>
      <c r="F88" s="10" t="n">
        <v>0.7484548093328611</v>
      </c>
      <c r="G88" s="10" t="n">
        <v>0.8045600362181409</v>
      </c>
      <c r="H88" s="10" t="n">
        <v>0.8614095686240102</v>
      </c>
      <c r="I88" s="10" t="n">
        <v>0.9182792684769233</v>
      </c>
      <c r="J88" s="10" t="n">
        <v>0.9746564584004527</v>
      </c>
      <c r="K88" s="10" t="n">
        <v>1.030196566108745</v>
      </c>
      <c r="L88" s="10" t="n">
        <v>1.084670492134957</v>
      </c>
      <c r="M88" s="10" t="n">
        <v>1.137915804055727</v>
      </c>
      <c r="N88" s="10" t="n">
        <v>1.189806670993217</v>
      </c>
      <c r="O88" s="10" t="n">
        <v>1.707604944518201</v>
      </c>
      <c r="P88" s="10" t="n">
        <v>1.734756076121896</v>
      </c>
      <c r="Q88" s="10" t="n">
        <v>1.760217637311053</v>
      </c>
      <c r="R88" s="10" t="n">
        <v>1.78403010748945</v>
      </c>
      <c r="S88" s="10" t="n">
        <v>1.806232552646032</v>
      </c>
      <c r="T88" s="10" t="n">
        <v>1.8268627954945</v>
      </c>
      <c r="U88" s="10" t="n">
        <v>1.845957556035639</v>
      </c>
      <c r="V88" s="10" t="n">
        <v>1.86355155807304</v>
      </c>
      <c r="W88" s="10" t="n">
        <v>1.879676002051381</v>
      </c>
      <c r="X88" s="10" t="n">
        <v>1.89435871956933</v>
      </c>
      <c r="Y88" s="10" t="n">
        <v>1.907624682147693</v>
      </c>
      <c r="Z88" s="10" t="n">
        <v>1.919496480918198</v>
      </c>
      <c r="AA88" s="10" t="n">
        <v>1.929994644383324</v>
      </c>
      <c r="AB88" s="10" t="n">
        <v>1.939137889991448</v>
      </c>
      <c r="AC88" s="10" t="n">
        <v>1.94694333995239</v>
      </c>
      <c r="AD88" s="10" t="n">
        <v>1.953426863680066</v>
      </c>
      <c r="AE88" s="10" t="n">
        <v>1.958604119274785</v>
      </c>
      <c r="AF88" s="10" t="n">
        <v>1.962491462550208</v>
      </c>
      <c r="AG88" s="10" t="n">
        <v>1.965106537444152</v>
      </c>
      <c r="AH88" s="10" t="n">
        <v>1.966468610636509</v>
      </c>
      <c r="AI88" s="10" t="n">
        <v>1.966600428047261</v>
      </c>
      <c r="AJ88" s="10" t="n">
        <v>1.965529060174612</v>
      </c>
      <c r="AK88" s="10" t="n">
        <v>1.963285521255863</v>
      </c>
      <c r="AL88" s="10" t="n">
        <v>1.959904659412244</v>
      </c>
      <c r="AM88" s="10" t="n">
        <v>1.955426398889106</v>
      </c>
      <c r="AN88" s="10" t="n">
        <v>1.949896258925969</v>
      </c>
      <c r="AO88" s="10" t="n">
        <v>1.943365222749031</v>
      </c>
      <c r="AP88" s="10" t="n">
        <v>1.935889593999017</v>
      </c>
      <c r="AQ88" s="10" t="n">
        <v>1.927530532049839</v>
      </c>
      <c r="AR88" s="10" t="n">
        <v>1.918353601340899</v>
      </c>
      <c r="AS88" s="10" t="n">
        <v>1.908428389154045</v>
      </c>
      <c r="AT88" s="10" t="n">
        <v>1.897828123793286</v>
      </c>
      <c r="AU88" s="10" t="n">
        <v>1.886629018556317</v>
      </c>
    </row>
    <row r="89">
      <c r="A89" s="9" t="n">
        <v>-36</v>
      </c>
      <c r="B89" s="7" t="n">
        <v>43124</v>
      </c>
      <c r="C89" s="10" t="n">
        <v>0.6263263970300973</v>
      </c>
      <c r="D89" s="10" t="n">
        <v>0.6791350578725276</v>
      </c>
      <c r="E89" s="10" t="n">
        <v>0.7349572066235649</v>
      </c>
      <c r="F89" s="10" t="n">
        <v>0.7926346686944947</v>
      </c>
      <c r="G89" s="10" t="n">
        <v>0.8512036526560833</v>
      </c>
      <c r="H89" s="10" t="n">
        <v>0.9099303829886867</v>
      </c>
      <c r="I89" s="10" t="n">
        <v>0.9682595081992246</v>
      </c>
      <c r="J89" s="10" t="n">
        <v>1.025792158742331</v>
      </c>
      <c r="K89" s="10" t="n">
        <v>1.082255563038108</v>
      </c>
      <c r="L89" s="10" t="n">
        <v>1.137463491502903</v>
      </c>
      <c r="M89" s="10" t="n">
        <v>1.1912772771557</v>
      </c>
      <c r="N89" s="10" t="n">
        <v>1.243583237435375</v>
      </c>
      <c r="O89" s="10" t="n">
        <v>1.755844857247522</v>
      </c>
      <c r="P89" s="10" t="n">
        <v>1.782113104773906</v>
      </c>
      <c r="Q89" s="10" t="n">
        <v>1.806692520098351</v>
      </c>
      <c r="R89" s="10" t="n">
        <v>1.829633710678834</v>
      </c>
      <c r="S89" s="10" t="n">
        <v>1.850984264905816</v>
      </c>
      <c r="T89" s="10" t="n">
        <v>1.87078915484177</v>
      </c>
      <c r="U89" s="10" t="n">
        <v>1.889091066235265</v>
      </c>
      <c r="V89" s="10" t="n">
        <v>1.905929391466612</v>
      </c>
      <c r="W89" s="10" t="n">
        <v>1.921338424692872</v>
      </c>
      <c r="X89" s="10" t="n">
        <v>1.935347656427687</v>
      </c>
      <c r="Y89" s="10" t="n">
        <v>1.947982563370369</v>
      </c>
      <c r="Z89" s="10" t="n">
        <v>1.959265390728859</v>
      </c>
      <c r="AA89" s="10" t="n">
        <v>1.96921560337011</v>
      </c>
      <c r="AB89" s="10" t="n">
        <v>1.977850224962334</v>
      </c>
      <c r="AC89" s="10" t="n">
        <v>1.985184128891084</v>
      </c>
      <c r="AD89" s="10" t="n">
        <v>1.991230490667269</v>
      </c>
      <c r="AE89" s="10" t="n">
        <v>1.996002120272404</v>
      </c>
      <c r="AF89" s="10" t="n">
        <v>1.999512519729552</v>
      </c>
      <c r="AG89" s="10" t="n">
        <v>2.001776469697503</v>
      </c>
      <c r="AH89" s="10" t="n">
        <v>2.002810384310679</v>
      </c>
      <c r="AI89" s="10" t="n">
        <v>2.002634265489183</v>
      </c>
      <c r="AJ89" s="10" t="n">
        <v>2.001272580808023</v>
      </c>
      <c r="AK89" s="10" t="n">
        <v>1.998753869419057</v>
      </c>
      <c r="AL89" s="10" t="n">
        <v>1.995110630533663</v>
      </c>
      <c r="AM89" s="10" t="n">
        <v>1.990380593159106</v>
      </c>
      <c r="AN89" s="10" t="n">
        <v>1.984607235094779</v>
      </c>
      <c r="AO89" s="10" t="n">
        <v>1.977839661935887</v>
      </c>
      <c r="AP89" s="10" t="n">
        <v>1.970132474941945</v>
      </c>
      <c r="AQ89" s="10" t="n">
        <v>1.961545357623341</v>
      </c>
      <c r="AR89" s="10" t="n">
        <v>1.952142673810898</v>
      </c>
      <c r="AS89" s="10" t="n">
        <v>1.941993068390298</v>
      </c>
      <c r="AT89" s="10" t="n">
        <v>1.931169078441487</v>
      </c>
      <c r="AU89" s="10" t="n">
        <v>1.919746537472229</v>
      </c>
    </row>
    <row r="90">
      <c r="A90" s="9" t="n">
        <v>-35</v>
      </c>
      <c r="B90" s="7" t="n">
        <v>43125</v>
      </c>
      <c r="C90" s="10" t="n">
        <v>0.6345842525466073</v>
      </c>
      <c r="D90" s="10" t="n">
        <v>0.6875574264578158</v>
      </c>
      <c r="E90" s="10" t="n">
        <v>0.7430554948254436</v>
      </c>
      <c r="F90" s="10" t="n">
        <v>0.8001896571383461</v>
      </c>
      <c r="G90" s="10" t="n">
        <v>0.8581271249986763</v>
      </c>
      <c r="H90" s="10" t="n">
        <v>0.9161920993516087</v>
      </c>
      <c r="I90" s="10" t="n">
        <v>0.9738556701211794</v>
      </c>
      <c r="J90" s="10" t="n">
        <v>1.030733880225043</v>
      </c>
      <c r="K90" s="10" t="n">
        <v>1.086562921119154</v>
      </c>
      <c r="L90" s="10" t="n">
        <v>1.141162289604061</v>
      </c>
      <c r="M90" s="10" t="n">
        <v>1.19439401527813</v>
      </c>
      <c r="N90" s="10" t="n">
        <v>1.246139614996187</v>
      </c>
      <c r="O90" s="10" t="n">
        <v>1.749534842543218</v>
      </c>
      <c r="P90" s="10" t="n">
        <v>1.775038445582076</v>
      </c>
      <c r="Q90" s="10" t="n">
        <v>1.798884620648965</v>
      </c>
      <c r="R90" s="10" t="n">
        <v>1.82113361392458</v>
      </c>
      <c r="S90" s="10" t="n">
        <v>1.841841183347248</v>
      </c>
      <c r="T90" s="10" t="n">
        <v>1.861059205544161</v>
      </c>
      <c r="U90" s="10" t="n">
        <v>1.878836177182089</v>
      </c>
      <c r="V90" s="10" t="n">
        <v>1.89521603996731</v>
      </c>
      <c r="W90" s="10" t="n">
        <v>1.910236034765425</v>
      </c>
      <c r="X90" s="10" t="n">
        <v>1.92392712781104</v>
      </c>
      <c r="Y90" s="10" t="n">
        <v>1.936314983218705</v>
      </c>
      <c r="Z90" s="10" t="n">
        <v>1.947420889267699</v>
      </c>
      <c r="AA90" s="10" t="n">
        <v>1.957262348248309</v>
      </c>
      <c r="AB90" s="10" t="n">
        <v>1.965853538232311</v>
      </c>
      <c r="AC90" s="10" t="n">
        <v>1.973205709139665</v>
      </c>
      <c r="AD90" s="10" t="n">
        <v>1.979327729879824</v>
      </c>
      <c r="AE90" s="10" t="n">
        <v>1.984227508359025</v>
      </c>
      <c r="AF90" s="10" t="n">
        <v>1.98791316134348</v>
      </c>
      <c r="AG90" s="10" t="n">
        <v>1.990393729915712</v>
      </c>
      <c r="AH90" s="10" t="n">
        <v>1.991679643291538</v>
      </c>
      <c r="AI90" s="10" t="n">
        <v>1.991784998368336</v>
      </c>
      <c r="AJ90" s="10" t="n">
        <v>1.990728587967971</v>
      </c>
      <c r="AK90" s="10" t="n">
        <v>1.988533489320872</v>
      </c>
      <c r="AL90" s="10" t="n">
        <v>1.985226982739486</v>
      </c>
      <c r="AM90" s="10" t="n">
        <v>1.98084206356739</v>
      </c>
      <c r="AN90" s="10" t="n">
        <v>1.975418064429705</v>
      </c>
      <c r="AO90" s="10" t="n">
        <v>1.969000534440464</v>
      </c>
      <c r="AP90" s="10" t="n">
        <v>1.96164109793252</v>
      </c>
      <c r="AQ90" s="10" t="n">
        <v>1.953396981946716</v>
      </c>
      <c r="AR90" s="10" t="n">
        <v>1.944330556818422</v>
      </c>
      <c r="AS90" s="10" t="n">
        <v>1.934508895802445</v>
      </c>
      <c r="AT90" s="10" t="n">
        <v>1.92400334804542</v>
      </c>
      <c r="AU90" s="10" t="n">
        <v>1.912888891047349</v>
      </c>
    </row>
    <row r="91">
      <c r="A91" s="9" t="n">
        <v>-34</v>
      </c>
      <c r="B91" s="7" t="n">
        <v>43126</v>
      </c>
      <c r="C91" s="10" t="n">
        <v>0.6612547508408803</v>
      </c>
      <c r="D91" s="10" t="n">
        <v>0.7174449522877097</v>
      </c>
      <c r="E91" s="10" t="n">
        <v>0.775140219998936</v>
      </c>
      <c r="F91" s="10" t="n">
        <v>0.8337086471993915</v>
      </c>
      <c r="G91" s="10" t="n">
        <v>0.8924677143727782</v>
      </c>
      <c r="H91" s="10" t="n">
        <v>0.9508477638820182</v>
      </c>
      <c r="I91" s="10" t="n">
        <v>1.008406583563176</v>
      </c>
      <c r="J91" s="10" t="n">
        <v>1.06483911421745</v>
      </c>
      <c r="K91" s="10" t="n">
        <v>1.119952559346859</v>
      </c>
      <c r="L91" s="10" t="n">
        <v>1.173634063921551</v>
      </c>
      <c r="M91" s="10" t="n">
        <v>1.225805859879679</v>
      </c>
      <c r="N91" s="10" t="n">
        <v>1.276400510766609</v>
      </c>
      <c r="O91" s="10" t="n">
        <v>1.765751185529274</v>
      </c>
      <c r="P91" s="10" t="n">
        <v>1.790419833592066</v>
      </c>
      <c r="Q91" s="10" t="n">
        <v>1.813469989887789</v>
      </c>
      <c r="R91" s="10" t="n">
        <v>1.834963033587437</v>
      </c>
      <c r="S91" s="10" t="n">
        <v>1.854955678966728</v>
      </c>
      <c r="T91" s="10" t="n">
        <v>1.873500607816811</v>
      </c>
      <c r="U91" s="10" t="n">
        <v>1.890646983983036</v>
      </c>
      <c r="V91" s="10" t="n">
        <v>1.906439190533814</v>
      </c>
      <c r="W91" s="10" t="n">
        <v>1.920914639848716</v>
      </c>
      <c r="X91" s="10" t="n">
        <v>1.934104243611612</v>
      </c>
      <c r="Y91" s="10" t="n">
        <v>1.946033402167317</v>
      </c>
      <c r="Z91" s="10" t="n">
        <v>1.956722927864879</v>
      </c>
      <c r="AA91" s="10" t="n">
        <v>1.966189654682203</v>
      </c>
      <c r="AB91" s="10" t="n">
        <v>1.974446923436694</v>
      </c>
      <c r="AC91" s="10" t="n">
        <v>1.981504998041181</v>
      </c>
      <c r="AD91" s="10" t="n">
        <v>1.987371630877496</v>
      </c>
      <c r="AE91" s="10" t="n">
        <v>1.992053458824035</v>
      </c>
      <c r="AF91" s="10" t="n">
        <v>1.995557188666504</v>
      </c>
      <c r="AG91" s="10" t="n">
        <v>1.997890372309912</v>
      </c>
      <c r="AH91" s="10" t="n">
        <v>1.999061911771089</v>
      </c>
      <c r="AI91" s="10" t="n">
        <v>1.999084401774966</v>
      </c>
      <c r="AJ91" s="10" t="n">
        <v>1.997975138703726</v>
      </c>
      <c r="AK91" s="10" t="n">
        <v>1.995755704641549</v>
      </c>
      <c r="AL91" s="10" t="n">
        <v>1.992451907278703</v>
      </c>
      <c r="AM91" s="10" t="n">
        <v>1.988095326091513</v>
      </c>
      <c r="AN91" s="10" t="n">
        <v>1.982723914675019</v>
      </c>
      <c r="AO91" s="10" t="n">
        <v>1.976381903172162</v>
      </c>
      <c r="AP91" s="10" t="n">
        <v>1.969119660266945</v>
      </c>
      <c r="AQ91" s="10" t="n">
        <v>1.960993150762065</v>
      </c>
      <c r="AR91" s="10" t="n">
        <v>1.952063412266529</v>
      </c>
      <c r="AS91" s="10" t="n">
        <v>1.942396114875585</v>
      </c>
      <c r="AT91" s="10" t="n">
        <v>1.932061129522223</v>
      </c>
      <c r="AU91" s="10" t="n">
        <v>1.921131827460751</v>
      </c>
    </row>
    <row r="92">
      <c r="A92" s="9" t="n">
        <v>-33</v>
      </c>
      <c r="B92" s="7" t="n">
        <v>43129</v>
      </c>
      <c r="C92" s="10" t="n">
        <v>0.6707081643241248</v>
      </c>
      <c r="D92" s="10" t="n">
        <v>0.7302696084722761</v>
      </c>
      <c r="E92" s="10" t="n">
        <v>0.7903781582118743</v>
      </c>
      <c r="F92" s="10" t="n">
        <v>0.8507083602246117</v>
      </c>
      <c r="G92" s="10" t="n">
        <v>0.9107827394292568</v>
      </c>
      <c r="H92" s="10" t="n">
        <v>0.970157475212304</v>
      </c>
      <c r="I92" s="10" t="n">
        <v>1.028465990776583</v>
      </c>
      <c r="J92" s="10" t="n">
        <v>1.085449366687398</v>
      </c>
      <c r="K92" s="10" t="n">
        <v>1.140942822393039</v>
      </c>
      <c r="L92" s="10" t="n">
        <v>1.194850878708023</v>
      </c>
      <c r="M92" s="10" t="n">
        <v>1.24710669953167</v>
      </c>
      <c r="N92" s="10" t="n">
        <v>1.297649902945205</v>
      </c>
      <c r="O92" s="10" t="n">
        <v>1.776566012804525</v>
      </c>
      <c r="P92" s="10" t="n">
        <v>1.799994212356451</v>
      </c>
      <c r="Q92" s="10" t="n">
        <v>1.821796345057603</v>
      </c>
      <c r="R92" s="10" t="n">
        <v>1.842043227874858</v>
      </c>
      <c r="S92" s="10" t="n">
        <v>1.860800469922299</v>
      </c>
      <c r="T92" s="10" t="n">
        <v>1.878129189634448</v>
      </c>
      <c r="U92" s="10" t="n">
        <v>1.894086592690482</v>
      </c>
      <c r="V92" s="10" t="n">
        <v>1.90872471168137</v>
      </c>
      <c r="W92" s="10" t="n">
        <v>1.922088218670114</v>
      </c>
      <c r="X92" s="10" t="n">
        <v>1.934214929343289</v>
      </c>
      <c r="Y92" s="10" t="n">
        <v>1.945136471495907</v>
      </c>
      <c r="Z92" s="10" t="n">
        <v>1.95487870741536</v>
      </c>
      <c r="AA92" s="10" t="n">
        <v>1.963462393623222</v>
      </c>
      <c r="AB92" s="10" t="n">
        <v>1.970903803461895</v>
      </c>
      <c r="AC92" s="10" t="n">
        <v>1.977215261031335</v>
      </c>
      <c r="AD92" s="10" t="n">
        <v>1.982405708754707</v>
      </c>
      <c r="AE92" s="10" t="n">
        <v>1.986481679197984</v>
      </c>
      <c r="AF92" s="10" t="n">
        <v>1.989448460797563</v>
      </c>
      <c r="AG92" s="10" t="n">
        <v>1.991311209492354</v>
      </c>
      <c r="AH92" s="10" t="n">
        <v>1.992075628262016</v>
      </c>
      <c r="AI92" s="10" t="n">
        <v>1.991750558146069</v>
      </c>
      <c r="AJ92" s="10" t="n">
        <v>1.990349118030968</v>
      </c>
      <c r="AK92" s="10" t="n">
        <v>1.987888332933166</v>
      </c>
      <c r="AL92" s="10" t="n">
        <v>1.984389155376061</v>
      </c>
      <c r="AM92" s="10" t="n">
        <v>1.979878249673872</v>
      </c>
      <c r="AN92" s="10" t="n">
        <v>1.974388710837588</v>
      </c>
      <c r="AO92" s="10" t="n">
        <v>1.967960031750259</v>
      </c>
      <c r="AP92" s="10" t="n">
        <v>1.960638023518416</v>
      </c>
      <c r="AQ92" s="10" t="n">
        <v>1.952474375379426</v>
      </c>
      <c r="AR92" s="10" t="n">
        <v>1.943526218926636</v>
      </c>
      <c r="AS92" s="10" t="n">
        <v>1.933855666042792</v>
      </c>
      <c r="AT92" s="10" t="n">
        <v>1.923529369129875</v>
      </c>
      <c r="AU92" s="10" t="n">
        <v>1.912617904580696</v>
      </c>
    </row>
    <row r="93">
      <c r="A93" s="9" t="n">
        <v>-32</v>
      </c>
      <c r="B93" s="7" t="n">
        <v>43130</v>
      </c>
      <c r="C93" s="10" t="n">
        <v>0.6578984225982711</v>
      </c>
      <c r="D93" s="10" t="n">
        <v>0.7184961185175729</v>
      </c>
      <c r="E93" s="10" t="n">
        <v>0.7791292537264749</v>
      </c>
      <c r="F93" s="10" t="n">
        <v>0.8397449468603663</v>
      </c>
      <c r="G93" s="10" t="n">
        <v>0.9000843567997883</v>
      </c>
      <c r="H93" s="10" t="n">
        <v>0.9598462672549498</v>
      </c>
      <c r="I93" s="10" t="n">
        <v>1.018736155681688</v>
      </c>
      <c r="J93" s="10" t="n">
        <v>1.076513566642401</v>
      </c>
      <c r="K93" s="10" t="n">
        <v>1.13299739049432</v>
      </c>
      <c r="L93" s="10" t="n">
        <v>1.188054076310678</v>
      </c>
      <c r="M93" s="10" t="n">
        <v>1.241569944028333</v>
      </c>
      <c r="N93" s="10" t="n">
        <v>1.293436164026879</v>
      </c>
      <c r="O93" s="10" t="n">
        <v>1.783976041044284</v>
      </c>
      <c r="P93" s="10" t="n">
        <v>1.807709943500282</v>
      </c>
      <c r="Q93" s="10" t="n">
        <v>1.829769594870719</v>
      </c>
      <c r="R93" s="10" t="n">
        <v>1.850236674104037</v>
      </c>
      <c r="S93" s="10" t="n">
        <v>1.869186529097746</v>
      </c>
      <c r="T93" s="10" t="n">
        <v>1.886689046558274</v>
      </c>
      <c r="U93" s="10" t="n">
        <v>1.902809345503353</v>
      </c>
      <c r="V93" s="10" t="n">
        <v>1.917606086867961</v>
      </c>
      <c r="W93" s="10" t="n">
        <v>1.931128627744833</v>
      </c>
      <c r="X93" s="10" t="n">
        <v>1.943417669185244</v>
      </c>
      <c r="Y93" s="10" t="n">
        <v>1.954506391012802</v>
      </c>
      <c r="Z93" s="10" t="n">
        <v>1.964421410596287</v>
      </c>
      <c r="AA93" s="10" t="n">
        <v>1.973183602267709</v>
      </c>
      <c r="AB93" s="10" t="n">
        <v>1.980808797691735</v>
      </c>
      <c r="AC93" s="10" t="n">
        <v>1.987308386630343</v>
      </c>
      <c r="AD93" s="10" t="n">
        <v>1.992690035439715</v>
      </c>
      <c r="AE93" s="10" t="n">
        <v>1.996959166163628</v>
      </c>
      <c r="AF93" s="10" t="n">
        <v>2.000120291531554</v>
      </c>
      <c r="AG93" s="10" t="n">
        <v>2.002177988655299</v>
      </c>
      <c r="AH93" s="10" t="n">
        <v>2.00313755138043</v>
      </c>
      <c r="AI93" s="10" t="n">
        <v>2.003007601605968</v>
      </c>
      <c r="AJ93" s="10" t="n">
        <v>2.001801212898183</v>
      </c>
      <c r="AK93" s="10" t="n">
        <v>1.999535520428745</v>
      </c>
      <c r="AL93" s="10" t="n">
        <v>1.996231721918194</v>
      </c>
      <c r="AM93" s="10" t="n">
        <v>1.991916791510278</v>
      </c>
      <c r="AN93" s="10" t="n">
        <v>1.986624143720552</v>
      </c>
      <c r="AO93" s="10" t="n">
        <v>1.980393561412616</v>
      </c>
      <c r="AP93" s="10" t="n">
        <v>1.973271075527647</v>
      </c>
      <c r="AQ93" s="10" t="n">
        <v>1.96530848655167</v>
      </c>
      <c r="AR93" s="10" t="n">
        <v>1.956562897853481</v>
      </c>
      <c r="AS93" s="10" t="n">
        <v>1.9470962619536</v>
      </c>
      <c r="AT93" s="10" t="n">
        <v>1.936974941796179</v>
      </c>
      <c r="AU93" s="10" t="n">
        <v>1.926269054674155</v>
      </c>
    </row>
    <row r="94">
      <c r="A94" s="9" t="n">
        <v>-31</v>
      </c>
      <c r="B94" s="7" t="n">
        <v>43131</v>
      </c>
      <c r="C94" s="10" t="n">
        <v>0.6883112379764961</v>
      </c>
      <c r="D94" s="10" t="n">
        <v>0.7474891320557617</v>
      </c>
      <c r="E94" s="10" t="n">
        <v>0.8066814352904285</v>
      </c>
      <c r="F94" s="10" t="n">
        <v>0.8660575536570592</v>
      </c>
      <c r="G94" s="10" t="n">
        <v>0.92540048543028</v>
      </c>
      <c r="H94" s="10" t="n">
        <v>0.9843987040977161</v>
      </c>
      <c r="I94" s="10" t="n">
        <v>1.042730936343262</v>
      </c>
      <c r="J94" s="10" t="n">
        <v>1.100126054265091</v>
      </c>
      <c r="K94" s="10" t="n">
        <v>1.156372012724867</v>
      </c>
      <c r="L94" s="10" t="n">
        <v>1.211304447865327</v>
      </c>
      <c r="M94" s="10" t="n">
        <v>1.264780725788928</v>
      </c>
      <c r="N94" s="10" t="n">
        <v>1.316665233273095</v>
      </c>
      <c r="O94" s="10" t="n">
        <v>1.806557706731882</v>
      </c>
      <c r="P94" s="10" t="n">
        <v>1.830121089034699</v>
      </c>
      <c r="Q94" s="10" t="n">
        <v>1.852016624509143</v>
      </c>
      <c r="R94" s="10" t="n">
        <v>1.872330551870981</v>
      </c>
      <c r="S94" s="10" t="n">
        <v>1.8911417142183</v>
      </c>
      <c r="T94" s="10" t="n">
        <v>1.908522584085499</v>
      </c>
      <c r="U94" s="10" t="n">
        <v>1.924540080775395</v>
      </c>
      <c r="V94" s="10" t="n">
        <v>1.939253827482464</v>
      </c>
      <c r="W94" s="10" t="n">
        <v>1.952713209749219</v>
      </c>
      <c r="X94" s="10" t="n">
        <v>1.964958126892447</v>
      </c>
      <c r="Y94" s="10" t="n">
        <v>1.976020296179094</v>
      </c>
      <c r="Z94" s="10" t="n">
        <v>1.985924389749567</v>
      </c>
      <c r="AA94" s="10" t="n">
        <v>1.994688929301202</v>
      </c>
      <c r="AB94" s="10" t="n">
        <v>2.002327036155531</v>
      </c>
      <c r="AC94" s="10" t="n">
        <v>2.008847074736761</v>
      </c>
      <c r="AD94" s="10" t="n">
        <v>2.014253450353201</v>
      </c>
      <c r="AE94" s="10" t="n">
        <v>2.018548319325271</v>
      </c>
      <c r="AF94" s="10" t="n">
        <v>2.021733091371194</v>
      </c>
      <c r="AG94" s="10" t="n">
        <v>2.023809485103696</v>
      </c>
      <c r="AH94" s="10" t="n">
        <v>2.024780210749689</v>
      </c>
      <c r="AI94" s="10" t="n">
        <v>2.024651733941663</v>
      </c>
      <c r="AJ94" s="10" t="n">
        <v>2.023435435657802</v>
      </c>
      <c r="AK94" s="10" t="n">
        <v>2.021147177682681</v>
      </c>
      <c r="AL94" s="10" t="n">
        <v>2.017807282446518</v>
      </c>
      <c r="AM94" s="10" t="n">
        <v>2.01344228339657</v>
      </c>
      <c r="AN94" s="10" t="n">
        <v>2.008085575405155</v>
      </c>
      <c r="AO94" s="10" t="n">
        <v>2.001777302293906</v>
      </c>
      <c r="AP94" s="10" t="n">
        <v>1.994564190135455</v>
      </c>
      <c r="AQ94" s="10" t="n">
        <v>1.986498985206071</v>
      </c>
      <c r="AR94" s="10" t="n">
        <v>1.977639914523475</v>
      </c>
      <c r="AS94" s="10" t="n">
        <v>1.968050212315707</v>
      </c>
      <c r="AT94" s="10" t="n">
        <v>1.957797662116352</v>
      </c>
      <c r="AU94" s="10" t="n">
        <v>1.946953890351185</v>
      </c>
    </row>
    <row r="95">
      <c r="A95" s="9" t="n">
        <v>-30</v>
      </c>
      <c r="B95" s="7" t="n">
        <v>43132</v>
      </c>
      <c r="C95" s="10" t="n">
        <v>0.7053064753164791</v>
      </c>
      <c r="D95" s="10" t="n">
        <v>0.7679918499623896</v>
      </c>
      <c r="E95" s="10" t="n">
        <v>0.8297550158283831</v>
      </c>
      <c r="F95" s="10" t="n">
        <v>0.8910505346584104</v>
      </c>
      <c r="G95" s="10" t="n">
        <v>0.9518574008103244</v>
      </c>
      <c r="H95" s="10" t="n">
        <v>1.012006311627519</v>
      </c>
      <c r="I95" s="10" t="n">
        <v>1.071275351748158</v>
      </c>
      <c r="J95" s="10" t="n">
        <v>1.129458514560917</v>
      </c>
      <c r="K95" s="10" t="n">
        <v>1.186382606199581</v>
      </c>
      <c r="L95" s="10" t="n">
        <v>1.241902148740033</v>
      </c>
      <c r="M95" s="10" t="n">
        <v>1.295879514560824</v>
      </c>
      <c r="N95" s="10" t="n">
        <v>1.348174684903126</v>
      </c>
      <c r="O95" s="10" t="n">
        <v>1.83226485172221</v>
      </c>
      <c r="P95" s="10" t="n">
        <v>1.854742396162815</v>
      </c>
      <c r="Q95" s="10" t="n">
        <v>1.875532763864784</v>
      </c>
      <c r="R95" s="10" t="n">
        <v>1.894735948143485</v>
      </c>
      <c r="S95" s="10" t="n">
        <v>1.912443041365049</v>
      </c>
      <c r="T95" s="10" t="n">
        <v>1.92873747991718</v>
      </c>
      <c r="U95" s="10" t="n">
        <v>1.943696037331042</v>
      </c>
      <c r="V95" s="10" t="n">
        <v>1.957387012527309</v>
      </c>
      <c r="W95" s="10" t="n">
        <v>1.969867148758319</v>
      </c>
      <c r="X95" s="10" t="n">
        <v>1.981182513340202</v>
      </c>
      <c r="Y95" s="10" t="n">
        <v>1.991369732924075</v>
      </c>
      <c r="Z95" s="10" t="n">
        <v>2.000456944663773</v>
      </c>
      <c r="AA95" s="10" t="n">
        <v>2.008464816607153</v>
      </c>
      <c r="AB95" s="10" t="n">
        <v>2.015407458527413</v>
      </c>
      <c r="AC95" s="10" t="n">
        <v>2.021293203111588</v>
      </c>
      <c r="AD95" s="10" t="n">
        <v>2.026125453911039</v>
      </c>
      <c r="AE95" s="10" t="n">
        <v>2.029904152831266</v>
      </c>
      <c r="AF95" s="10" t="n">
        <v>2.032627302337416</v>
      </c>
      <c r="AG95" s="10" t="n">
        <v>2.034292258152621</v>
      </c>
      <c r="AH95" s="10" t="n">
        <v>2.034896599647888</v>
      </c>
      <c r="AI95" s="10" t="n">
        <v>2.034441286036368</v>
      </c>
      <c r="AJ95" s="10" t="n">
        <v>2.032932002255107</v>
      </c>
      <c r="AK95" s="10" t="n">
        <v>2.030378747706898</v>
      </c>
      <c r="AL95" s="10" t="n">
        <v>2.026795904482102</v>
      </c>
      <c r="AM95" s="10" t="n">
        <v>2.022204334651667</v>
      </c>
      <c r="AN95" s="10" t="n">
        <v>2.016632184423308</v>
      </c>
      <c r="AO95" s="10" t="n">
        <v>2.010114834003751</v>
      </c>
      <c r="AP95" s="10" t="n">
        <v>2.002694783511559</v>
      </c>
      <c r="AQ95" s="10" t="n">
        <v>1.994421183590006</v>
      </c>
      <c r="AR95" s="10" t="n">
        <v>1.985349368153893</v>
      </c>
      <c r="AS95" s="10" t="n">
        <v>1.975540331217985</v>
      </c>
      <c r="AT95" s="10" t="n">
        <v>1.965060238567093</v>
      </c>
      <c r="AU95" s="10" t="n">
        <v>1.953979790756852</v>
      </c>
    </row>
    <row r="96">
      <c r="A96" s="9" t="n">
        <v>-29</v>
      </c>
      <c r="B96" s="7" t="n">
        <v>43133</v>
      </c>
      <c r="C96" s="10" t="n">
        <v>0.7133030217082277</v>
      </c>
      <c r="D96" s="10" t="n">
        <v>0.7820931456097973</v>
      </c>
      <c r="E96" s="10" t="n">
        <v>0.8488261934688078</v>
      </c>
      <c r="F96" s="10" t="n">
        <v>0.9142082464427981</v>
      </c>
      <c r="G96" s="10" t="n">
        <v>0.9784605786081779</v>
      </c>
      <c r="H96" s="10" t="n">
        <v>1.041584079454349</v>
      </c>
      <c r="I96" s="10" t="n">
        <v>1.103470246519532</v>
      </c>
      <c r="J96" s="10" t="n">
        <v>1.163984418060292</v>
      </c>
      <c r="K96" s="10" t="n">
        <v>1.222995613716977</v>
      </c>
      <c r="L96" s="10" t="n">
        <v>1.280377096173028</v>
      </c>
      <c r="M96" s="10" t="n">
        <v>1.335995716318579</v>
      </c>
      <c r="N96" s="10" t="n">
        <v>1.389708288514413</v>
      </c>
      <c r="O96" s="10" t="n">
        <v>1.872160225385312</v>
      </c>
      <c r="P96" s="10" t="n">
        <v>1.893397982945595</v>
      </c>
      <c r="Q96" s="10" t="n">
        <v>1.912885855484944</v>
      </c>
      <c r="R96" s="10" t="n">
        <v>1.930742816331603</v>
      </c>
      <c r="S96" s="10" t="n">
        <v>1.947077472214473</v>
      </c>
      <c r="T96" s="10" t="n">
        <v>1.961989526813138</v>
      </c>
      <c r="U96" s="10" t="n">
        <v>1.9755709305426</v>
      </c>
      <c r="V96" s="10" t="n">
        <v>1.987903851803101</v>
      </c>
      <c r="W96" s="10" t="n">
        <v>1.999057373886114</v>
      </c>
      <c r="X96" s="10" t="n">
        <v>2.009088532281175</v>
      </c>
      <c r="Y96" s="10" t="n">
        <v>2.018043419365273</v>
      </c>
      <c r="Z96" s="10" t="n">
        <v>2.025957876532026</v>
      </c>
      <c r="AA96" s="10" t="n">
        <v>2.032858668408376</v>
      </c>
      <c r="AB96" s="10" t="n">
        <v>2.038764589707018</v>
      </c>
      <c r="AC96" s="10" t="n">
        <v>2.043687414313792</v>
      </c>
      <c r="AD96" s="10" t="n">
        <v>2.047632808090514</v>
      </c>
      <c r="AE96" s="10" t="n">
        <v>2.050601520525314</v>
      </c>
      <c r="AF96" s="10" t="n">
        <v>2.052590925529775</v>
      </c>
      <c r="AG96" s="10" t="n">
        <v>2.053596551260448</v>
      </c>
      <c r="AH96" s="10" t="n">
        <v>2.053613144970639</v>
      </c>
      <c r="AI96" s="10" t="n">
        <v>2.052638097200154</v>
      </c>
      <c r="AJ96" s="10" t="n">
        <v>2.050672886389224</v>
      </c>
      <c r="AK96" s="10" t="n">
        <v>2.047722728896161</v>
      </c>
      <c r="AL96" s="10" t="n">
        <v>2.043796774272923</v>
      </c>
      <c r="AM96" s="10" t="n">
        <v>2.038910490142682</v>
      </c>
      <c r="AN96" s="10" t="n">
        <v>2.033086573363329</v>
      </c>
      <c r="AO96" s="10" t="n">
        <v>2.026355002195214</v>
      </c>
      <c r="AP96" s="10" t="n">
        <v>2.018753003937225</v>
      </c>
      <c r="AQ96" s="10" t="n">
        <v>2.010324745793609</v>
      </c>
      <c r="AR96" s="10" t="n">
        <v>2.001120992245087</v>
      </c>
      <c r="AS96" s="10" t="n">
        <v>1.991198557980999</v>
      </c>
      <c r="AT96" s="10" t="n">
        <v>1.980619823840831</v>
      </c>
      <c r="AU96" s="10" t="n">
        <v>1.969452237548134</v>
      </c>
    </row>
    <row r="97">
      <c r="A97" s="9" t="n">
        <v>-28</v>
      </c>
      <c r="B97" s="7" t="n">
        <v>43136</v>
      </c>
      <c r="C97" s="10" t="n">
        <v>0.6974506886854659</v>
      </c>
      <c r="D97" s="10" t="n">
        <v>0.7668482545209341</v>
      </c>
      <c r="E97" s="10" t="n">
        <v>0.8341220012986977</v>
      </c>
      <c r="F97" s="10" t="n">
        <v>0.9000898305033714</v>
      </c>
      <c r="G97" s="10" t="n">
        <v>0.9650046014562379</v>
      </c>
      <c r="H97" s="10" t="n">
        <v>1.028856387120122</v>
      </c>
      <c r="I97" s="10" t="n">
        <v>1.091511395382304</v>
      </c>
      <c r="J97" s="10" t="n">
        <v>1.15280792845526</v>
      </c>
      <c r="K97" s="10" t="n">
        <v>1.212592478470525</v>
      </c>
      <c r="L97" s="10" t="n">
        <v>1.270720862401888</v>
      </c>
      <c r="M97" s="10" t="n">
        <v>1.327049426575249</v>
      </c>
      <c r="N97" s="10" t="n">
        <v>1.381431092543274</v>
      </c>
      <c r="O97" s="10" t="n">
        <v>1.871259699471296</v>
      </c>
      <c r="P97" s="10" t="n">
        <v>1.893020148480429</v>
      </c>
      <c r="Q97" s="10" t="n">
        <v>1.913008069132586</v>
      </c>
      <c r="R97" s="10" t="n">
        <v>1.931338939067585</v>
      </c>
      <c r="S97" s="10" t="n">
        <v>1.948118745477953</v>
      </c>
      <c r="T97" s="10" t="n">
        <v>1.963445325016499</v>
      </c>
      <c r="U97" s="10" t="n">
        <v>1.977409397320514</v>
      </c>
      <c r="V97" s="10" t="n">
        <v>1.990092395556454</v>
      </c>
      <c r="W97" s="10" t="n">
        <v>2.001563076867681</v>
      </c>
      <c r="X97" s="10" t="n">
        <v>2.011878512131405</v>
      </c>
      <c r="Y97" s="10" t="n">
        <v>2.021085156210741</v>
      </c>
      <c r="Z97" s="10" t="n">
        <v>2.029219525756226</v>
      </c>
      <c r="AA97" s="10" t="n">
        <v>2.036309339969376</v>
      </c>
      <c r="AB97" s="10" t="n">
        <v>2.042374593401892</v>
      </c>
      <c r="AC97" s="10" t="n">
        <v>2.047428475879054</v>
      </c>
      <c r="AD97" s="10" t="n">
        <v>2.051478265720774</v>
      </c>
      <c r="AE97" s="10" t="n">
        <v>2.054526518166709</v>
      </c>
      <c r="AF97" s="10" t="n">
        <v>2.056572563428005</v>
      </c>
      <c r="AG97" s="10" t="n">
        <v>2.057613964143608</v>
      </c>
      <c r="AH97" s="10" t="n">
        <v>2.057647558418766</v>
      </c>
      <c r="AI97" s="10" t="n">
        <v>2.056672821106114</v>
      </c>
      <c r="AJ97" s="10" t="n">
        <v>2.05469325956602</v>
      </c>
      <c r="AK97" s="10" t="n">
        <v>2.051716066463301</v>
      </c>
      <c r="AL97" s="10" t="n">
        <v>2.047752315889559</v>
      </c>
      <c r="AM97" s="10" t="n">
        <v>2.042819294471037</v>
      </c>
      <c r="AN97" s="10" t="n">
        <v>2.036941373592331</v>
      </c>
      <c r="AO97" s="10" t="n">
        <v>2.030150048412353</v>
      </c>
      <c r="AP97" s="10" t="n">
        <v>2.022483889462557</v>
      </c>
      <c r="AQ97" s="10" t="n">
        <v>2.013988220636445</v>
      </c>
      <c r="AR97" s="10" t="n">
        <v>2.00471476677511</v>
      </c>
      <c r="AS97" s="10" t="n">
        <v>1.994721121077878</v>
      </c>
      <c r="AT97" s="10" t="n">
        <v>1.984070271061807</v>
      </c>
      <c r="AU97" s="10" t="n">
        <v>1.972830087411723</v>
      </c>
    </row>
    <row r="98">
      <c r="A98" s="9" t="n">
        <v>-27</v>
      </c>
      <c r="B98" s="7" t="n">
        <v>43137</v>
      </c>
      <c r="C98" s="10" t="n">
        <v>0.6485644283472515</v>
      </c>
      <c r="D98" s="10" t="n">
        <v>0.7137427302119367</v>
      </c>
      <c r="E98" s="10" t="n">
        <v>0.7780034219603768</v>
      </c>
      <c r="F98" s="10" t="n">
        <v>0.8419029533475486</v>
      </c>
      <c r="G98" s="10" t="n">
        <v>0.9055194625214881</v>
      </c>
      <c r="H98" s="10" t="n">
        <v>0.9687048306819965</v>
      </c>
      <c r="I98" s="10" t="n">
        <v>1.031212371642152</v>
      </c>
      <c r="J98" s="10" t="n">
        <v>1.092787268116906</v>
      </c>
      <c r="K98" s="10" t="n">
        <v>1.153201092647085</v>
      </c>
      <c r="L98" s="10" t="n">
        <v>1.212248818153523</v>
      </c>
      <c r="M98" s="10" t="n">
        <v>1.269738587197335</v>
      </c>
      <c r="N98" s="10" t="n">
        <v>1.325485470692088</v>
      </c>
      <c r="O98" s="10" t="n">
        <v>1.840300881105969</v>
      </c>
      <c r="P98" s="10" t="n">
        <v>1.863680258959933</v>
      </c>
      <c r="Q98" s="10" t="n">
        <v>1.8851558268288</v>
      </c>
      <c r="R98" s="10" t="n">
        <v>1.904841198875795</v>
      </c>
      <c r="S98" s="10" t="n">
        <v>1.922843627425957</v>
      </c>
      <c r="T98" s="10" t="n">
        <v>1.939264868176315</v>
      </c>
      <c r="U98" s="10" t="n">
        <v>1.954201796481933</v>
      </c>
      <c r="V98" s="10" t="n">
        <v>1.967743466489102</v>
      </c>
      <c r="W98" s="10" t="n">
        <v>1.979966918035227</v>
      </c>
      <c r="X98" s="10" t="n">
        <v>1.990937977030877</v>
      </c>
      <c r="Y98" s="10" t="n">
        <v>2.000711864015164</v>
      </c>
      <c r="Z98" s="10" t="n">
        <v>2.00933330112252</v>
      </c>
      <c r="AA98" s="10" t="n">
        <v>2.016837640943029</v>
      </c>
      <c r="AB98" s="10" t="n">
        <v>2.023252009051107</v>
      </c>
      <c r="AC98" s="10" t="n">
        <v>2.028596283478883</v>
      </c>
      <c r="AD98" s="10" t="n">
        <v>2.032883957449801</v>
      </c>
      <c r="AE98" s="10" t="n">
        <v>2.036122999618432</v>
      </c>
      <c r="AF98" s="10" t="n">
        <v>2.038317328180622</v>
      </c>
      <c r="AG98" s="10" t="n">
        <v>2.039468458432435</v>
      </c>
      <c r="AH98" s="10" t="n">
        <v>2.03957665505031</v>
      </c>
      <c r="AI98" s="10" t="n">
        <v>2.038644435685572</v>
      </c>
      <c r="AJ98" s="10" t="n">
        <v>2.036678029642958</v>
      </c>
      <c r="AK98" s="10" t="n">
        <v>2.033687062527186</v>
      </c>
      <c r="AL98" s="10" t="n">
        <v>2.029684806719579</v>
      </c>
      <c r="AM98" s="10" t="n">
        <v>2.024690622627789</v>
      </c>
      <c r="AN98" s="10" t="n">
        <v>2.018730868929589</v>
      </c>
      <c r="AO98" s="10" t="n">
        <v>2.011838926131598</v>
      </c>
      <c r="AP98" s="10" t="n">
        <v>2.004055133896537</v>
      </c>
      <c r="AQ98" s="10" t="n">
        <v>1.995426507078052</v>
      </c>
      <c r="AR98" s="10" t="n">
        <v>1.986006414502107</v>
      </c>
      <c r="AS98" s="10" t="n">
        <v>1.975854052037435</v>
      </c>
      <c r="AT98" s="10" t="n">
        <v>1.9650339742546</v>
      </c>
      <c r="AU98" s="10" t="n">
        <v>1.953615591855353</v>
      </c>
    </row>
    <row r="99">
      <c r="A99" s="9" t="n">
        <v>-26</v>
      </c>
      <c r="B99" s="7" t="n">
        <v>43138</v>
      </c>
      <c r="C99" s="10" t="n">
        <v>0.6691800785401596</v>
      </c>
      <c r="D99" s="10" t="n">
        <v>0.7343640226716619</v>
      </c>
      <c r="E99" s="10" t="n">
        <v>0.7989991885797365</v>
      </c>
      <c r="F99" s="10" t="n">
        <v>0.8635260703761757</v>
      </c>
      <c r="G99" s="10" t="n">
        <v>0.9279018139620857</v>
      </c>
      <c r="H99" s="10" t="n">
        <v>0.991880509981001</v>
      </c>
      <c r="I99" s="10" t="n">
        <v>1.055145254695</v>
      </c>
      <c r="J99" s="10" t="n">
        <v>1.117393177123647</v>
      </c>
      <c r="K99" s="10" t="n">
        <v>1.178365318390896</v>
      </c>
      <c r="L99" s="10" t="n">
        <v>1.237837897663577</v>
      </c>
      <c r="M99" s="10" t="n">
        <v>1.295610634039319</v>
      </c>
      <c r="N99" s="10" t="n">
        <v>1.351498300145035</v>
      </c>
      <c r="O99" s="10" t="n">
        <v>1.861336428395498</v>
      </c>
      <c r="P99" s="10" t="n">
        <v>1.884312638413812</v>
      </c>
      <c r="Q99" s="10" t="n">
        <v>1.905423576966297</v>
      </c>
      <c r="R99" s="10" t="n">
        <v>1.924784207428287</v>
      </c>
      <c r="S99" s="10" t="n">
        <v>1.942502103596743</v>
      </c>
      <c r="T99" s="10" t="n">
        <v>1.958678475034626</v>
      </c>
      <c r="U99" s="10" t="n">
        <v>1.973408919193929</v>
      </c>
      <c r="V99" s="10" t="n">
        <v>1.986780805204445</v>
      </c>
      <c r="W99" s="10" t="n">
        <v>1.99886951578337</v>
      </c>
      <c r="X99" s="10" t="n">
        <v>2.009739304732181</v>
      </c>
      <c r="Y99" s="10" t="n">
        <v>2.019443813419311</v>
      </c>
      <c r="Z99" s="10" t="n">
        <v>2.028026077909453</v>
      </c>
      <c r="AA99" s="10" t="n">
        <v>2.035519659299563</v>
      </c>
      <c r="AB99" s="10" t="n">
        <v>2.041949799108109</v>
      </c>
      <c r="AC99" s="10" t="n">
        <v>2.04733440956519</v>
      </c>
      <c r="AD99" s="10" t="n">
        <v>2.051684887280615</v>
      </c>
      <c r="AE99" s="10" t="n">
        <v>2.05500672446642</v>
      </c>
      <c r="AF99" s="10" t="n">
        <v>2.057300981626086</v>
      </c>
      <c r="AG99" s="10" t="n">
        <v>2.058566087290735</v>
      </c>
      <c r="AH99" s="10" t="n">
        <v>2.058799069069891</v>
      </c>
      <c r="AI99" s="10" t="n">
        <v>2.057999213199729</v>
      </c>
      <c r="AJ99" s="10" t="n">
        <v>2.056169571676725</v>
      </c>
      <c r="AK99" s="10" t="n">
        <v>2.0533166420873</v>
      </c>
      <c r="AL99" s="10" t="n">
        <v>2.049450652685165</v>
      </c>
      <c r="AM99" s="10" t="n">
        <v>2.044588143663967</v>
      </c>
      <c r="AN99" s="10" t="n">
        <v>2.038752921327021</v>
      </c>
      <c r="AO99" s="10" t="n">
        <v>2.031976119577795</v>
      </c>
      <c r="AP99" s="10" t="n">
        <v>2.024296159580843</v>
      </c>
      <c r="AQ99" s="10" t="n">
        <v>2.015758465906538</v>
      </c>
      <c r="AR99" s="10" t="n">
        <v>2.00641513683904</v>
      </c>
      <c r="AS99" s="10" t="n">
        <v>1.996324391114856</v>
      </c>
      <c r="AT99" s="10" t="n">
        <v>1.985550073694527</v>
      </c>
      <c r="AU99" s="10" t="n">
        <v>1.974161122445162</v>
      </c>
    </row>
    <row r="100">
      <c r="A100" s="9" t="n">
        <v>-25</v>
      </c>
      <c r="B100" s="7" t="n">
        <v>43139</v>
      </c>
      <c r="C100" s="10" t="n">
        <v>0.7481894143719224</v>
      </c>
      <c r="D100" s="10" t="n">
        <v>0.8215981673503797</v>
      </c>
      <c r="E100" s="10" t="n">
        <v>0.8924396450721337</v>
      </c>
      <c r="F100" s="10" t="n">
        <v>0.9614083088702559</v>
      </c>
      <c r="G100" s="10" t="n">
        <v>1.028738397932872</v>
      </c>
      <c r="H100" s="10" t="n">
        <v>1.094430208110929</v>
      </c>
      <c r="I100" s="10" t="n">
        <v>1.158378049518856</v>
      </c>
      <c r="J100" s="10" t="n">
        <v>1.220457139147052</v>
      </c>
      <c r="K100" s="10" t="n">
        <v>1.280558013536217</v>
      </c>
      <c r="L100" s="10" t="n">
        <v>1.338579944805771</v>
      </c>
      <c r="M100" s="10" t="n">
        <v>1.394423435723111</v>
      </c>
      <c r="N100" s="10" t="n">
        <v>1.447986520768992</v>
      </c>
      <c r="O100" s="10" t="n">
        <v>1.91554362855038</v>
      </c>
      <c r="P100" s="10" t="n">
        <v>1.93584328653902</v>
      </c>
      <c r="Q100" s="10" t="n">
        <v>1.954502330999215</v>
      </c>
      <c r="R100" s="10" t="n">
        <v>1.971639892564452</v>
      </c>
      <c r="S100" s="10" t="n">
        <v>1.987362605496218</v>
      </c>
      <c r="T100" s="10" t="n">
        <v>2.00176640872609</v>
      </c>
      <c r="U100" s="10" t="n">
        <v>2.014937942865905</v>
      </c>
      <c r="V100" s="10" t="n">
        <v>2.026952668284852</v>
      </c>
      <c r="W100" s="10" t="n">
        <v>2.037871869586932</v>
      </c>
      <c r="X100" s="10" t="n">
        <v>2.047743911174199</v>
      </c>
      <c r="Y100" s="10" t="n">
        <v>2.056605759330107</v>
      </c>
      <c r="Z100" s="10" t="n">
        <v>2.064484192778397</v>
      </c>
      <c r="AA100" s="10" t="n">
        <v>2.071397040466362</v>
      </c>
      <c r="AB100" s="10" t="n">
        <v>2.077354272985509</v>
      </c>
      <c r="AC100" s="10" t="n">
        <v>2.082358938814939</v>
      </c>
      <c r="AD100" s="10" t="n">
        <v>2.086408164418634</v>
      </c>
      <c r="AE100" s="10" t="n">
        <v>2.089494747548994</v>
      </c>
      <c r="AF100" s="10" t="n">
        <v>2.091608795022888</v>
      </c>
      <c r="AG100" s="10" t="n">
        <v>2.092739087123903</v>
      </c>
      <c r="AH100" s="10" t="n">
        <v>2.092874151782929</v>
      </c>
      <c r="AI100" s="10" t="n">
        <v>2.092005862335712</v>
      </c>
      <c r="AJ100" s="10" t="n">
        <v>2.090130841079765</v>
      </c>
      <c r="AK100" s="10" t="n">
        <v>2.087250039949438</v>
      </c>
      <c r="AL100" s="10" t="n">
        <v>2.08336894341946</v>
      </c>
      <c r="AM100" s="10" t="n">
        <v>2.07850005366129</v>
      </c>
      <c r="AN100" s="10" t="n">
        <v>2.072663753744059</v>
      </c>
      <c r="AO100" s="10" t="n">
        <v>2.065888324849723</v>
      </c>
      <c r="AP100" s="10" t="n">
        <v>2.058209858236341</v>
      </c>
      <c r="AQ100" s="10" t="n">
        <v>2.04967190869255</v>
      </c>
      <c r="AR100" s="10" t="n">
        <v>2.04032510743856</v>
      </c>
      <c r="AS100" s="10" t="n">
        <v>2.030226572531272</v>
      </c>
      <c r="AT100" s="10" t="n">
        <v>2.019439393756564</v>
      </c>
      <c r="AU100" s="10" t="n">
        <v>2.008032105727871</v>
      </c>
    </row>
    <row r="101">
      <c r="A101" s="9" t="n">
        <v>-24</v>
      </c>
      <c r="B101" s="7" t="n">
        <v>43140</v>
      </c>
      <c r="C101" s="10" t="n">
        <v>0.7332489680595146</v>
      </c>
      <c r="D101" s="10" t="n">
        <v>0.8044577178579828</v>
      </c>
      <c r="E101" s="10" t="n">
        <v>0.8733265440048461</v>
      </c>
      <c r="F101" s="10" t="n">
        <v>0.9404989650910336</v>
      </c>
      <c r="G101" s="10" t="n">
        <v>1.006216827337584</v>
      </c>
      <c r="H101" s="10" t="n">
        <v>1.070483717362846</v>
      </c>
      <c r="I101" s="10" t="n">
        <v>1.133187204049822</v>
      </c>
      <c r="J101" s="10" t="n">
        <v>1.194189952884094</v>
      </c>
      <c r="K101" s="10" t="n">
        <v>1.253372581103164</v>
      </c>
      <c r="L101" s="10" t="n">
        <v>1.310629834463638</v>
      </c>
      <c r="M101" s="10" t="n">
        <v>1.365858906896067</v>
      </c>
      <c r="N101" s="10" t="n">
        <v>1.418953897264598</v>
      </c>
      <c r="O101" s="10" t="n">
        <v>1.886767411388882</v>
      </c>
      <c r="P101" s="10" t="n">
        <v>1.906903679272619</v>
      </c>
      <c r="Q101" s="10" t="n">
        <v>1.925328935781348</v>
      </c>
      <c r="R101" s="10" t="n">
        <v>1.942169964547824</v>
      </c>
      <c r="S101" s="10" t="n">
        <v>1.957542550055746</v>
      </c>
      <c r="T101" s="10" t="n">
        <v>1.971553042018765</v>
      </c>
      <c r="U101" s="10" t="n">
        <v>1.98429951289731</v>
      </c>
      <c r="V101" s="10" t="n">
        <v>1.99586896511861</v>
      </c>
      <c r="W101" s="10" t="n">
        <v>2.006333435010201</v>
      </c>
      <c r="X101" s="10" t="n">
        <v>2.01575124631302</v>
      </c>
      <c r="Y101" s="10" t="n">
        <v>2.024168376079273</v>
      </c>
      <c r="Z101" s="10" t="n">
        <v>2.031619440960191</v>
      </c>
      <c r="AA101" s="10" t="n">
        <v>2.03812903605703</v>
      </c>
      <c r="AB101" s="10" t="n">
        <v>2.043712957036472</v>
      </c>
      <c r="AC101" s="10" t="n">
        <v>2.048379248264442</v>
      </c>
      <c r="AD101" s="10" t="n">
        <v>2.052129238780259</v>
      </c>
      <c r="AE101" s="10" t="n">
        <v>2.054958936429928</v>
      </c>
      <c r="AF101" s="10" t="n">
        <v>2.056860728711085</v>
      </c>
      <c r="AG101" s="10" t="n">
        <v>2.057824954268152</v>
      </c>
      <c r="AH101" s="10" t="n">
        <v>2.057841099426898</v>
      </c>
      <c r="AI101" s="10" t="n">
        <v>2.056901477326022</v>
      </c>
      <c r="AJ101" s="10" t="n">
        <v>2.055002630792223</v>
      </c>
      <c r="AK101" s="10" t="n">
        <v>2.052144960409877</v>
      </c>
      <c r="AL101" s="10" t="n">
        <v>2.048333003772397</v>
      </c>
      <c r="AM101" s="10" t="n">
        <v>2.043577976233625</v>
      </c>
      <c r="AN101" s="10" t="n">
        <v>2.037898626919954</v>
      </c>
      <c r="AO101" s="10" t="n">
        <v>2.031321287682826</v>
      </c>
      <c r="AP101" s="10" t="n">
        <v>2.023879799688276</v>
      </c>
      <c r="AQ101" s="10" t="n">
        <v>2.015615210470972</v>
      </c>
      <c r="AR101" s="10" t="n">
        <v>2.006575416912963</v>
      </c>
      <c r="AS101" s="10" t="n">
        <v>1.996814594809747</v>
      </c>
      <c r="AT101" s="10" t="n">
        <v>1.986392704171464</v>
      </c>
      <c r="AU101" s="10" t="n">
        <v>1.975374981116644</v>
      </c>
    </row>
    <row r="102">
      <c r="A102" s="9" t="n">
        <v>-23</v>
      </c>
      <c r="B102" s="7" t="n">
        <v>43143</v>
      </c>
      <c r="C102" s="10" t="n">
        <v>0.7356019198822369</v>
      </c>
      <c r="D102" s="10" t="n">
        <v>0.807580791735545</v>
      </c>
      <c r="E102" s="10" t="n">
        <v>0.8771593199741491</v>
      </c>
      <c r="F102" s="10" t="n">
        <v>0.9449021973288174</v>
      </c>
      <c r="G102" s="10" t="n">
        <v>1.011033881413579</v>
      </c>
      <c r="H102" s="10" t="n">
        <v>1.075560294965742</v>
      </c>
      <c r="I102" s="10" t="n">
        <v>1.138374662907498</v>
      </c>
      <c r="J102" s="10" t="n">
        <v>1.1993496637308</v>
      </c>
      <c r="K102" s="10" t="n">
        <v>1.258382392374617</v>
      </c>
      <c r="L102" s="10" t="n">
        <v>1.315391948547886</v>
      </c>
      <c r="M102" s="10" t="n">
        <v>1.37030443538869</v>
      </c>
      <c r="N102" s="10" t="n">
        <v>1.423044949949844</v>
      </c>
      <c r="O102" s="10" t="n">
        <v>1.889695192685758</v>
      </c>
      <c r="P102" s="10" t="n">
        <v>1.909917292822248</v>
      </c>
      <c r="Q102" s="10" t="n">
        <v>1.928415761895393</v>
      </c>
      <c r="R102" s="10" t="n">
        <v>1.945314766407548</v>
      </c>
      <c r="S102" s="10" t="n">
        <v>1.960728832963079</v>
      </c>
      <c r="T102" s="10" t="n">
        <v>1.974764209145975</v>
      </c>
      <c r="U102" s="10" t="n">
        <v>1.987519835722804</v>
      </c>
      <c r="V102" s="10" t="n">
        <v>1.999084225484101</v>
      </c>
      <c r="W102" s="10" t="n">
        <v>2.009531286344587</v>
      </c>
      <c r="X102" s="10" t="n">
        <v>2.018921501456659</v>
      </c>
      <c r="Y102" s="10" t="n">
        <v>2.027303102717581</v>
      </c>
      <c r="Z102" s="10" t="n">
        <v>2.034712843979021</v>
      </c>
      <c r="AA102" s="10" t="n">
        <v>2.041177328859434</v>
      </c>
      <c r="AB102" s="10" t="n">
        <v>2.046714248548557</v>
      </c>
      <c r="AC102" s="10" t="n">
        <v>2.051333443318769</v>
      </c>
      <c r="AD102" s="10" t="n">
        <v>2.055037927345126</v>
      </c>
      <c r="AE102" s="10" t="n">
        <v>2.057825194858018</v>
      </c>
      <c r="AF102" s="10" t="n">
        <v>2.059688954638994</v>
      </c>
      <c r="AG102" s="10" t="n">
        <v>2.060620790909856</v>
      </c>
      <c r="AH102" s="10" t="n">
        <v>2.060611376637194</v>
      </c>
      <c r="AI102" s="10" t="n">
        <v>2.059654115239761</v>
      </c>
      <c r="AJ102" s="10" t="n">
        <v>2.057746512546951</v>
      </c>
      <c r="AK102" s="10" t="n">
        <v>2.054889815500327</v>
      </c>
      <c r="AL102" s="10" t="n">
        <v>2.05108930365644</v>
      </c>
      <c r="AM102" s="10" t="n">
        <v>2.046356804029162</v>
      </c>
      <c r="AN102" s="10" t="n">
        <v>2.040711526419981</v>
      </c>
      <c r="AO102" s="10" t="n">
        <v>2.034180121890433</v>
      </c>
      <c r="AP102" s="10" t="n">
        <v>2.0267966103724</v>
      </c>
      <c r="AQ102" s="10" t="n">
        <v>2.018602058972277</v>
      </c>
      <c r="AR102" s="10" t="n">
        <v>2.009644210716745</v>
      </c>
      <c r="AS102" s="10" t="n">
        <v>1.999976926721744</v>
      </c>
      <c r="AT102" s="10" t="n">
        <v>1.989659700035421</v>
      </c>
      <c r="AU102" s="10" t="n">
        <v>1.978757135239968</v>
      </c>
    </row>
    <row r="103">
      <c r="A103" s="9" t="n">
        <v>-22</v>
      </c>
      <c r="B103" s="7" t="n">
        <v>43144</v>
      </c>
      <c r="C103" s="10" t="n">
        <v>0.7547522548597629</v>
      </c>
      <c r="D103" s="10" t="n">
        <v>0.8277534428050118</v>
      </c>
      <c r="E103" s="10" t="n">
        <v>0.8981105798657516</v>
      </c>
      <c r="F103" s="10" t="n">
        <v>0.9664140529158527</v>
      </c>
      <c r="G103" s="10" t="n">
        <v>1.032926250037426</v>
      </c>
      <c r="H103" s="10" t="n">
        <v>1.097691867154567</v>
      </c>
      <c r="I103" s="10" t="n">
        <v>1.160635097777256</v>
      </c>
      <c r="J103" s="10" t="n">
        <v>1.221651865713004</v>
      </c>
      <c r="K103" s="10" t="n">
        <v>1.280656485427398</v>
      </c>
      <c r="L103" s="10" t="n">
        <v>1.337583502306615</v>
      </c>
      <c r="M103" s="10" t="n">
        <v>1.392373725679042</v>
      </c>
      <c r="N103" s="10" t="n">
        <v>1.444966539582924</v>
      </c>
      <c r="O103" s="10" t="n">
        <v>1.910576313774319</v>
      </c>
      <c r="P103" s="10" t="n">
        <v>1.930736916329059</v>
      </c>
      <c r="Q103" s="10" t="n">
        <v>1.949156657233299</v>
      </c>
      <c r="R103" s="10" t="n">
        <v>1.965958260847839</v>
      </c>
      <c r="S103" s="10" t="n">
        <v>1.9812555207329</v>
      </c>
      <c r="T103" s="10" t="n">
        <v>1.995154555636895</v>
      </c>
      <c r="U103" s="10" t="n">
        <v>2.007754689691315</v>
      </c>
      <c r="V103" s="10" t="n">
        <v>2.019145279363246</v>
      </c>
      <c r="W103" s="10" t="n">
        <v>2.029401567904814</v>
      </c>
      <c r="X103" s="10" t="n">
        <v>2.038585822755179</v>
      </c>
      <c r="Y103" s="10" t="n">
        <v>2.046748459594323</v>
      </c>
      <c r="Z103" s="10" t="n">
        <v>2.053928786560873</v>
      </c>
      <c r="AA103" s="10" t="n">
        <v>2.060156290259296</v>
      </c>
      <c r="AB103" s="10" t="n">
        <v>2.06545183348377</v>
      </c>
      <c r="AC103" s="10" t="n">
        <v>2.069828682447211</v>
      </c>
      <c r="AD103" s="10" t="n">
        <v>2.073293512979041</v>
      </c>
      <c r="AE103" s="10" t="n">
        <v>2.075847727555912</v>
      </c>
      <c r="AF103" s="10" t="n">
        <v>2.077489124934384</v>
      </c>
      <c r="AG103" s="10" t="n">
        <v>2.078213454949676</v>
      </c>
      <c r="AH103" s="10" t="n">
        <v>2.078015560444217</v>
      </c>
      <c r="AI103" s="10" t="n">
        <v>2.076892760661832</v>
      </c>
      <c r="AJ103" s="10" t="n">
        <v>2.07484611057806</v>
      </c>
      <c r="AK103" s="10" t="n">
        <v>2.071880071368001</v>
      </c>
      <c r="AL103" s="10" t="n">
        <v>2.06800278928441</v>
      </c>
      <c r="AM103" s="10" t="n">
        <v>2.063228407195525</v>
      </c>
      <c r="AN103" s="10" t="n">
        <v>2.057577815525326</v>
      </c>
      <c r="AO103" s="10" t="n">
        <v>2.05107867628191</v>
      </c>
      <c r="AP103" s="10" t="n">
        <v>2.043765330690018</v>
      </c>
      <c r="AQ103" s="10" t="n">
        <v>2.035678503668385</v>
      </c>
      <c r="AR103" s="10" t="n">
        <v>2.026864963631234</v>
      </c>
      <c r="AS103" s="10" t="n">
        <v>2.017377016981514</v>
      </c>
      <c r="AT103" s="10" t="n">
        <v>2.007272068311523</v>
      </c>
      <c r="AU103" s="10" t="n">
        <v>1.996612136390587</v>
      </c>
    </row>
    <row r="104">
      <c r="A104" s="9" t="n">
        <v>-21</v>
      </c>
      <c r="B104" s="7" t="n">
        <v>43145</v>
      </c>
      <c r="C104" s="10" t="n">
        <v>0.7560421201264799</v>
      </c>
      <c r="D104" s="10" t="n">
        <v>0.8286615244661203</v>
      </c>
      <c r="E104" s="10" t="n">
        <v>0.8996199474598949</v>
      </c>
      <c r="F104" s="10" t="n">
        <v>0.9689844300230693</v>
      </c>
      <c r="G104" s="10" t="n">
        <v>1.03670120082407</v>
      </c>
      <c r="H104" s="10" t="n">
        <v>1.102644350073248</v>
      </c>
      <c r="I104" s="10" t="n">
        <v>1.166658394788891</v>
      </c>
      <c r="J104" s="10" t="n">
        <v>1.228614362941404</v>
      </c>
      <c r="K104" s="10" t="n">
        <v>1.288431576746845</v>
      </c>
      <c r="L104" s="10" t="n">
        <v>1.346066966586676</v>
      </c>
      <c r="M104" s="10" t="n">
        <v>1.401489763876248</v>
      </c>
      <c r="N104" s="10" t="n">
        <v>1.454668249399481</v>
      </c>
      <c r="O104" s="10" t="n">
        <v>1.929011819069686</v>
      </c>
      <c r="P104" s="10" t="n">
        <v>1.949800434089878</v>
      </c>
      <c r="Q104" s="10" t="n">
        <v>1.968794002556558</v>
      </c>
      <c r="R104" s="10" t="n">
        <v>1.986110941602796</v>
      </c>
      <c r="S104" s="10" t="n">
        <v>2.001862844926073</v>
      </c>
      <c r="T104" s="10" t="n">
        <v>2.016155426044182</v>
      </c>
      <c r="U104" s="10" t="n">
        <v>2.02908912746511</v>
      </c>
      <c r="V104" s="10" t="n">
        <v>2.040755686634945</v>
      </c>
      <c r="W104" s="10" t="n">
        <v>2.051233823602452</v>
      </c>
      <c r="X104" s="10" t="n">
        <v>2.060590226140504</v>
      </c>
      <c r="Y104" s="10" t="n">
        <v>2.068880297465658</v>
      </c>
      <c r="Z104" s="10" t="n">
        <v>2.076148505624208</v>
      </c>
      <c r="AA104" s="10" t="n">
        <v>2.082429607526543</v>
      </c>
      <c r="AB104" s="10" t="n">
        <v>2.087749833202613</v>
      </c>
      <c r="AC104" s="10" t="n">
        <v>2.092127901106296</v>
      </c>
      <c r="AD104" s="10" t="n">
        <v>2.095575931550944</v>
      </c>
      <c r="AE104" s="10" t="n">
        <v>2.098100416105447</v>
      </c>
      <c r="AF104" s="10" t="n">
        <v>2.099703808847985</v>
      </c>
      <c r="AG104" s="10" t="n">
        <v>2.100386167523563</v>
      </c>
      <c r="AH104" s="10" t="n">
        <v>2.100146311436143</v>
      </c>
      <c r="AI104" s="10" t="n">
        <v>2.098985091796635</v>
      </c>
      <c r="AJ104" s="10" t="n">
        <v>2.096906611047147</v>
      </c>
      <c r="AK104" s="10" t="n">
        <v>2.093917938622357</v>
      </c>
      <c r="AL104" s="10" t="n">
        <v>2.090029420355311</v>
      </c>
      <c r="AM104" s="10" t="n">
        <v>2.085256939824006</v>
      </c>
      <c r="AN104" s="10" t="n">
        <v>2.079622655990808</v>
      </c>
      <c r="AO104" s="10" t="n">
        <v>2.073155056724706</v>
      </c>
      <c r="AP104" s="10" t="n">
        <v>2.065888893921583</v>
      </c>
      <c r="AQ104" s="10" t="n">
        <v>2.057864940517315</v>
      </c>
      <c r="AR104" s="10" t="n">
        <v>2.049129693317036</v>
      </c>
      <c r="AS104" s="10" t="n">
        <v>2.039734895559079</v>
      </c>
      <c r="AT104" s="10" t="n">
        <v>2.029737121244111</v>
      </c>
      <c r="AU104" s="10" t="n">
        <v>2.019197312048369</v>
      </c>
    </row>
    <row r="105">
      <c r="A105" s="9" t="n">
        <v>-20</v>
      </c>
      <c r="B105" s="7" t="n">
        <v>43146</v>
      </c>
      <c r="C105" s="10" t="n">
        <v>0.7569788914690254</v>
      </c>
      <c r="D105" s="10" t="n">
        <v>0.8307608780445926</v>
      </c>
      <c r="E105" s="10" t="n">
        <v>0.9032595872052374</v>
      </c>
      <c r="F105" s="10" t="n">
        <v>0.9743932648211366</v>
      </c>
      <c r="G105" s="10" t="n">
        <v>1.043997012816795</v>
      </c>
      <c r="H105" s="10" t="n">
        <v>1.111857155342991</v>
      </c>
      <c r="I105" s="10" t="n">
        <v>1.177757338443314</v>
      </c>
      <c r="J105" s="10" t="n">
        <v>1.241531754902974</v>
      </c>
      <c r="K105" s="10" t="n">
        <v>1.303078907732466</v>
      </c>
      <c r="L105" s="10" t="n">
        <v>1.362347916020366</v>
      </c>
      <c r="M105" s="10" t="n">
        <v>1.419307959349133</v>
      </c>
      <c r="N105" s="10" t="n">
        <v>1.473931297982616</v>
      </c>
      <c r="O105" s="10" t="n">
        <v>1.960282677341916</v>
      </c>
      <c r="P105" s="10" t="n">
        <v>1.981550869727038</v>
      </c>
      <c r="Q105" s="10" t="n">
        <v>2.000973946223224</v>
      </c>
      <c r="R105" s="10" t="n">
        <v>2.01867411212447</v>
      </c>
      <c r="S105" s="10" t="n">
        <v>2.03476670420579</v>
      </c>
      <c r="T105" s="10" t="n">
        <v>2.049361141223186</v>
      </c>
      <c r="U105" s="10" t="n">
        <v>2.062561522037714</v>
      </c>
      <c r="V105" s="10" t="n">
        <v>2.074463004682505</v>
      </c>
      <c r="W105" s="10" t="n">
        <v>2.085147339792767</v>
      </c>
      <c r="X105" s="10" t="n">
        <v>2.09468389467603</v>
      </c>
      <c r="Y105" s="10" t="n">
        <v>2.103130457057987</v>
      </c>
      <c r="Z105" s="10" t="n">
        <v>2.110533648077707</v>
      </c>
      <c r="AA105" s="10" t="n">
        <v>2.116930180666279</v>
      </c>
      <c r="AB105" s="10" t="n">
        <v>2.122348067840377</v>
      </c>
      <c r="AC105" s="10" t="n">
        <v>2.126807658669553</v>
      </c>
      <c r="AD105" s="10" t="n">
        <v>2.130322579813183</v>
      </c>
      <c r="AE105" s="10" t="n">
        <v>2.132900759844813</v>
      </c>
      <c r="AF105" s="10" t="n">
        <v>2.134546035497506</v>
      </c>
      <c r="AG105" s="10" t="n">
        <v>2.135259772212987</v>
      </c>
      <c r="AH105" s="10" t="n">
        <v>2.135042028125457</v>
      </c>
      <c r="AI105" s="10" t="n">
        <v>2.133894806544929</v>
      </c>
      <c r="AJ105" s="10" t="n">
        <v>2.131823255575878</v>
      </c>
      <c r="AK105" s="10" t="n">
        <v>2.128835393009337</v>
      </c>
      <c r="AL105" s="10" t="n">
        <v>2.124942421485146</v>
      </c>
      <c r="AM105" s="10" t="n">
        <v>2.120160948198865</v>
      </c>
      <c r="AN105" s="10" t="n">
        <v>2.114513694224698</v>
      </c>
      <c r="AO105" s="10" t="n">
        <v>2.108029523711649</v>
      </c>
      <c r="AP105" s="10" t="n">
        <v>2.100743362371937</v>
      </c>
      <c r="AQ105" s="10" t="n">
        <v>2.092695977923912</v>
      </c>
      <c r="AR105" s="10" t="n">
        <v>2.083933702437235</v>
      </c>
      <c r="AS105" s="10" t="n">
        <v>2.074507968644166</v>
      </c>
      <c r="AT105" s="10" t="n">
        <v>2.06447490648558</v>
      </c>
      <c r="AU105" s="10" t="n">
        <v>2.053894893396142</v>
      </c>
    </row>
    <row r="106">
      <c r="A106" s="9" t="n">
        <v>-19</v>
      </c>
      <c r="B106" s="7" t="n">
        <v>43147</v>
      </c>
      <c r="C106" s="10" t="n">
        <v>0.7123547952088746</v>
      </c>
      <c r="D106" s="10" t="n">
        <v>0.7821021341678933</v>
      </c>
      <c r="E106" s="10" t="n">
        <v>0.8510062519041255</v>
      </c>
      <c r="F106" s="10" t="n">
        <v>0.9191102898083244</v>
      </c>
      <c r="G106" s="10" t="n">
        <v>0.9862588277240328</v>
      </c>
      <c r="H106" s="10" t="n">
        <v>1.052184593487152</v>
      </c>
      <c r="I106" s="10" t="n">
        <v>1.116592113032003</v>
      </c>
      <c r="J106" s="10" t="n">
        <v>1.179234126298125</v>
      </c>
      <c r="K106" s="10" t="n">
        <v>1.239929003929907</v>
      </c>
      <c r="L106" s="10" t="n">
        <v>1.298556227006342</v>
      </c>
      <c r="M106" s="10" t="n">
        <v>1.355024833749063</v>
      </c>
      <c r="N106" s="10" t="n">
        <v>1.409255577253146</v>
      </c>
      <c r="O106" s="10" t="n">
        <v>1.890770090252009</v>
      </c>
      <c r="P106" s="10" t="n">
        <v>1.911663960502931</v>
      </c>
      <c r="Q106" s="10" t="n">
        <v>1.930735261192672</v>
      </c>
      <c r="R106" s="10" t="n">
        <v>1.948108457015196</v>
      </c>
      <c r="S106" s="10" t="n">
        <v>1.963900612893082</v>
      </c>
      <c r="T106" s="10" t="n">
        <v>1.978222435626028</v>
      </c>
      <c r="U106" s="10" t="n">
        <v>1.991178916749524</v>
      </c>
      <c r="V106" s="10" t="n">
        <v>2.002865687291038</v>
      </c>
      <c r="W106" s="10" t="n">
        <v>2.013364709020689</v>
      </c>
      <c r="X106" s="10" t="n">
        <v>2.022745370231446</v>
      </c>
      <c r="Y106" s="10" t="n">
        <v>2.031065232158232</v>
      </c>
      <c r="Z106" s="10" t="n">
        <v>2.038370408249429</v>
      </c>
      <c r="AA106" s="10" t="n">
        <v>2.044696855700364</v>
      </c>
      <c r="AB106" s="10" t="n">
        <v>2.050071614005327</v>
      </c>
      <c r="AC106" s="10" t="n">
        <v>2.054513866758819</v>
      </c>
      <c r="AD106" s="10" t="n">
        <v>2.058035883640004</v>
      </c>
      <c r="AE106" s="10" t="n">
        <v>2.060643977656481</v>
      </c>
      <c r="AF106" s="10" t="n">
        <v>2.062340138692166</v>
      </c>
      <c r="AG106" s="10" t="n">
        <v>2.063123691511193</v>
      </c>
      <c r="AH106" s="10" t="n">
        <v>2.062992515714133</v>
      </c>
      <c r="AI106" s="10" t="n">
        <v>2.061946352397508</v>
      </c>
      <c r="AJ106" s="10" t="n">
        <v>2.059987979109736</v>
      </c>
      <c r="AK106" s="10" t="n">
        <v>2.057122942910387</v>
      </c>
      <c r="AL106" s="10" t="n">
        <v>2.053359929333317</v>
      </c>
      <c r="AM106" s="10" t="n">
        <v>2.048713066025178</v>
      </c>
      <c r="AN106" s="10" t="n">
        <v>2.043202630766869</v>
      </c>
      <c r="AO106" s="10" t="n">
        <v>2.036855117739286</v>
      </c>
      <c r="AP106" s="10" t="n">
        <v>2.029703186402203</v>
      </c>
      <c r="AQ106" s="10" t="n">
        <v>2.021785580890409</v>
      </c>
      <c r="AR106" s="10" t="n">
        <v>2.013146937784637</v>
      </c>
      <c r="AS106" s="10" t="n">
        <v>2.003837300387653</v>
      </c>
      <c r="AT106" s="10" t="n">
        <v>1.993911721955251</v>
      </c>
      <c r="AU106" s="10" t="n">
        <v>1.983429903706717</v>
      </c>
    </row>
    <row r="107">
      <c r="A107" s="9" t="n">
        <v>-18</v>
      </c>
      <c r="B107" s="7" t="n">
        <v>43150</v>
      </c>
      <c r="C107" s="10" t="n">
        <v>0.7223635118859988</v>
      </c>
      <c r="D107" s="10" t="n">
        <v>0.7922312623098263</v>
      </c>
      <c r="E107" s="10" t="n">
        <v>0.8613393137563911</v>
      </c>
      <c r="F107" s="10" t="n">
        <v>0.929772440845976</v>
      </c>
      <c r="G107" s="10" t="n">
        <v>0.9973665917120275</v>
      </c>
      <c r="H107" s="10" t="n">
        <v>1.06383050126955</v>
      </c>
      <c r="I107" s="10" t="n">
        <v>1.128841696001708</v>
      </c>
      <c r="J107" s="10" t="n">
        <v>1.192125864992914</v>
      </c>
      <c r="K107" s="10" t="n">
        <v>1.253473372134973</v>
      </c>
      <c r="L107" s="10" t="n">
        <v>1.312735751915214</v>
      </c>
      <c r="M107" s="10" t="n">
        <v>1.369796239843642</v>
      </c>
      <c r="N107" s="10" t="n">
        <v>1.424552971937871</v>
      </c>
      <c r="O107" s="10" t="n">
        <v>1.904900704604019</v>
      </c>
      <c r="P107" s="10" t="n">
        <v>1.925368702418877</v>
      </c>
      <c r="Q107" s="10" t="n">
        <v>1.944020357520755</v>
      </c>
      <c r="R107" s="10" t="n">
        <v>1.960986632214166</v>
      </c>
      <c r="S107" s="10" t="n">
        <v>1.976389688746836</v>
      </c>
      <c r="T107" s="10" t="n">
        <v>1.990344144059047</v>
      </c>
      <c r="U107" s="10" t="n">
        <v>2.002957880270049</v>
      </c>
      <c r="V107" s="10" t="n">
        <v>2.014328517418751</v>
      </c>
      <c r="W107" s="10" t="n">
        <v>2.024539262208097</v>
      </c>
      <c r="X107" s="10" t="n">
        <v>2.033660121661275</v>
      </c>
      <c r="Y107" s="10" t="n">
        <v>2.041748793699506</v>
      </c>
      <c r="Z107" s="10" t="n">
        <v>2.048851198136336</v>
      </c>
      <c r="AA107" s="10" t="n">
        <v>2.055002822445725</v>
      </c>
      <c r="AB107" s="10" t="n">
        <v>2.060229993986836</v>
      </c>
      <c r="AC107" s="10" t="n">
        <v>2.064550970711355</v>
      </c>
      <c r="AD107" s="10" t="n">
        <v>2.06797691436473</v>
      </c>
      <c r="AE107" s="10" t="n">
        <v>2.070512893126344</v>
      </c>
      <c r="AF107" s="10" t="n">
        <v>2.072159543260102</v>
      </c>
      <c r="AG107" s="10" t="n">
        <v>2.072914729931093</v>
      </c>
      <c r="AH107" s="10" t="n">
        <v>2.07277478723432</v>
      </c>
      <c r="AI107" s="10" t="n">
        <v>2.071737840310565</v>
      </c>
      <c r="AJ107" s="10" t="n">
        <v>2.069804973624627</v>
      </c>
      <c r="AK107" s="10" t="n">
        <v>2.066979970857395</v>
      </c>
      <c r="AL107" s="10" t="n">
        <v>2.063269705970745</v>
      </c>
      <c r="AM107" s="10" t="n">
        <v>2.058686478049477</v>
      </c>
      <c r="AN107" s="10" t="n">
        <v>2.053248721140149</v>
      </c>
      <c r="AO107" s="10" t="n">
        <v>2.046981082058364</v>
      </c>
      <c r="AP107" s="10" t="n">
        <v>2.039914380615038</v>
      </c>
      <c r="AQ107" s="10" t="n">
        <v>2.032085586650421</v>
      </c>
      <c r="AR107" s="10" t="n">
        <v>2.02353766285014</v>
      </c>
      <c r="AS107" s="10" t="n">
        <v>2.014319072653184</v>
      </c>
      <c r="AT107" s="10" t="n">
        <v>2.004483388988763</v>
      </c>
      <c r="AU107" s="10" t="n">
        <v>1.994088975354607</v>
      </c>
    </row>
    <row r="108">
      <c r="A108" s="9" t="n">
        <v>-17</v>
      </c>
      <c r="B108" s="7" t="n">
        <v>43151</v>
      </c>
      <c r="C108" s="10" t="n">
        <v>0.7139173380378269</v>
      </c>
      <c r="D108" s="10" t="n">
        <v>0.7813974140940266</v>
      </c>
      <c r="E108" s="10" t="n">
        <v>0.8482403869647338</v>
      </c>
      <c r="F108" s="10" t="n">
        <v>0.9146144944397159</v>
      </c>
      <c r="G108" s="10" t="n">
        <v>0.9803462811710248</v>
      </c>
      <c r="H108" s="10" t="n">
        <v>1.045113157947691</v>
      </c>
      <c r="I108" s="10" t="n">
        <v>1.108568096012831</v>
      </c>
      <c r="J108" s="10" t="n">
        <v>1.17042238175649</v>
      </c>
      <c r="K108" s="10" t="n">
        <v>1.230458449589489</v>
      </c>
      <c r="L108" s="10" t="n">
        <v>1.288522590530869</v>
      </c>
      <c r="M108" s="10" t="n">
        <v>1.344493303749112</v>
      </c>
      <c r="N108" s="10" t="n">
        <v>1.39826250464865</v>
      </c>
      <c r="O108" s="10" t="n">
        <v>1.870953010599313</v>
      </c>
      <c r="P108" s="10" t="n">
        <v>1.891084694004139</v>
      </c>
      <c r="Q108" s="10" t="n">
        <v>1.90943717726175</v>
      </c>
      <c r="R108" s="10" t="n">
        <v>1.926141758777946</v>
      </c>
      <c r="S108" s="10" t="n">
        <v>1.941320470281521</v>
      </c>
      <c r="T108" s="10" t="n">
        <v>1.955087403860727</v>
      </c>
      <c r="U108" s="10" t="n">
        <v>1.967549571039354</v>
      </c>
      <c r="V108" s="10" t="n">
        <v>1.978803363109523</v>
      </c>
      <c r="W108" s="10" t="n">
        <v>1.988930440020292</v>
      </c>
      <c r="X108" s="10" t="n">
        <v>1.997998995961151</v>
      </c>
      <c r="Y108" s="10" t="n">
        <v>2.006064699095051</v>
      </c>
      <c r="Z108" s="10" t="n">
        <v>2.0131712800848</v>
      </c>
      <c r="AA108" s="10" t="n">
        <v>2.019351903215096</v>
      </c>
      <c r="AB108" s="10" t="n">
        <v>2.024630454965891</v>
      </c>
      <c r="AC108" s="10" t="n">
        <v>2.029022648855338</v>
      </c>
      <c r="AD108" s="10" t="n">
        <v>2.032537028458686</v>
      </c>
      <c r="AE108" s="10" t="n">
        <v>2.035176047824551</v>
      </c>
      <c r="AF108" s="10" t="n">
        <v>2.036937786862309</v>
      </c>
      <c r="AG108" s="10" t="n">
        <v>2.037817626967984</v>
      </c>
      <c r="AH108" s="10" t="n">
        <v>2.037809522428299</v>
      </c>
      <c r="AI108" s="10" t="n">
        <v>2.036909421504545</v>
      </c>
      <c r="AJ108" s="10" t="n">
        <v>2.035116443838407</v>
      </c>
      <c r="AK108" s="10" t="n">
        <v>2.032432599420661</v>
      </c>
      <c r="AL108" s="10" t="n">
        <v>2.028863194570212</v>
      </c>
      <c r="AM108" s="10" t="n">
        <v>2.02441924550631</v>
      </c>
      <c r="AN108" s="10" t="n">
        <v>2.019118190749915</v>
      </c>
      <c r="AO108" s="10" t="n">
        <v>2.01298394192326</v>
      </c>
      <c r="AP108" s="10" t="n">
        <v>2.006046808133176</v>
      </c>
      <c r="AQ108" s="10" t="n">
        <v>1.998343395477885</v>
      </c>
      <c r="AR108" s="10" t="n">
        <v>1.989916389642747</v>
      </c>
      <c r="AS108" s="10" t="n">
        <v>1.98081405291741</v>
      </c>
      <c r="AT108" s="10" t="n">
        <v>1.97108981246453</v>
      </c>
      <c r="AU108" s="10" t="n">
        <v>1.960801877645053</v>
      </c>
    </row>
    <row r="109">
      <c r="A109" s="9" t="n">
        <v>-16</v>
      </c>
      <c r="B109" s="7" t="n">
        <v>43152</v>
      </c>
      <c r="C109" s="10" t="n">
        <v>0.7191376784878846</v>
      </c>
      <c r="D109" s="10" t="n">
        <v>0.7838113577230396</v>
      </c>
      <c r="E109" s="10" t="n">
        <v>0.8481970581869215</v>
      </c>
      <c r="F109" s="10" t="n">
        <v>0.9123817556115077</v>
      </c>
      <c r="G109" s="10" t="n">
        <v>0.9761021447767732</v>
      </c>
      <c r="H109" s="10" t="n">
        <v>1.03898393033434</v>
      </c>
      <c r="I109" s="10" t="n">
        <v>1.100663069653035</v>
      </c>
      <c r="J109" s="10" t="n">
        <v>1.160855171277849</v>
      </c>
      <c r="K109" s="10" t="n">
        <v>1.219356713570688</v>
      </c>
      <c r="L109" s="10" t="n">
        <v>1.276030187337702</v>
      </c>
      <c r="M109" s="10" t="n">
        <v>1.330769191165271</v>
      </c>
      <c r="N109" s="10" t="n">
        <v>1.383477378995415</v>
      </c>
      <c r="O109" s="10" t="n">
        <v>1.854610057363959</v>
      </c>
      <c r="P109" s="10" t="n">
        <v>1.874993083901064</v>
      </c>
      <c r="Q109" s="10" t="n">
        <v>1.893579731738835</v>
      </c>
      <c r="R109" s="10" t="n">
        <v>1.910496027744911</v>
      </c>
      <c r="S109" s="10" t="n">
        <v>1.925860621545317</v>
      </c>
      <c r="T109" s="10" t="n">
        <v>1.939785828945382</v>
      </c>
      <c r="U109" s="10" t="n">
        <v>1.952378240407905</v>
      </c>
      <c r="V109" s="10" t="n">
        <v>1.96373485584809</v>
      </c>
      <c r="W109" s="10" t="n">
        <v>1.973938736862513</v>
      </c>
      <c r="X109" s="10" t="n">
        <v>1.983060145368426</v>
      </c>
      <c r="Y109" s="10" t="n">
        <v>1.991157139548191</v>
      </c>
      <c r="Z109" s="10" t="n">
        <v>1.998275823642506</v>
      </c>
      <c r="AA109" s="10" t="n">
        <v>2.004451688083799</v>
      </c>
      <c r="AB109" s="10" t="n">
        <v>2.009710903853325</v>
      </c>
      <c r="AC109" s="10" t="n">
        <v>2.014071431806331</v>
      </c>
      <c r="AD109" s="10" t="n">
        <v>2.01754395766342</v>
      </c>
      <c r="AE109" s="10" t="n">
        <v>2.020132712802021</v>
      </c>
      <c r="AF109" s="10" t="n">
        <v>2.021837180833826</v>
      </c>
      <c r="AG109" s="10" t="n">
        <v>2.02265387847912</v>
      </c>
      <c r="AH109" s="10" t="n">
        <v>2.022577691784612</v>
      </c>
      <c r="AI109" s="10" t="n">
        <v>2.021605392473972</v>
      </c>
      <c r="AJ109" s="10" t="n">
        <v>2.019736840392838</v>
      </c>
      <c r="AK109" s="10" t="n">
        <v>2.016974710725157</v>
      </c>
      <c r="AL109" s="10" t="n">
        <v>2.013324940685901</v>
      </c>
      <c r="AM109" s="10" t="n">
        <v>2.008799240812551</v>
      </c>
      <c r="AN109" s="10" t="n">
        <v>2.003415827149426</v>
      </c>
      <c r="AO109" s="10" t="n">
        <v>1.997199456083296</v>
      </c>
      <c r="AP109" s="10" t="n">
        <v>1.990181329349678</v>
      </c>
      <c r="AQ109" s="10" t="n">
        <v>1.982398967179753</v>
      </c>
      <c r="AR109" s="10" t="n">
        <v>1.973895969400365</v>
      </c>
      <c r="AS109" s="10" t="n">
        <v>1.964721510912556</v>
      </c>
      <c r="AT109" s="10" t="n">
        <v>1.954929930120572</v>
      </c>
      <c r="AU109" s="10" t="n">
        <v>1.944580331735515</v>
      </c>
    </row>
    <row r="110">
      <c r="A110" s="9" t="n">
        <v>-15</v>
      </c>
      <c r="B110" s="7" t="n">
        <v>43153</v>
      </c>
      <c r="C110" s="10" t="n">
        <v>0.7260414515504202</v>
      </c>
      <c r="D110" s="10" t="n">
        <v>0.7881399731283204</v>
      </c>
      <c r="E110" s="10" t="n">
        <v>0.8502516001174635</v>
      </c>
      <c r="F110" s="10" t="n">
        <v>0.9125582518348317</v>
      </c>
      <c r="G110" s="10" t="n">
        <v>0.9747564667699389</v>
      </c>
      <c r="H110" s="10" t="n">
        <v>1.036412010926818</v>
      </c>
      <c r="I110" s="10" t="n">
        <v>1.097105578461495</v>
      </c>
      <c r="J110" s="10" t="n">
        <v>1.156509133319525</v>
      </c>
      <c r="K110" s="10" t="n">
        <v>1.21438718588422</v>
      </c>
      <c r="L110" s="10" t="n">
        <v>1.270579225735174</v>
      </c>
      <c r="M110" s="10" t="n">
        <v>1.324963534774452</v>
      </c>
      <c r="N110" s="10" t="n">
        <v>1.377434099825675</v>
      </c>
      <c r="O110" s="10" t="n">
        <v>1.853053622075949</v>
      </c>
      <c r="P110" s="10" t="n">
        <v>1.873946384522824</v>
      </c>
      <c r="Q110" s="10" t="n">
        <v>1.893001003541292</v>
      </c>
      <c r="R110" s="10" t="n">
        <v>1.910336259461818</v>
      </c>
      <c r="S110" s="10" t="n">
        <v>1.926065794622482</v>
      </c>
      <c r="T110" s="10" t="n">
        <v>1.940298825432013</v>
      </c>
      <c r="U110" s="10" t="n">
        <v>1.95314047551429</v>
      </c>
      <c r="V110" s="10" t="n">
        <v>1.964687831397334</v>
      </c>
      <c r="W110" s="10" t="n">
        <v>1.975025631156987</v>
      </c>
      <c r="X110" s="10" t="n">
        <v>1.984227208305045</v>
      </c>
      <c r="Y110" s="10" t="n">
        <v>1.992354650089083</v>
      </c>
      <c r="Z110" s="10" t="n">
        <v>1.999458636798792</v>
      </c>
      <c r="AA110" s="10" t="n">
        <v>2.005579682626582</v>
      </c>
      <c r="AB110" s="10" t="n">
        <v>2.010749375426025</v>
      </c>
      <c r="AC110" s="10" t="n">
        <v>2.014991438412602</v>
      </c>
      <c r="AD110" s="10" t="n">
        <v>2.018322508827616</v>
      </c>
      <c r="AE110" s="10" t="n">
        <v>2.020752505367202</v>
      </c>
      <c r="AF110" s="10" t="n">
        <v>2.022286200095613</v>
      </c>
      <c r="AG110" s="10" t="n">
        <v>2.022925038143499</v>
      </c>
      <c r="AH110" s="10" t="n">
        <v>2.022668459305123</v>
      </c>
      <c r="AI110" s="10" t="n">
        <v>2.021517217316194</v>
      </c>
      <c r="AJ110" s="10" t="n">
        <v>2.019474526360433</v>
      </c>
      <c r="AK110" s="10" t="n">
        <v>2.016545847796423</v>
      </c>
      <c r="AL110" s="10" t="n">
        <v>2.012739369043315</v>
      </c>
      <c r="AM110" s="10" t="n">
        <v>2.008068438586487</v>
      </c>
      <c r="AN110" s="10" t="n">
        <v>2.002552288067245</v>
      </c>
      <c r="AO110" s="10" t="n">
        <v>1.996216114314678</v>
      </c>
      <c r="AP110" s="10" t="n">
        <v>1.989091038132005</v>
      </c>
      <c r="AQ110" s="10" t="n">
        <v>1.98121411130784</v>
      </c>
      <c r="AR110" s="10" t="n">
        <v>1.972628173163833</v>
      </c>
      <c r="AS110" s="10" t="n">
        <v>1.963381374731422</v>
      </c>
      <c r="AT110" s="10" t="n">
        <v>1.953526814483895</v>
      </c>
      <c r="AU110" s="10" t="n">
        <v>1.943122256306315</v>
      </c>
    </row>
    <row r="111">
      <c r="A111" s="9" t="n">
        <v>-14</v>
      </c>
      <c r="B111" s="7" t="n">
        <v>43154</v>
      </c>
      <c r="C111" s="10" t="n">
        <v>0.7344730752728191</v>
      </c>
      <c r="D111" s="10" t="n">
        <v>0.7917079128818221</v>
      </c>
      <c r="E111" s="10" t="n">
        <v>0.8497056003630978</v>
      </c>
      <c r="F111" s="10" t="n">
        <v>0.908679517072058</v>
      </c>
      <c r="G111" s="10" t="n">
        <v>0.9681857719359982</v>
      </c>
      <c r="H111" s="10" t="n">
        <v>1.027640065081606</v>
      </c>
      <c r="I111" s="10" t="n">
        <v>1.08650177037603</v>
      </c>
      <c r="J111" s="10" t="n">
        <v>1.144351659451363</v>
      </c>
      <c r="K111" s="10" t="n">
        <v>1.200893440909136</v>
      </c>
      <c r="L111" s="10" t="n">
        <v>1.255926433431281</v>
      </c>
      <c r="M111" s="10" t="n">
        <v>1.309306928013674</v>
      </c>
      <c r="N111" s="10" t="n">
        <v>1.36092058704818</v>
      </c>
      <c r="O111" s="10" t="n">
        <v>1.83818218341641</v>
      </c>
      <c r="P111" s="10" t="n">
        <v>1.859696423601474</v>
      </c>
      <c r="Q111" s="10" t="n">
        <v>1.879341845907876</v>
      </c>
      <c r="R111" s="10" t="n">
        <v>1.897223822927283</v>
      </c>
      <c r="S111" s="10" t="n">
        <v>1.913446101096297</v>
      </c>
      <c r="T111" s="10" t="n">
        <v>1.928110996377716</v>
      </c>
      <c r="U111" s="10" t="n">
        <v>1.941319291062706</v>
      </c>
      <c r="V111" s="10" t="n">
        <v>1.953166204911335</v>
      </c>
      <c r="W111" s="10" t="n">
        <v>1.963737256193815</v>
      </c>
      <c r="X111" s="10" t="n">
        <v>1.973108879164608</v>
      </c>
      <c r="Y111" s="10" t="n">
        <v>1.981347615300439</v>
      </c>
      <c r="Z111" s="10" t="n">
        <v>1.988509073286941</v>
      </c>
      <c r="AA111" s="10" t="n">
        <v>1.994639041036801</v>
      </c>
      <c r="AB111" s="10" t="n">
        <v>1.999774683338593</v>
      </c>
      <c r="AC111" s="10" t="n">
        <v>2.003945565391023</v>
      </c>
      <c r="AD111" s="10" t="n">
        <v>2.00717415540017</v>
      </c>
      <c r="AE111" s="10" t="n">
        <v>2.009475345655118</v>
      </c>
      <c r="AF111" s="10" t="n">
        <v>2.010857952605058</v>
      </c>
      <c r="AG111" s="10" t="n">
        <v>2.011326779923287</v>
      </c>
      <c r="AH111" s="10" t="n">
        <v>2.01088407163055</v>
      </c>
      <c r="AI111" s="10" t="n">
        <v>2.009532946033666</v>
      </c>
      <c r="AJ111" s="10" t="n">
        <v>2.007278563109534</v>
      </c>
      <c r="AK111" s="10" t="n">
        <v>2.004127951610232</v>
      </c>
      <c r="AL111" s="10" t="n">
        <v>2.000090590352764</v>
      </c>
      <c r="AM111" s="10" t="n">
        <v>1.995181007404492</v>
      </c>
      <c r="AN111" s="10" t="n">
        <v>1.989419539436758</v>
      </c>
      <c r="AO111" s="10" t="n">
        <v>1.98283247788806</v>
      </c>
      <c r="AP111" s="10" t="n">
        <v>1.975452063354258</v>
      </c>
      <c r="AQ111" s="10" t="n">
        <v>1.967316533217866</v>
      </c>
      <c r="AR111" s="10" t="n">
        <v>1.958469989580542</v>
      </c>
      <c r="AS111" s="10" t="n">
        <v>1.948961916701723</v>
      </c>
      <c r="AT111" s="10" t="n">
        <v>1.938846816182378</v>
      </c>
      <c r="AU111" s="10" t="n">
        <v>1.928183905385474</v>
      </c>
    </row>
    <row r="112">
      <c r="A112" s="9" t="n">
        <v>-13</v>
      </c>
      <c r="B112" s="7" t="n">
        <v>43157</v>
      </c>
      <c r="C112" s="10" t="n">
        <v>0.7383209112594531</v>
      </c>
      <c r="D112" s="10" t="n">
        <v>0.7935303521092488</v>
      </c>
      <c r="E112" s="10" t="n">
        <v>0.8495127837553058</v>
      </c>
      <c r="F112" s="10" t="n">
        <v>0.9066014711079541</v>
      </c>
      <c r="G112" s="10" t="n">
        <v>0.964365045537742</v>
      </c>
      <c r="H112" s="10" t="n">
        <v>1.022211955840196</v>
      </c>
      <c r="I112" s="10" t="n">
        <v>1.079596187905605</v>
      </c>
      <c r="J112" s="10" t="n">
        <v>1.136096836270651</v>
      </c>
      <c r="K112" s="10" t="n">
        <v>1.191420447071193</v>
      </c>
      <c r="L112" s="10" t="n">
        <v>1.245370187928883</v>
      </c>
      <c r="M112" s="10" t="n">
        <v>1.297805554201553</v>
      </c>
      <c r="N112" s="10" t="n">
        <v>1.348613445253301</v>
      </c>
      <c r="O112" s="10" t="n">
        <v>1.824605826759333</v>
      </c>
      <c r="P112" s="10" t="n">
        <v>1.846306036856374</v>
      </c>
      <c r="Q112" s="10" t="n">
        <v>1.866121520606831</v>
      </c>
      <c r="R112" s="10" t="n">
        <v>1.884151866680222</v>
      </c>
      <c r="S112" s="10" t="n">
        <v>1.900496777778482</v>
      </c>
      <c r="T112" s="10" t="n">
        <v>1.915256007503481</v>
      </c>
      <c r="U112" s="10" t="n">
        <v>1.928529036817978</v>
      </c>
      <c r="V112" s="10" t="n">
        <v>1.940410902632119</v>
      </c>
      <c r="W112" s="10" t="n">
        <v>1.950988004797693</v>
      </c>
      <c r="X112" s="10" t="n">
        <v>1.960338578286691</v>
      </c>
      <c r="Y112" s="10" t="n">
        <v>1.968531521533424</v>
      </c>
      <c r="Z112" s="10" t="n">
        <v>1.975625037139135</v>
      </c>
      <c r="AA112" s="10" t="n">
        <v>1.981667691209996</v>
      </c>
      <c r="AB112" s="10" t="n">
        <v>1.986699588534147</v>
      </c>
      <c r="AC112" s="10" t="n">
        <v>1.990753375943614</v>
      </c>
      <c r="AD112" s="10" t="n">
        <v>1.993854632585169</v>
      </c>
      <c r="AE112" s="10" t="n">
        <v>1.996021068894903</v>
      </c>
      <c r="AF112" s="10" t="n">
        <v>1.997263975161144</v>
      </c>
      <c r="AG112" s="10" t="n">
        <v>1.997590343092747</v>
      </c>
      <c r="AH112" s="10" t="n">
        <v>1.997004344368814</v>
      </c>
      <c r="AI112" s="10" t="n">
        <v>1.995510732064886</v>
      </c>
      <c r="AJ112" s="10" t="n">
        <v>1.993115999094293</v>
      </c>
      <c r="AK112" s="10" t="n">
        <v>1.989828234362945</v>
      </c>
      <c r="AL112" s="10" t="n">
        <v>1.985657740347123</v>
      </c>
      <c r="AM112" s="10" t="n">
        <v>1.980619653013988</v>
      </c>
      <c r="AN112" s="10" t="n">
        <v>1.974734710950917</v>
      </c>
      <c r="AO112" s="10" t="n">
        <v>1.968029438979755</v>
      </c>
      <c r="AP112" s="10" t="n">
        <v>1.960536171689656</v>
      </c>
      <c r="AQ112" s="10" t="n">
        <v>1.952293147885089</v>
      </c>
      <c r="AR112" s="10" t="n">
        <v>1.943344406141747</v>
      </c>
      <c r="AS112" s="10" t="n">
        <v>1.933739308609785</v>
      </c>
      <c r="AT112" s="10" t="n">
        <v>1.923532187672844</v>
      </c>
      <c r="AU112" s="10" t="n">
        <v>1.912782066882832</v>
      </c>
    </row>
    <row r="113">
      <c r="A113" s="9" t="n">
        <v>-12</v>
      </c>
      <c r="B113" s="7" t="n">
        <v>43158</v>
      </c>
      <c r="C113" s="10" t="n">
        <v>0.7632719612774892</v>
      </c>
      <c r="D113" s="10" t="n">
        <v>0.8214107283348531</v>
      </c>
      <c r="E113" s="10" t="n">
        <v>0.8800523579179708</v>
      </c>
      <c r="F113" s="10" t="n">
        <v>0.9395256034024132</v>
      </c>
      <c r="G113" s="10" t="n">
        <v>0.9994009113439152</v>
      </c>
      <c r="H113" s="10" t="n">
        <v>1.059105011773943</v>
      </c>
      <c r="I113" s="10" t="n">
        <v>1.11811813129363</v>
      </c>
      <c r="J113" s="10" t="n">
        <v>1.176043529304592</v>
      </c>
      <c r="K113" s="10" t="n">
        <v>1.23260618197878</v>
      </c>
      <c r="L113" s="10" t="n">
        <v>1.287619321911014</v>
      </c>
      <c r="M113" s="10" t="n">
        <v>1.340947269127038</v>
      </c>
      <c r="N113" s="10" t="n">
        <v>1.39247839923529</v>
      </c>
      <c r="O113" s="10" t="n">
        <v>1.866194948834356</v>
      </c>
      <c r="P113" s="10" t="n">
        <v>1.887481686019902</v>
      </c>
      <c r="Q113" s="10" t="n">
        <v>1.90693097593064</v>
      </c>
      <c r="R113" s="10" t="n">
        <v>1.924645191306207</v>
      </c>
      <c r="S113" s="10" t="n">
        <v>1.940724231509582</v>
      </c>
      <c r="T113" s="10" t="n">
        <v>1.955265855644761</v>
      </c>
      <c r="U113" s="10" t="n">
        <v>1.968365704570655</v>
      </c>
      <c r="V113" s="10" t="n">
        <v>1.980113768568813</v>
      </c>
      <c r="W113" s="10" t="n">
        <v>1.990590842872012</v>
      </c>
      <c r="X113" s="10" t="n">
        <v>1.999869156712909</v>
      </c>
      <c r="Y113" s="10" t="n">
        <v>2.008011574668415</v>
      </c>
      <c r="Z113" s="10" t="n">
        <v>2.015070631470583</v>
      </c>
      <c r="AA113" s="10" t="n">
        <v>2.02108959159608</v>
      </c>
      <c r="AB113" s="10" t="n">
        <v>2.026103579781864</v>
      </c>
      <c r="AC113" s="10" t="n">
        <v>2.030140546626706</v>
      </c>
      <c r="AD113" s="10" t="n">
        <v>2.033221704481712</v>
      </c>
      <c r="AE113" s="10" t="n">
        <v>2.035360982050973</v>
      </c>
      <c r="AF113" s="10" t="n">
        <v>2.036566447955733</v>
      </c>
      <c r="AG113" s="10" t="n">
        <v>2.036842263778718</v>
      </c>
      <c r="AH113" s="10" t="n">
        <v>2.036190139955851</v>
      </c>
      <c r="AI113" s="10" t="n">
        <v>2.034612778017525</v>
      </c>
      <c r="AJ113" s="10" t="n">
        <v>2.032115002889143</v>
      </c>
      <c r="AK113" s="10" t="n">
        <v>2.028703580832143</v>
      </c>
      <c r="AL113" s="10" t="n">
        <v>2.024387832572623</v>
      </c>
      <c r="AM113" s="10" t="n">
        <v>2.019182289838887</v>
      </c>
      <c r="AN113" s="10" t="n">
        <v>2.013107448583671</v>
      </c>
      <c r="AO113" s="10" t="n">
        <v>2.006189951474677</v>
      </c>
      <c r="AP113" s="10" t="n">
        <v>1.998462603815992</v>
      </c>
      <c r="AQ113" s="10" t="n">
        <v>1.989964487640709</v>
      </c>
      <c r="AR113" s="10" t="n">
        <v>1.980740854910662</v>
      </c>
      <c r="AS113" s="10" t="n">
        <v>1.970842620894238</v>
      </c>
      <c r="AT113" s="10" t="n">
        <v>1.960326008335878</v>
      </c>
      <c r="AU113" s="10" t="n">
        <v>1.94925229692704</v>
      </c>
    </row>
    <row r="114">
      <c r="A114" s="9" t="n">
        <v>-11</v>
      </c>
      <c r="B114" s="7" t="n">
        <v>43159</v>
      </c>
      <c r="C114" s="10" t="n">
        <v>0.730496281669378</v>
      </c>
      <c r="D114" s="10" t="n">
        <v>0.7863047378201437</v>
      </c>
      <c r="E114" s="10" t="n">
        <v>0.8429386706592723</v>
      </c>
      <c r="F114" s="10" t="n">
        <v>0.900697623795737</v>
      </c>
      <c r="G114" s="10" t="n">
        <v>0.9591111826780875</v>
      </c>
      <c r="H114" s="10" t="n">
        <v>1.01757314420533</v>
      </c>
      <c r="I114" s="10" t="n">
        <v>1.075537896451219</v>
      </c>
      <c r="J114" s="10" t="n">
        <v>1.132587596984438</v>
      </c>
      <c r="K114" s="10" t="n">
        <v>1.188431594558941</v>
      </c>
      <c r="L114" s="10" t="n">
        <v>1.242869915380203</v>
      </c>
      <c r="M114" s="10" t="n">
        <v>1.295754712995716</v>
      </c>
      <c r="N114" s="10" t="n">
        <v>1.346961714030257</v>
      </c>
      <c r="O114" s="10" t="n">
        <v>1.821755940225761</v>
      </c>
      <c r="P114" s="10" t="n">
        <v>1.843266695654934</v>
      </c>
      <c r="Q114" s="10" t="n">
        <v>1.862939502037157</v>
      </c>
      <c r="R114" s="10" t="n">
        <v>1.88087414283474</v>
      </c>
      <c r="S114" s="10" t="n">
        <v>1.897168192361151</v>
      </c>
      <c r="T114" s="10" t="n">
        <v>1.911917311116399</v>
      </c>
      <c r="U114" s="10" t="n">
        <v>1.925215235288466</v>
      </c>
      <c r="V114" s="10" t="n">
        <v>1.937150290248033</v>
      </c>
      <c r="W114" s="10" t="n">
        <v>1.947801946233367</v>
      </c>
      <c r="X114" s="10" t="n">
        <v>1.957241413663994</v>
      </c>
      <c r="Y114" s="10" t="n">
        <v>1.965530720106976</v>
      </c>
      <c r="Z114" s="10" t="n">
        <v>1.972721654058275</v>
      </c>
      <c r="AA114" s="10" t="n">
        <v>1.978856809595313</v>
      </c>
      <c r="AB114" s="10" t="n">
        <v>1.983970707645122</v>
      </c>
      <c r="AC114" s="10" t="n">
        <v>1.988090753239512</v>
      </c>
      <c r="AD114" s="10" t="n">
        <v>1.991237632065257</v>
      </c>
      <c r="AE114" s="10" t="n">
        <v>1.993424672689972</v>
      </c>
      <c r="AF114" s="10" t="n">
        <v>1.994659288818005</v>
      </c>
      <c r="AG114" s="10" t="n">
        <v>1.994944967988059</v>
      </c>
      <c r="AH114" s="10" t="n">
        <v>1.994282770656962</v>
      </c>
      <c r="AI114" s="10" t="n">
        <v>1.99267486986313</v>
      </c>
      <c r="AJ114" s="10" t="n">
        <v>1.990125694111263</v>
      </c>
      <c r="AK114" s="10" t="n">
        <v>1.986641732440229</v>
      </c>
      <c r="AL114" s="10" t="n">
        <v>1.982232169688693</v>
      </c>
      <c r="AM114" s="10" t="n">
        <v>1.976911612378347</v>
      </c>
      <c r="AN114" s="10" t="n">
        <v>1.970700845146069</v>
      </c>
      <c r="AO114" s="10" t="n">
        <v>1.963627015852876</v>
      </c>
      <c r="AP114" s="10" t="n">
        <v>1.955723649710791</v>
      </c>
      <c r="AQ114" s="10" t="n">
        <v>1.947030792717746</v>
      </c>
      <c r="AR114" s="10" t="n">
        <v>1.937594911451184</v>
      </c>
      <c r="AS114" s="10" t="n">
        <v>1.927468366100665</v>
      </c>
      <c r="AT114" s="10" t="n">
        <v>1.916709054127673</v>
      </c>
      <c r="AU114" s="10" t="n">
        <v>1.905380182525753</v>
      </c>
    </row>
    <row r="115">
      <c r="A115" s="9" t="n">
        <v>-10</v>
      </c>
      <c r="B115" s="7" t="n">
        <v>43160</v>
      </c>
      <c r="C115" s="10" t="n">
        <v>0.7131574990591962</v>
      </c>
      <c r="D115" s="10" t="n">
        <v>0.7658097250321952</v>
      </c>
      <c r="E115" s="10" t="n">
        <v>0.8192696621316458</v>
      </c>
      <c r="F115" s="10" t="n">
        <v>0.8740000399656828</v>
      </c>
      <c r="G115" s="10" t="n">
        <v>0.9296378486937364</v>
      </c>
      <c r="H115" s="10" t="n">
        <v>0.9856373840451488</v>
      </c>
      <c r="I115" s="10" t="n">
        <v>1.041481865286836</v>
      </c>
      <c r="J115" s="10" t="n">
        <v>1.096762305044066</v>
      </c>
      <c r="K115" s="10" t="n">
        <v>1.151185702988595</v>
      </c>
      <c r="L115" s="10" t="n">
        <v>1.204541192492208</v>
      </c>
      <c r="M115" s="10" t="n">
        <v>1.25666260313765</v>
      </c>
      <c r="N115" s="10" t="n">
        <v>1.307400322023938</v>
      </c>
      <c r="O115" s="10" t="n">
        <v>1.787674398120954</v>
      </c>
      <c r="P115" s="10" t="n">
        <v>1.809692987041711</v>
      </c>
      <c r="Q115" s="10" t="n">
        <v>1.829842212905502</v>
      </c>
      <c r="R115" s="10" t="n">
        <v>1.848221320215318</v>
      </c>
      <c r="S115" s="10" t="n">
        <v>1.864928085502604</v>
      </c>
      <c r="T115" s="10" t="n">
        <v>1.880059001335136</v>
      </c>
      <c r="U115" s="10" t="n">
        <v>1.893709156306681</v>
      </c>
      <c r="V115" s="10" t="n">
        <v>1.905968522112623</v>
      </c>
      <c r="W115" s="10" t="n">
        <v>1.916918350626795</v>
      </c>
      <c r="X115" s="10" t="n">
        <v>1.926631741374801</v>
      </c>
      <c r="Y115" s="10" t="n">
        <v>1.935172686030393</v>
      </c>
      <c r="Z115" s="10" t="n">
        <v>1.942595008988357</v>
      </c>
      <c r="AA115" s="10" t="n">
        <v>1.948943407314448</v>
      </c>
      <c r="AB115" s="10" t="n">
        <v>1.954254563832658</v>
      </c>
      <c r="AC115" s="10" t="n">
        <v>1.958558097093221</v>
      </c>
      <c r="AD115" s="10" t="n">
        <v>1.961876937695641</v>
      </c>
      <c r="AE115" s="10" t="n">
        <v>1.964226661400315</v>
      </c>
      <c r="AF115" s="10" t="n">
        <v>1.965616957097626</v>
      </c>
      <c r="AG115" s="10" t="n">
        <v>1.966053630376638</v>
      </c>
      <c r="AH115" s="10" t="n">
        <v>1.965540076611896</v>
      </c>
      <c r="AI115" s="10" t="n">
        <v>1.964080703281487</v>
      </c>
      <c r="AJ115" s="10" t="n">
        <v>1.961682023943077</v>
      </c>
      <c r="AK115" s="10" t="n">
        <v>1.958352476578868</v>
      </c>
      <c r="AL115" s="10" t="n">
        <v>1.954103047558242</v>
      </c>
      <c r="AM115" s="10" t="n">
        <v>1.948949886316098</v>
      </c>
      <c r="AN115" s="10" t="n">
        <v>1.942915023354287</v>
      </c>
      <c r="AO115" s="10" t="n">
        <v>1.936026566891084</v>
      </c>
      <c r="AP115" s="10" t="n">
        <v>1.928318726163766</v>
      </c>
      <c r="AQ115" s="10" t="n">
        <v>1.919831958028311</v>
      </c>
      <c r="AR115" s="10" t="n">
        <v>1.910612871357392</v>
      </c>
      <c r="AS115" s="10" t="n">
        <v>1.900713721704725</v>
      </c>
      <c r="AT115" s="10" t="n">
        <v>1.89019206585788</v>
      </c>
      <c r="AU115" s="10" t="n">
        <v>1.879110517196386</v>
      </c>
    </row>
    <row r="116">
      <c r="A116" s="9" t="n">
        <v>-9</v>
      </c>
      <c r="B116" s="7" t="n">
        <v>43161</v>
      </c>
      <c r="C116" s="10" t="n">
        <v>0.7193912955730292</v>
      </c>
      <c r="D116" s="10" t="n">
        <v>0.7683723220573438</v>
      </c>
      <c r="E116" s="10" t="n">
        <v>0.8190181612036882</v>
      </c>
      <c r="F116" s="10" t="n">
        <v>0.8716121683255982</v>
      </c>
      <c r="G116" s="10" t="n">
        <v>0.9256619046363576</v>
      </c>
      <c r="H116" s="10" t="n">
        <v>0.9805146855079413</v>
      </c>
      <c r="I116" s="10" t="n">
        <v>1.035559676445264</v>
      </c>
      <c r="J116" s="10" t="n">
        <v>1.090304844368696</v>
      </c>
      <c r="K116" s="10" t="n">
        <v>1.144385456501882</v>
      </c>
      <c r="L116" s="10" t="n">
        <v>1.197531830039603</v>
      </c>
      <c r="M116" s="10" t="n">
        <v>1.249529681816888</v>
      </c>
      <c r="N116" s="10" t="n">
        <v>1.300191475024837</v>
      </c>
      <c r="O116" s="10" t="n">
        <v>1.77920873781098</v>
      </c>
      <c r="P116" s="10" t="n">
        <v>1.801220793585553</v>
      </c>
      <c r="Q116" s="10" t="n">
        <v>1.82140225844112</v>
      </c>
      <c r="R116" s="10" t="n">
        <v>1.839852565580795</v>
      </c>
      <c r="S116" s="10" t="n">
        <v>1.856668445718545</v>
      </c>
      <c r="T116" s="10" t="n">
        <v>1.871944302423124</v>
      </c>
      <c r="U116" s="10" t="n">
        <v>1.885772232560026</v>
      </c>
      <c r="V116" s="10" t="n">
        <v>1.898238474640532</v>
      </c>
      <c r="W116" s="10" t="n">
        <v>1.90942009517229</v>
      </c>
      <c r="X116" s="10" t="n">
        <v>1.919385668617815</v>
      </c>
      <c r="Y116" s="10" t="n">
        <v>1.928194612486726</v>
      </c>
      <c r="Z116" s="10" t="n">
        <v>1.935896473150287</v>
      </c>
      <c r="AA116" s="10" t="n">
        <v>1.942531972842804</v>
      </c>
      <c r="AB116" s="10" t="n">
        <v>1.948134085775542</v>
      </c>
      <c r="AC116" s="10" t="n">
        <v>1.952728956623865</v>
      </c>
      <c r="AD116" s="10" t="n">
        <v>1.956336315206981</v>
      </c>
      <c r="AE116" s="10" t="n">
        <v>1.958969055162201</v>
      </c>
      <c r="AF116" s="10" t="n">
        <v>1.960634741158727</v>
      </c>
      <c r="AG116" s="10" t="n">
        <v>1.961337483946946</v>
      </c>
      <c r="AH116" s="10" t="n">
        <v>1.961079392370138</v>
      </c>
      <c r="AI116" s="10" t="n">
        <v>1.959863960782456</v>
      </c>
      <c r="AJ116" s="10" t="n">
        <v>1.957697083740771</v>
      </c>
      <c r="AK116" s="10" t="n">
        <v>1.954586843617325</v>
      </c>
      <c r="AL116" s="10" t="n">
        <v>1.950544141262204</v>
      </c>
      <c r="AM116" s="10" t="n">
        <v>1.945585285607171</v>
      </c>
      <c r="AN116" s="10" t="n">
        <v>1.939732655416697</v>
      </c>
      <c r="AO116" s="10" t="n">
        <v>1.933014887332877</v>
      </c>
      <c r="AP116" s="10" t="n">
        <v>1.925466868938674</v>
      </c>
      <c r="AQ116" s="10" t="n">
        <v>1.917129814835232</v>
      </c>
      <c r="AR116" s="10" t="n">
        <v>1.908051111897132</v>
      </c>
      <c r="AS116" s="10" t="n">
        <v>1.898283808214035</v>
      </c>
      <c r="AT116" s="10" t="n">
        <v>1.887886243551002</v>
      </c>
      <c r="AU116" s="10" t="n">
        <v>1.87692170103576</v>
      </c>
    </row>
    <row r="117">
      <c r="A117" s="9" t="n">
        <v>-8</v>
      </c>
      <c r="B117" s="7" t="n">
        <v>43164</v>
      </c>
      <c r="C117" s="10" t="n">
        <v>0.74199546678497</v>
      </c>
      <c r="D117" s="10" t="n">
        <v>0.7926139696846092</v>
      </c>
      <c r="E117" s="10" t="n">
        <v>0.8441895873485433</v>
      </c>
      <c r="F117" s="10" t="n">
        <v>0.8974053577242233</v>
      </c>
      <c r="G117" s="10" t="n">
        <v>0.9519747364769948</v>
      </c>
      <c r="H117" s="10" t="n">
        <v>1.00734046571933</v>
      </c>
      <c r="I117" s="10" t="n">
        <v>1.062930590375365</v>
      </c>
      <c r="J117" s="10" t="n">
        <v>1.118263028316744</v>
      </c>
      <c r="K117" s="10" t="n">
        <v>1.17296549729019</v>
      </c>
      <c r="L117" s="10" t="n">
        <v>1.226751808952373</v>
      </c>
      <c r="M117" s="10" t="n">
        <v>1.279386207492996</v>
      </c>
      <c r="N117" s="10" t="n">
        <v>1.330658312148262</v>
      </c>
      <c r="O117" s="10" t="n">
        <v>1.810810336288658</v>
      </c>
      <c r="P117" s="10" t="n">
        <v>1.83259754413943</v>
      </c>
      <c r="Q117" s="10" t="n">
        <v>1.852575083486488</v>
      </c>
      <c r="R117" s="10" t="n">
        <v>1.870849748434274</v>
      </c>
      <c r="S117" s="10" t="n">
        <v>1.887523208062345</v>
      </c>
      <c r="T117" s="10" t="n">
        <v>1.902692747894475</v>
      </c>
      <c r="U117" s="10" t="n">
        <v>1.916451577780717</v>
      </c>
      <c r="V117" s="10" t="n">
        <v>1.928885418174021</v>
      </c>
      <c r="W117" s="10" t="n">
        <v>1.940069341444034</v>
      </c>
      <c r="X117" s="10" t="n">
        <v>1.950068678430209</v>
      </c>
      <c r="Y117" s="10" t="n">
        <v>1.958938874447934</v>
      </c>
      <c r="Z117" s="10" t="n">
        <v>1.966725264142492</v>
      </c>
      <c r="AA117" s="10" t="n">
        <v>1.973464189882798</v>
      </c>
      <c r="AB117" s="10" t="n">
        <v>1.97918409838032</v>
      </c>
      <c r="AC117" s="10" t="n">
        <v>1.983906478168632</v>
      </c>
      <c r="AD117" s="10" t="n">
        <v>1.987646435419971</v>
      </c>
      <c r="AE117" s="10" t="n">
        <v>1.990412755375823</v>
      </c>
      <c r="AF117" s="10" t="n">
        <v>1.992209466066942</v>
      </c>
      <c r="AG117" s="10" t="n">
        <v>1.993037569660533</v>
      </c>
      <c r="AH117" s="10" t="n">
        <v>1.992896472832419</v>
      </c>
      <c r="AI117" s="10" t="n">
        <v>1.991787404621371</v>
      </c>
      <c r="AJ117" s="10" t="n">
        <v>1.989714398311943</v>
      </c>
      <c r="AK117" s="10" t="n">
        <v>1.986684038728929</v>
      </c>
      <c r="AL117" s="10" t="n">
        <v>1.982706071630904</v>
      </c>
      <c r="AM117" s="10" t="n">
        <v>1.977795971740999</v>
      </c>
      <c r="AN117" s="10" t="n">
        <v>1.971975570087995</v>
      </c>
      <c r="AO117" s="10" t="n">
        <v>1.965273234154931</v>
      </c>
      <c r="AP117" s="10" t="n">
        <v>1.957723842988672</v>
      </c>
      <c r="AQ117" s="10" t="n">
        <v>1.949368836037072</v>
      </c>
      <c r="AR117" s="10" t="n">
        <v>1.940256030669516</v>
      </c>
      <c r="AS117" s="10" t="n">
        <v>1.930439092715375</v>
      </c>
      <c r="AT117" s="10" t="n">
        <v>1.919977152329295</v>
      </c>
      <c r="AU117" s="10" t="n">
        <v>1.908934429614666</v>
      </c>
    </row>
    <row r="118">
      <c r="A118" s="9" t="n">
        <v>-7</v>
      </c>
      <c r="B118" s="7" t="n">
        <v>43165</v>
      </c>
      <c r="C118" s="10" t="n">
        <v>0.7469933506364489</v>
      </c>
      <c r="D118" s="10" t="n">
        <v>0.8050153372084995</v>
      </c>
      <c r="E118" s="10" t="n">
        <v>0.8616578254023305</v>
      </c>
      <c r="F118" s="10" t="n">
        <v>0.918341834874043</v>
      </c>
      <c r="G118" s="10" t="n">
        <v>0.9752937922763297</v>
      </c>
      <c r="H118" s="10" t="n">
        <v>1.032296042521811</v>
      </c>
      <c r="I118" s="10" t="n">
        <v>1.089009150912855</v>
      </c>
      <c r="J118" s="10" t="n">
        <v>1.145115905108573</v>
      </c>
      <c r="K118" s="10" t="n">
        <v>1.200362267765784</v>
      </c>
      <c r="L118" s="10" t="n">
        <v>1.254547744789003</v>
      </c>
      <c r="M118" s="10" t="n">
        <v>1.30749690064097</v>
      </c>
      <c r="N118" s="10" t="n">
        <v>1.359039879231862</v>
      </c>
      <c r="O118" s="10" t="n">
        <v>1.840497894101535</v>
      </c>
      <c r="P118" s="10" t="n">
        <v>1.861996444930476</v>
      </c>
      <c r="Q118" s="10" t="n">
        <v>1.881626377596155</v>
      </c>
      <c r="R118" s="10" t="n">
        <v>1.899503191129317</v>
      </c>
      <c r="S118" s="10" t="n">
        <v>1.915737804105546</v>
      </c>
      <c r="T118" s="10" t="n">
        <v>1.930437209532118</v>
      </c>
      <c r="U118" s="10" t="n">
        <v>1.943704676257916</v>
      </c>
      <c r="V118" s="10" t="n">
        <v>1.95563589282797</v>
      </c>
      <c r="W118" s="10" t="n">
        <v>1.966315464091051</v>
      </c>
      <c r="X118" s="10" t="n">
        <v>1.975817804339067</v>
      </c>
      <c r="Y118" s="10" t="n">
        <v>1.984206562417604</v>
      </c>
      <c r="Z118" s="10" t="n">
        <v>1.991534020303781</v>
      </c>
      <c r="AA118" s="10" t="n">
        <v>1.997842323868287</v>
      </c>
      <c r="AB118" s="10" t="n">
        <v>2.003164718985829</v>
      </c>
      <c r="AC118" s="10" t="n">
        <v>2.007526606702254</v>
      </c>
      <c r="AD118" s="10" t="n">
        <v>2.010946059339826</v>
      </c>
      <c r="AE118" s="10" t="n">
        <v>2.013433491540621</v>
      </c>
      <c r="AF118" s="10" t="n">
        <v>2.014993344697175</v>
      </c>
      <c r="AG118" s="10" t="n">
        <v>2.015626090603643</v>
      </c>
      <c r="AH118" s="10" t="n">
        <v>2.015329819539073</v>
      </c>
      <c r="AI118" s="10" t="n">
        <v>2.014103845335556</v>
      </c>
      <c r="AJ118" s="10" t="n">
        <v>2.011949771187961</v>
      </c>
      <c r="AK118" s="10" t="n">
        <v>2.008871289190049</v>
      </c>
      <c r="AL118" s="10" t="n">
        <v>2.004874895983937</v>
      </c>
      <c r="AM118" s="10" t="n">
        <v>1.999972659134043</v>
      </c>
      <c r="AN118" s="10" t="n">
        <v>1.994182917929272</v>
      </c>
      <c r="AO118" s="10" t="n">
        <v>1.987530537169671</v>
      </c>
      <c r="AP118" s="10" t="n">
        <v>1.980046938505335</v>
      </c>
      <c r="AQ118" s="10" t="n">
        <v>1.971770263237002</v>
      </c>
      <c r="AR118" s="10" t="n">
        <v>1.962745245796089</v>
      </c>
      <c r="AS118" s="10" t="n">
        <v>1.953022669003227</v>
      </c>
      <c r="AT118" s="10" t="n">
        <v>1.942658985401486</v>
      </c>
      <c r="AU118" s="10" t="n">
        <v>1.931715995587666</v>
      </c>
    </row>
    <row r="119">
      <c r="A119" s="9" t="n">
        <v>-6</v>
      </c>
      <c r="B119" s="7" t="n">
        <v>43166</v>
      </c>
      <c r="C119" s="10" t="n">
        <v>0.7432324129657605</v>
      </c>
      <c r="D119" s="10" t="n">
        <v>0.8000905499016492</v>
      </c>
      <c r="E119" s="10" t="n">
        <v>0.8552167608708795</v>
      </c>
      <c r="F119" s="10" t="n">
        <v>0.9102252409880667</v>
      </c>
      <c r="G119" s="10" t="n">
        <v>0.9654617599600586</v>
      </c>
      <c r="H119" s="10" t="n">
        <v>1.020778338866212</v>
      </c>
      <c r="I119" s="10" t="n">
        <v>1.07587446346063</v>
      </c>
      <c r="J119" s="10" t="n">
        <v>1.13045641261791</v>
      </c>
      <c r="K119" s="10" t="n">
        <v>1.184286337132594</v>
      </c>
      <c r="L119" s="10" t="n">
        <v>1.237177747871665</v>
      </c>
      <c r="M119" s="10" t="n">
        <v>1.288966897928771</v>
      </c>
      <c r="N119" s="10" t="n">
        <v>1.339492995471445</v>
      </c>
      <c r="O119" s="10" t="n">
        <v>1.819051864583923</v>
      </c>
      <c r="P119" s="10" t="n">
        <v>1.84073531962077</v>
      </c>
      <c r="Q119" s="10" t="n">
        <v>1.860505649399786</v>
      </c>
      <c r="R119" s="10" t="n">
        <v>1.878468826004852</v>
      </c>
      <c r="S119" s="10" t="n">
        <v>1.894729991704563</v>
      </c>
      <c r="T119" s="10" t="n">
        <v>1.909393553231216</v>
      </c>
      <c r="U119" s="10" t="n">
        <v>1.922562929292022</v>
      </c>
      <c r="V119" s="10" t="n">
        <v>1.934336548999942</v>
      </c>
      <c r="W119" s="10" t="n">
        <v>1.944804294624915</v>
      </c>
      <c r="X119" s="10" t="n">
        <v>1.954048011566771</v>
      </c>
      <c r="Y119" s="10" t="n">
        <v>1.962139809958412</v>
      </c>
      <c r="Z119" s="10" t="n">
        <v>1.969140496035442</v>
      </c>
      <c r="AA119" s="10" t="n">
        <v>1.975100719126551</v>
      </c>
      <c r="AB119" s="10" t="n">
        <v>1.980062210300647</v>
      </c>
      <c r="AC119" s="10" t="n">
        <v>1.984058835678489</v>
      </c>
      <c r="AD119" s="10" t="n">
        <v>1.987116773670881</v>
      </c>
      <c r="AE119" s="10" t="n">
        <v>1.98925318136635</v>
      </c>
      <c r="AF119" s="10" t="n">
        <v>1.990477852633255</v>
      </c>
      <c r="AG119" s="10" t="n">
        <v>1.990795543689844</v>
      </c>
      <c r="AH119" s="10" t="n">
        <v>1.990207688778777</v>
      </c>
      <c r="AI119" s="10" t="n">
        <v>1.988716057071485</v>
      </c>
      <c r="AJ119" s="10" t="n">
        <v>1.986323878152532</v>
      </c>
      <c r="AK119" s="10" t="n">
        <v>1.983035724166311</v>
      </c>
      <c r="AL119" s="10" t="n">
        <v>1.978858336950652</v>
      </c>
      <c r="AM119" s="10" t="n">
        <v>1.973803541390667</v>
      </c>
      <c r="AN119" s="10" t="n">
        <v>1.967889016201853</v>
      </c>
      <c r="AO119" s="10" t="n">
        <v>1.961138616690479</v>
      </c>
      <c r="AP119" s="10" t="n">
        <v>1.953582461421789</v>
      </c>
      <c r="AQ119" s="10" t="n">
        <v>1.945257178253043</v>
      </c>
      <c r="AR119" s="10" t="n">
        <v>1.936205826656387</v>
      </c>
      <c r="AS119" s="10" t="n">
        <v>1.926477368064142</v>
      </c>
      <c r="AT119" s="10" t="n">
        <v>1.916126308851802</v>
      </c>
      <c r="AU119" s="10" t="n">
        <v>1.905212422308744</v>
      </c>
    </row>
    <row r="120">
      <c r="A120" s="9" t="n">
        <v>-5</v>
      </c>
      <c r="B120" s="7" t="n">
        <v>43167</v>
      </c>
      <c r="C120" s="10" t="n">
        <v>0.7439063079033541</v>
      </c>
      <c r="D120" s="10" t="n">
        <v>0.8001579452853832</v>
      </c>
      <c r="E120" s="10" t="n">
        <v>0.8542223683636085</v>
      </c>
      <c r="F120" s="10" t="n">
        <v>0.9078642875229461</v>
      </c>
      <c r="G120" s="10" t="n">
        <v>0.9615336583726444</v>
      </c>
      <c r="H120" s="10" t="n">
        <v>1.015155151688154</v>
      </c>
      <c r="I120" s="10" t="n">
        <v>1.068483640253176</v>
      </c>
      <c r="J120" s="10" t="n">
        <v>1.12127496070981</v>
      </c>
      <c r="K120" s="10" t="n">
        <v>1.173339146931135</v>
      </c>
      <c r="L120" s="10" t="n">
        <v>1.22453612320454</v>
      </c>
      <c r="M120" s="10" t="n">
        <v>1.274742836978146</v>
      </c>
      <c r="N120" s="10" t="n">
        <v>1.323830540669723</v>
      </c>
      <c r="O120" s="10" t="n">
        <v>1.799328063459985</v>
      </c>
      <c r="P120" s="10" t="n">
        <v>1.82146279817435</v>
      </c>
      <c r="Q120" s="10" t="n">
        <v>1.841717457520155</v>
      </c>
      <c r="R120" s="10" t="n">
        <v>1.860184584850613</v>
      </c>
      <c r="S120" s="10" t="n">
        <v>1.876957845625354</v>
      </c>
      <c r="T120" s="10" t="n">
        <v>1.892131832596125</v>
      </c>
      <c r="U120" s="10" t="n">
        <v>1.905801600672872</v>
      </c>
      <c r="V120" s="10" t="n">
        <v>1.91805888500488</v>
      </c>
      <c r="W120" s="10" t="n">
        <v>1.928988795011878</v>
      </c>
      <c r="X120" s="10" t="n">
        <v>1.938670094141705</v>
      </c>
      <c r="Y120" s="10" t="n">
        <v>1.947173074840989</v>
      </c>
      <c r="Z120" s="10" t="n">
        <v>1.954557655136884</v>
      </c>
      <c r="AA120" s="10" t="n">
        <v>1.960874397549946</v>
      </c>
      <c r="AB120" s="10" t="n">
        <v>1.966165650009545</v>
      </c>
      <c r="AC120" s="10" t="n">
        <v>1.970466514042728</v>
      </c>
      <c r="AD120" s="10" t="n">
        <v>1.973804859072662</v>
      </c>
      <c r="AE120" s="10" t="n">
        <v>1.976199688101448</v>
      </c>
      <c r="AF120" s="10" t="n">
        <v>1.977662742823276</v>
      </c>
      <c r="AG120" s="10" t="n">
        <v>1.978200841539705</v>
      </c>
      <c r="AH120" s="10" t="n">
        <v>1.977817555975858</v>
      </c>
      <c r="AI120" s="10" t="n">
        <v>1.976516733543586</v>
      </c>
      <c r="AJ120" s="10" t="n">
        <v>1.97430357053609</v>
      </c>
      <c r="AK120" s="10" t="n">
        <v>1.971184504169537</v>
      </c>
      <c r="AL120" s="10" t="n">
        <v>1.967168030259025</v>
      </c>
      <c r="AM120" s="10" t="n">
        <v>1.962267524978189</v>
      </c>
      <c r="AN120" s="10" t="n">
        <v>1.956501987226066</v>
      </c>
      <c r="AO120" s="10" t="n">
        <v>1.949896382338578</v>
      </c>
      <c r="AP120" s="10" t="n">
        <v>1.942481745526613</v>
      </c>
      <c r="AQ120" s="10" t="n">
        <v>1.934295453936897</v>
      </c>
      <c r="AR120" s="10" t="n">
        <v>1.925381163679577</v>
      </c>
      <c r="AS120" s="10" t="n">
        <v>1.915788292952364</v>
      </c>
      <c r="AT120" s="10" t="n">
        <v>1.905571677250035</v>
      </c>
      <c r="AU120" s="10" t="n">
        <v>1.894791292802955</v>
      </c>
    </row>
    <row r="121">
      <c r="A121" s="9" t="n">
        <v>-4</v>
      </c>
      <c r="B121" s="7" t="n">
        <v>43168</v>
      </c>
      <c r="C121" s="10" t="n">
        <v>0.77407712834142</v>
      </c>
      <c r="D121" s="10" t="n">
        <v>0.8264311327516249</v>
      </c>
      <c r="E121" s="10" t="n">
        <v>0.8775863063912507</v>
      </c>
      <c r="F121" s="10" t="n">
        <v>0.9292167679017174</v>
      </c>
      <c r="G121" s="10" t="n">
        <v>0.981596020485928</v>
      </c>
      <c r="H121" s="10" t="n">
        <v>1.034479432055814</v>
      </c>
      <c r="I121" s="10" t="n">
        <v>1.087483946831591</v>
      </c>
      <c r="J121" s="10" t="n">
        <v>1.140261562346272</v>
      </c>
      <c r="K121" s="10" t="n">
        <v>1.192542891561243</v>
      </c>
      <c r="L121" s="10" t="n">
        <v>1.244129294404434</v>
      </c>
      <c r="M121" s="10" t="n">
        <v>1.294853370783118</v>
      </c>
      <c r="N121" s="10" t="n">
        <v>1.344552091317656</v>
      </c>
      <c r="O121" s="10" t="n">
        <v>1.829367104295835</v>
      </c>
      <c r="P121" s="10" t="n">
        <v>1.852058997716202</v>
      </c>
      <c r="Q121" s="10" t="n">
        <v>1.872831306622427</v>
      </c>
      <c r="R121" s="10" t="n">
        <v>1.891776163536915</v>
      </c>
      <c r="S121" s="10" t="n">
        <v>1.908987407572099</v>
      </c>
      <c r="T121" s="10" t="n">
        <v>1.924560304354978</v>
      </c>
      <c r="U121" s="10" t="n">
        <v>1.938590981874495</v>
      </c>
      <c r="V121" s="10" t="n">
        <v>1.951172490253211</v>
      </c>
      <c r="W121" s="10" t="n">
        <v>1.962391495974428</v>
      </c>
      <c r="X121" s="10" t="n">
        <v>1.972328530244037</v>
      </c>
      <c r="Y121" s="10" t="n">
        <v>1.981055781917459</v>
      </c>
      <c r="Z121" s="10" t="n">
        <v>1.9886352299763</v>
      </c>
      <c r="AA121" s="10" t="n">
        <v>1.995119659432655</v>
      </c>
      <c r="AB121" s="10" t="n">
        <v>2.000553782544908</v>
      </c>
      <c r="AC121" s="10" t="n">
        <v>2.004975188669227</v>
      </c>
      <c r="AD121" s="10" t="n">
        <v>2.008414308547307</v>
      </c>
      <c r="AE121" s="10" t="n">
        <v>2.010892770887381</v>
      </c>
      <c r="AF121" s="10" t="n">
        <v>2.012425061509612</v>
      </c>
      <c r="AG121" s="10" t="n">
        <v>2.013020827986695</v>
      </c>
      <c r="AH121" s="10" t="n">
        <v>2.012686533612103</v>
      </c>
      <c r="AI121" s="10" t="n">
        <v>2.011428838685427</v>
      </c>
      <c r="AJ121" s="10" t="n">
        <v>2.009255596067352</v>
      </c>
      <c r="AK121" s="10" t="n">
        <v>2.006175757211752</v>
      </c>
      <c r="AL121" s="10" t="n">
        <v>2.00220019436509</v>
      </c>
      <c r="AM121" s="10" t="n">
        <v>1.997344392694378</v>
      </c>
      <c r="AN121" s="10" t="n">
        <v>1.991629134621164</v>
      </c>
      <c r="AO121" s="10" t="n">
        <v>1.985080859843194</v>
      </c>
      <c r="AP121" s="10" t="n">
        <v>1.97773177016063</v>
      </c>
      <c r="AQ121" s="10" t="n">
        <v>1.969620082514532</v>
      </c>
      <c r="AR121" s="10" t="n">
        <v>1.960789950672635</v>
      </c>
      <c r="AS121" s="10" t="n">
        <v>1.95129097454646</v>
      </c>
      <c r="AT121" s="10" t="n">
        <v>1.94117786061101</v>
      </c>
      <c r="AU121" s="10" t="n">
        <v>1.930510098255098</v>
      </c>
    </row>
    <row r="122">
      <c r="A122" s="9" t="n">
        <v>-3</v>
      </c>
      <c r="B122" s="7" t="n">
        <v>43171</v>
      </c>
      <c r="C122" s="10" t="n">
        <v>0.7774576612318478</v>
      </c>
      <c r="D122" s="10" t="n">
        <v>0.8290020720266836</v>
      </c>
      <c r="E122" s="10" t="n">
        <v>0.879699372475867</v>
      </c>
      <c r="F122" s="10" t="n">
        <v>0.9310744878072031</v>
      </c>
      <c r="G122" s="10" t="n">
        <v>0.9833095373247323</v>
      </c>
      <c r="H122" s="10" t="n">
        <v>1.036105327224055</v>
      </c>
      <c r="I122" s="10" t="n">
        <v>1.089045809105619</v>
      </c>
      <c r="J122" s="10" t="n">
        <v>1.141764379250497</v>
      </c>
      <c r="K122" s="10" t="n">
        <v>1.193981523867243</v>
      </c>
      <c r="L122" s="10" t="n">
        <v>1.245493965556164</v>
      </c>
      <c r="M122" s="10" t="n">
        <v>1.296133962695971</v>
      </c>
      <c r="N122" s="10" t="n">
        <v>1.345741028886691</v>
      </c>
      <c r="O122" s="10" t="n">
        <v>1.830320655127147</v>
      </c>
      <c r="P122" s="10" t="n">
        <v>1.853130640040521</v>
      </c>
      <c r="Q122" s="10" t="n">
        <v>1.874037800937558</v>
      </c>
      <c r="R122" s="10" t="n">
        <v>1.893131534627921</v>
      </c>
      <c r="S122" s="10" t="n">
        <v>1.910502658902965</v>
      </c>
      <c r="T122" s="10" t="n">
        <v>1.926243176978487</v>
      </c>
      <c r="U122" s="10" t="n">
        <v>1.940445762614597</v>
      </c>
      <c r="V122" s="10" t="n">
        <v>1.953200054136781</v>
      </c>
      <c r="W122" s="10" t="n">
        <v>1.964589587038268</v>
      </c>
      <c r="X122" s="10" t="n">
        <v>1.974692045387503</v>
      </c>
      <c r="Y122" s="10" t="n">
        <v>1.983577215681695</v>
      </c>
      <c r="Z122" s="10" t="n">
        <v>1.991305288100127</v>
      </c>
      <c r="AA122" s="10" t="n">
        <v>1.99792781953451</v>
      </c>
      <c r="AB122" s="10" t="n">
        <v>2.003488786428939</v>
      </c>
      <c r="AC122" s="10" t="n">
        <v>2.008025476304757</v>
      </c>
      <c r="AD122" s="10" t="n">
        <v>2.011568449371048</v>
      </c>
      <c r="AE122" s="10" t="n">
        <v>2.014140018917795</v>
      </c>
      <c r="AF122" s="10" t="n">
        <v>2.015755873001237</v>
      </c>
      <c r="AG122" s="10" t="n">
        <v>2.016427263612975</v>
      </c>
      <c r="AH122" s="10" t="n">
        <v>2.016162588768281</v>
      </c>
      <c r="AI122" s="10" t="n">
        <v>2.014970636171594</v>
      </c>
      <c r="AJ122" s="10" t="n">
        <v>2.012861512399569</v>
      </c>
      <c r="AK122" s="10" t="n">
        <v>2.009846535171724</v>
      </c>
      <c r="AL122" s="10" t="n">
        <v>2.005939008333035</v>
      </c>
      <c r="AM122" s="10" t="n">
        <v>2.001156760740474</v>
      </c>
      <c r="AN122" s="10" t="n">
        <v>1.995522768875127</v>
      </c>
      <c r="AO122" s="10" t="n">
        <v>1.989065468592196</v>
      </c>
      <c r="AP122" s="10" t="n">
        <v>1.981818817935314</v>
      </c>
      <c r="AQ122" s="10" t="n">
        <v>1.973822450680056</v>
      </c>
      <c r="AR122" s="10" t="n">
        <v>1.965121551800901</v>
      </c>
      <c r="AS122" s="10" t="n">
        <v>1.955766396013701</v>
      </c>
      <c r="AT122" s="10" t="n">
        <v>1.945812003851674</v>
      </c>
      <c r="AU122" s="10" t="n">
        <v>1.935317748019339</v>
      </c>
    </row>
    <row r="123">
      <c r="A123" s="9" t="n">
        <v>-2</v>
      </c>
      <c r="B123" s="7" t="n">
        <v>43172</v>
      </c>
      <c r="C123" s="10" t="n">
        <v>0.7773124947172643</v>
      </c>
      <c r="D123" s="10" t="n">
        <v>0.827053985710887</v>
      </c>
      <c r="E123" s="10" t="n">
        <v>0.876233331836441</v>
      </c>
      <c r="F123" s="10" t="n">
        <v>0.9263196488503543</v>
      </c>
      <c r="G123" s="10" t="n">
        <v>0.9774470080228295</v>
      </c>
      <c r="H123" s="10" t="n">
        <v>1.029266777315105</v>
      </c>
      <c r="I123" s="10" t="n">
        <v>1.081314285407577</v>
      </c>
      <c r="J123" s="10" t="n">
        <v>1.13318034582099</v>
      </c>
      <c r="K123" s="10" t="n">
        <v>1.184550123050973</v>
      </c>
      <c r="L123" s="10" t="n">
        <v>1.235192503910761</v>
      </c>
      <c r="M123" s="10" t="n">
        <v>1.284918196415177</v>
      </c>
      <c r="N123" s="10" t="n">
        <v>1.333549556082646</v>
      </c>
      <c r="O123" s="10" t="n">
        <v>1.798930626012492</v>
      </c>
      <c r="P123" s="10" t="n">
        <v>1.820162282925888</v>
      </c>
      <c r="Q123" s="10" t="n">
        <v>1.839558139262284</v>
      </c>
      <c r="R123" s="10" t="n">
        <v>1.857218721439885</v>
      </c>
      <c r="S123" s="10" t="n">
        <v>1.873243416258476</v>
      </c>
      <c r="T123" s="10" t="n">
        <v>1.88773062065942</v>
      </c>
      <c r="U123" s="10" t="n">
        <v>1.900777525888903</v>
      </c>
      <c r="V123" s="10" t="n">
        <v>1.912476518905589</v>
      </c>
      <c r="W123" s="10" t="n">
        <v>1.922912248710501</v>
      </c>
      <c r="X123" s="10" t="n">
        <v>1.932162082389499</v>
      </c>
      <c r="Y123" s="10" t="n">
        <v>1.940294172008874</v>
      </c>
      <c r="Z123" s="10" t="n">
        <v>1.947365885470513</v>
      </c>
      <c r="AA123" s="10" t="n">
        <v>1.953424918407681</v>
      </c>
      <c r="AB123" s="10" t="n">
        <v>1.958510473729971</v>
      </c>
      <c r="AC123" s="10" t="n">
        <v>1.962654261027715</v>
      </c>
      <c r="AD123" s="10" t="n">
        <v>1.965880524104193</v>
      </c>
      <c r="AE123" s="10" t="n">
        <v>1.968204574668128</v>
      </c>
      <c r="AF123" s="10" t="n">
        <v>1.969634671149886</v>
      </c>
      <c r="AG123" s="10" t="n">
        <v>1.970174421605755</v>
      </c>
      <c r="AH123" s="10" t="n">
        <v>1.969824546443138</v>
      </c>
      <c r="AI123" s="10" t="n">
        <v>1.968586520581144</v>
      </c>
      <c r="AJ123" s="10" t="n">
        <v>1.966463581465495</v>
      </c>
      <c r="AK123" s="10" t="n">
        <v>1.963460579985312</v>
      </c>
      <c r="AL123" s="10" t="n">
        <v>1.959584835067267</v>
      </c>
      <c r="AM123" s="10" t="n">
        <v>1.954848950755063</v>
      </c>
      <c r="AN123" s="10" t="n">
        <v>1.949271477117882</v>
      </c>
      <c r="AO123" s="10" t="n">
        <v>1.942877218302528</v>
      </c>
      <c r="AP123" s="10" t="n">
        <v>1.935697256163486</v>
      </c>
      <c r="AQ123" s="10" t="n">
        <v>1.927769021289632</v>
      </c>
      <c r="AR123" s="10" t="n">
        <v>1.919136095532103</v>
      </c>
      <c r="AS123" s="10" t="n">
        <v>1.909847697935447</v>
      </c>
      <c r="AT123" s="10" t="n">
        <v>1.899958292687655</v>
      </c>
      <c r="AU123" s="10" t="n">
        <v>1.889527124927501</v>
      </c>
    </row>
    <row r="124">
      <c r="A124" s="9" t="n">
        <v>-1</v>
      </c>
      <c r="B124" s="7" t="n">
        <v>43173</v>
      </c>
      <c r="C124" s="10" t="n">
        <v>0.7411526322053101</v>
      </c>
      <c r="D124" s="10" t="n">
        <v>0.7893049358464339</v>
      </c>
      <c r="E124" s="10" t="n">
        <v>0.8369312417371817</v>
      </c>
      <c r="F124" s="10" t="n">
        <v>0.8854232917189553</v>
      </c>
      <c r="G124" s="10" t="n">
        <v>0.9349268327998642</v>
      </c>
      <c r="H124" s="10" t="n">
        <v>0.985119854759762</v>
      </c>
      <c r="I124" s="10" t="n">
        <v>1.03555820263977</v>
      </c>
      <c r="J124" s="10" t="n">
        <v>1.085848265438591</v>
      </c>
      <c r="K124" s="10" t="n">
        <v>1.135689987860566</v>
      </c>
      <c r="L124" s="10" t="n">
        <v>1.184866804247163</v>
      </c>
      <c r="M124" s="10" t="n">
        <v>1.233202491587983</v>
      </c>
      <c r="N124" s="10" t="n">
        <v>1.280529085257711</v>
      </c>
      <c r="O124" s="10" t="n">
        <v>1.735770506823945</v>
      </c>
      <c r="P124" s="10" t="n">
        <v>1.756555581057741</v>
      </c>
      <c r="Q124" s="10" t="n">
        <v>1.775532726983074</v>
      </c>
      <c r="R124" s="10" t="n">
        <v>1.792801018369356</v>
      </c>
      <c r="S124" s="10" t="n">
        <v>1.808458516428983</v>
      </c>
      <c r="T124" s="10" t="n">
        <v>1.822602400271587</v>
      </c>
      <c r="U124" s="10" t="n">
        <v>1.835328728183083</v>
      </c>
      <c r="V124" s="10" t="n">
        <v>1.846728813889722</v>
      </c>
      <c r="W124" s="10" t="n">
        <v>1.856886315100301</v>
      </c>
      <c r="X124" s="10" t="n">
        <v>1.865877669247748</v>
      </c>
      <c r="Y124" s="10" t="n">
        <v>1.873770026367575</v>
      </c>
      <c r="Z124" s="10" t="n">
        <v>1.880619603562457</v>
      </c>
      <c r="AA124" s="10" t="n">
        <v>1.886472812021964</v>
      </c>
      <c r="AB124" s="10" t="n">
        <v>1.89136745286563</v>
      </c>
      <c r="AC124" s="10" t="n">
        <v>1.895333729453139</v>
      </c>
      <c r="AD124" s="10" t="n">
        <v>1.898394237699787</v>
      </c>
      <c r="AE124" s="10" t="n">
        <v>1.900562417887696</v>
      </c>
      <c r="AF124" s="10" t="n">
        <v>1.901844550529672</v>
      </c>
      <c r="AG124" s="10" t="n">
        <v>1.90224226542415</v>
      </c>
      <c r="AH124" s="10" t="n">
        <v>1.90175435236918</v>
      </c>
      <c r="AI124" s="10" t="n">
        <v>1.90038047985728</v>
      </c>
      <c r="AJ124" s="10" t="n">
        <v>1.898122202861666</v>
      </c>
      <c r="AK124" s="10" t="n">
        <v>1.89498280210225</v>
      </c>
      <c r="AL124" s="10" t="n">
        <v>1.890968172995516</v>
      </c>
      <c r="AM124" s="10" t="n">
        <v>1.886089725194273</v>
      </c>
      <c r="AN124" s="10" t="n">
        <v>1.880365056333855</v>
      </c>
      <c r="AO124" s="10" t="n">
        <v>1.87381831108859</v>
      </c>
      <c r="AP124" s="10" t="n">
        <v>1.866480222720736</v>
      </c>
      <c r="AQ124" s="10" t="n">
        <v>1.858388197402502</v>
      </c>
      <c r="AR124" s="10" t="n">
        <v>1.849586107236903</v>
      </c>
      <c r="AS124" s="10" t="n">
        <v>1.840123749929307</v>
      </c>
      <c r="AT124" s="10" t="n">
        <v>1.830056458391995</v>
      </c>
      <c r="AU124" s="10" t="n">
        <v>1.819444654626427</v>
      </c>
    </row>
    <row r="125">
      <c r="A125" s="9" t="n">
        <v>0</v>
      </c>
      <c r="B125" s="7" t="n">
        <v>43174</v>
      </c>
      <c r="C125" s="10" t="n">
        <v>0.7492517379607049</v>
      </c>
      <c r="D125" s="10" t="n">
        <v>0.7986373019182356</v>
      </c>
      <c r="E125" s="10" t="n">
        <v>0.8473258045804007</v>
      </c>
      <c r="F125" s="10" t="n">
        <v>0.8965718629224528</v>
      </c>
      <c r="G125" s="10" t="n">
        <v>0.9465175457559527</v>
      </c>
      <c r="H125" s="10" t="n">
        <v>0.9968899578784053</v>
      </c>
      <c r="I125" s="10" t="n">
        <v>1.04730422515343</v>
      </c>
      <c r="J125" s="10" t="n">
        <v>1.097417979811936</v>
      </c>
      <c r="K125" s="10" t="n">
        <v>1.146969827301225</v>
      </c>
      <c r="L125" s="10" t="n">
        <v>1.195768158959658</v>
      </c>
      <c r="M125" s="10" t="n">
        <v>1.243652064676949</v>
      </c>
      <c r="N125" s="10" t="n">
        <v>1.290462423937476</v>
      </c>
      <c r="O125" s="10" t="n">
        <v>1.734910483312719</v>
      </c>
      <c r="P125" s="10" t="n">
        <v>1.7547517436254</v>
      </c>
      <c r="Q125" s="10" t="n">
        <v>1.772806814503827</v>
      </c>
      <c r="R125" s="10" t="n">
        <v>1.789181883373244</v>
      </c>
      <c r="S125" s="10" t="n">
        <v>1.803981130854732</v>
      </c>
      <c r="T125" s="10" t="n">
        <v>1.817307010423748</v>
      </c>
      <c r="U125" s="10" t="n">
        <v>1.829260092311401</v>
      </c>
      <c r="V125" s="10" t="n">
        <v>1.839935186940767</v>
      </c>
      <c r="W125" s="10" t="n">
        <v>1.849418279620647</v>
      </c>
      <c r="X125" s="10" t="n">
        <v>1.857787090796059</v>
      </c>
      <c r="Y125" s="10" t="n">
        <v>1.865109056184945</v>
      </c>
      <c r="Z125" s="10" t="n">
        <v>1.871439759037709</v>
      </c>
      <c r="AA125" s="10" t="n">
        <v>1.876824171770431</v>
      </c>
      <c r="AB125" s="10" t="n">
        <v>1.881297949969061</v>
      </c>
      <c r="AC125" s="10" t="n">
        <v>1.884888528096244</v>
      </c>
      <c r="AD125" s="10" t="n">
        <v>1.887615158335269</v>
      </c>
      <c r="AE125" s="10" t="n">
        <v>1.889487401194013</v>
      </c>
      <c r="AF125" s="10" t="n">
        <v>1.890507249480563</v>
      </c>
      <c r="AG125" s="10" t="n">
        <v>1.890671729272069</v>
      </c>
      <c r="AH125" s="10" t="n">
        <v>1.889974839946256</v>
      </c>
      <c r="AI125" s="10" t="n">
        <v>1.888411522276972</v>
      </c>
      <c r="AJ125" s="10" t="n">
        <v>1.885978718750172</v>
      </c>
      <c r="AK125" s="10" t="n">
        <v>1.882675203307394</v>
      </c>
      <c r="AL125" s="10" t="n">
        <v>1.878502552223117</v>
      </c>
      <c r="AM125" s="10" t="n">
        <v>1.873468257282262</v>
      </c>
      <c r="AN125" s="10" t="n">
        <v>1.867586440214287</v>
      </c>
      <c r="AO125" s="10" t="n">
        <v>1.860878249860766</v>
      </c>
      <c r="AP125" s="10" t="n">
        <v>1.853371912996465</v>
      </c>
      <c r="AQ125" s="10" t="n">
        <v>1.845102850344958</v>
      </c>
      <c r="AR125" s="10" t="n">
        <v>1.836113461989503</v>
      </c>
      <c r="AS125" s="10" t="n">
        <v>1.826452544425782</v>
      </c>
      <c r="AT125" s="10" t="n">
        <v>1.816174886796323</v>
      </c>
      <c r="AU125" s="10" t="n">
        <v>1.80534084548302</v>
      </c>
    </row>
    <row r="126">
      <c r="A126" s="9" t="n">
        <v>1</v>
      </c>
      <c r="B126" s="7" t="n">
        <v>43175</v>
      </c>
      <c r="C126" s="10" t="n">
        <v>0.7580131351907671</v>
      </c>
      <c r="D126" s="10" t="n">
        <v>0.8079600986596451</v>
      </c>
      <c r="E126" s="10" t="n">
        <v>0.8570439720973361</v>
      </c>
      <c r="F126" s="10" t="n">
        <v>0.9064134362969848</v>
      </c>
      <c r="G126" s="10" t="n">
        <v>0.9562065541019803</v>
      </c>
      <c r="H126" s="10" t="n">
        <v>1.006188804704417</v>
      </c>
      <c r="I126" s="10" t="n">
        <v>1.056029093789433</v>
      </c>
      <c r="J126" s="10" t="n">
        <v>1.105437952488984</v>
      </c>
      <c r="K126" s="10" t="n">
        <v>1.154201765326651</v>
      </c>
      <c r="L126" s="10" t="n">
        <v>1.20216580632459</v>
      </c>
      <c r="M126" s="10" t="n">
        <v>1.249197595630665</v>
      </c>
      <c r="N126" s="10" t="n">
        <v>1.295158839360278</v>
      </c>
      <c r="O126" s="10" t="n">
        <v>1.731055049677062</v>
      </c>
      <c r="P126" s="10" t="n">
        <v>1.750398559535844</v>
      </c>
      <c r="Q126" s="10" t="n">
        <v>1.76797299648193</v>
      </c>
      <c r="R126" s="10" t="n">
        <v>1.783885565636394</v>
      </c>
      <c r="S126" s="10" t="n">
        <v>1.798241721970705</v>
      </c>
      <c r="T126" s="10" t="n">
        <v>1.811145413419427</v>
      </c>
      <c r="U126" s="10" t="n">
        <v>1.822698839303105</v>
      </c>
      <c r="V126" s="10" t="n">
        <v>1.832998233041176</v>
      </c>
      <c r="W126" s="10" t="n">
        <v>1.842130672437052</v>
      </c>
      <c r="X126" s="10" t="n">
        <v>1.850174658632353</v>
      </c>
      <c r="Y126" s="10" t="n">
        <v>1.857198000728145</v>
      </c>
      <c r="Z126" s="10" t="n">
        <v>1.863256279576104</v>
      </c>
      <c r="AA126" s="10" t="n">
        <v>1.8683941461596</v>
      </c>
      <c r="AB126" s="10" t="n">
        <v>1.872646654504472</v>
      </c>
      <c r="AC126" s="10" t="n">
        <v>1.876040388777783</v>
      </c>
      <c r="AD126" s="10" t="n">
        <v>1.878593486691202</v>
      </c>
      <c r="AE126" s="10" t="n">
        <v>1.880314148540615</v>
      </c>
      <c r="AF126" s="10" t="n">
        <v>1.881202856758355</v>
      </c>
      <c r="AG126" s="10" t="n">
        <v>1.881254975933954</v>
      </c>
      <c r="AH126" s="10" t="n">
        <v>1.880462767845653</v>
      </c>
      <c r="AI126" s="10" t="n">
        <v>1.878819421018961</v>
      </c>
      <c r="AJ126" s="10" t="n">
        <v>1.876320085403745</v>
      </c>
      <c r="AK126" s="10" t="n">
        <v>1.872961707114726</v>
      </c>
      <c r="AL126" s="10" t="n">
        <v>1.868744074302417</v>
      </c>
      <c r="AM126" s="10" t="n">
        <v>1.863673003264019</v>
      </c>
      <c r="AN126" s="10" t="n">
        <v>1.857761045401586</v>
      </c>
      <c r="AO126" s="10" t="n">
        <v>1.851027936004046</v>
      </c>
      <c r="AP126" s="10" t="n">
        <v>1.843500660981187</v>
      </c>
      <c r="AQ126" s="10" t="n">
        <v>1.835213611950346</v>
      </c>
      <c r="AR126" s="10" t="n">
        <v>1.826208368859203</v>
      </c>
      <c r="AS126" s="10" t="n">
        <v>1.816533099296212</v>
      </c>
      <c r="AT126" s="10" t="n">
        <v>1.806242170364399</v>
      </c>
      <c r="AU126" s="10" t="n">
        <v>1.795395747998685</v>
      </c>
    </row>
    <row r="127">
      <c r="A127" s="9" t="n">
        <v>2</v>
      </c>
      <c r="B127" s="7" t="n">
        <v>43178</v>
      </c>
      <c r="C127" s="10" t="n">
        <v>0.7741119758228472</v>
      </c>
      <c r="D127" s="10" t="n">
        <v>0.8240451770778526</v>
      </c>
      <c r="E127" s="10" t="n">
        <v>0.8729651679505953</v>
      </c>
      <c r="F127" s="10" t="n">
        <v>0.9220805138846301</v>
      </c>
      <c r="G127" s="10" t="n">
        <v>0.9715561958158323</v>
      </c>
      <c r="H127" s="10" t="n">
        <v>1.0211688299417</v>
      </c>
      <c r="I127" s="10" t="n">
        <v>1.070587850813434</v>
      </c>
      <c r="J127" s="10" t="n">
        <v>1.119517440717458</v>
      </c>
      <c r="K127" s="10" t="n">
        <v>1.16773465941598</v>
      </c>
      <c r="L127" s="10" t="n">
        <v>1.215072726906573</v>
      </c>
      <c r="M127" s="10" t="n">
        <v>1.261385704438668</v>
      </c>
      <c r="N127" s="10" t="n">
        <v>1.306520784017874</v>
      </c>
      <c r="O127" s="10" t="n">
        <v>1.721428736889474</v>
      </c>
      <c r="P127" s="10" t="n">
        <v>1.738943962727878</v>
      </c>
      <c r="Q127" s="10" t="n">
        <v>1.754772238573328</v>
      </c>
      <c r="R127" s="10" t="n">
        <v>1.769035076475545</v>
      </c>
      <c r="S127" s="10" t="n">
        <v>1.781848528226201</v>
      </c>
      <c r="T127" s="10" t="n">
        <v>1.793323988013628</v>
      </c>
      <c r="U127" s="10" t="n">
        <v>1.803568397548642</v>
      </c>
      <c r="V127" s="10" t="n">
        <v>1.812680326455243</v>
      </c>
      <c r="W127" s="10" t="n">
        <v>1.82074708575167</v>
      </c>
      <c r="X127" s="10" t="n">
        <v>1.827845600990065</v>
      </c>
      <c r="Y127" s="10" t="n">
        <v>1.834040653405993</v>
      </c>
      <c r="Z127" s="10" t="n">
        <v>1.839383669394638</v>
      </c>
      <c r="AA127" s="10" t="n">
        <v>1.843914174316826</v>
      </c>
      <c r="AB127" s="10" t="n">
        <v>1.847661243844676</v>
      </c>
      <c r="AC127" s="10" t="n">
        <v>1.85064473257036</v>
      </c>
      <c r="AD127" s="10" t="n">
        <v>1.852875411773135</v>
      </c>
      <c r="AE127" s="10" t="n">
        <v>1.854353666323394</v>
      </c>
      <c r="AF127" s="10" t="n">
        <v>1.855071864761477</v>
      </c>
      <c r="AG127" s="10" t="n">
        <v>1.855017027504672</v>
      </c>
      <c r="AH127" s="10" t="n">
        <v>1.854172980278286</v>
      </c>
      <c r="AI127" s="10" t="n">
        <v>1.852524659947056</v>
      </c>
      <c r="AJ127" s="10" t="n">
        <v>1.850059196224349</v>
      </c>
      <c r="AK127" s="10" t="n">
        <v>1.846765725790717</v>
      </c>
      <c r="AL127" s="10" t="n">
        <v>1.842636525560136</v>
      </c>
      <c r="AM127" s="10" t="n">
        <v>1.837670428959185</v>
      </c>
      <c r="AN127" s="10" t="n">
        <v>1.831873572103654</v>
      </c>
      <c r="AO127" s="10" t="n">
        <v>1.82525989567551</v>
      </c>
      <c r="AP127" s="10" t="n">
        <v>1.817851228896795</v>
      </c>
      <c r="AQ127" s="10" t="n">
        <v>1.809677505334198</v>
      </c>
      <c r="AR127" s="10" t="n">
        <v>1.800776542627629</v>
      </c>
      <c r="AS127" s="10" t="n">
        <v>1.791193384261924</v>
      </c>
      <c r="AT127" s="10" t="n">
        <v>1.780979891030202</v>
      </c>
      <c r="AU127" s="10" t="n">
        <v>1.770194371599556</v>
      </c>
    </row>
    <row r="128">
      <c r="A128" s="9" t="n">
        <v>3</v>
      </c>
      <c r="B128" s="7" t="n">
        <v>43179</v>
      </c>
      <c r="C128" s="10" t="n">
        <v>0.8239953150049754</v>
      </c>
      <c r="D128" s="10" t="n">
        <v>0.8757906318715266</v>
      </c>
      <c r="E128" s="10" t="n">
        <v>0.9257943402279176</v>
      </c>
      <c r="F128" s="10" t="n">
        <v>0.9755196286727073</v>
      </c>
      <c r="G128" s="10" t="n">
        <v>1.025278139816109</v>
      </c>
      <c r="H128" s="10" t="n">
        <v>1.074918175488044</v>
      </c>
      <c r="I128" s="10" t="n">
        <v>1.124150108970514</v>
      </c>
      <c r="J128" s="10" t="n">
        <v>1.172705651797835</v>
      </c>
      <c r="K128" s="10" t="n">
        <v>1.220382878601395</v>
      </c>
      <c r="L128" s="10" t="n">
        <v>1.267030900876656</v>
      </c>
      <c r="M128" s="10" t="n">
        <v>1.312517013547811</v>
      </c>
      <c r="N128" s="10" t="n">
        <v>1.356700108653932</v>
      </c>
      <c r="O128" s="10" t="n">
        <v>1.751999229277632</v>
      </c>
      <c r="P128" s="10" t="n">
        <v>1.767719363473284</v>
      </c>
      <c r="Q128" s="10" t="n">
        <v>1.781759500926264</v>
      </c>
      <c r="R128" s="10" t="n">
        <v>1.79425350366574</v>
      </c>
      <c r="S128" s="10" t="n">
        <v>1.805329687544254</v>
      </c>
      <c r="T128" s="10" t="n">
        <v>1.815111637470136</v>
      </c>
      <c r="U128" s="10" t="n">
        <v>1.823718323752441</v>
      </c>
      <c r="V128" s="10" t="n">
        <v>1.83125934524628</v>
      </c>
      <c r="W128" s="10" t="n">
        <v>1.837831474062473</v>
      </c>
      <c r="X128" s="10" t="n">
        <v>1.843519630420415</v>
      </c>
      <c r="Y128" s="10" t="n">
        <v>1.84839479954729</v>
      </c>
      <c r="Z128" s="10" t="n">
        <v>1.852512631072533</v>
      </c>
      <c r="AA128" s="10" t="n">
        <v>1.855915111788426</v>
      </c>
      <c r="AB128" s="10" t="n">
        <v>1.85863223184975</v>
      </c>
      <c r="AC128" s="10" t="n">
        <v>1.860683394179212</v>
      </c>
      <c r="AD128" s="10" t="n">
        <v>1.862077539017671</v>
      </c>
      <c r="AE128" s="10" t="n">
        <v>1.862811588136233</v>
      </c>
      <c r="AF128" s="10" t="n">
        <v>1.86287304536533</v>
      </c>
      <c r="AG128" s="10" t="n">
        <v>1.862242945538941</v>
      </c>
      <c r="AH128" s="10" t="n">
        <v>1.860898252725941</v>
      </c>
      <c r="AI128" s="10" t="n">
        <v>1.858816528557994</v>
      </c>
      <c r="AJ128" s="10" t="n">
        <v>1.855977131648865</v>
      </c>
      <c r="AK128" s="10" t="n">
        <v>1.852361074513024</v>
      </c>
      <c r="AL128" s="10" t="n">
        <v>1.847952338896688</v>
      </c>
      <c r="AM128" s="10" t="n">
        <v>1.842741669154332</v>
      </c>
      <c r="AN128" s="10" t="n">
        <v>1.836727425480754</v>
      </c>
      <c r="AO128" s="10" t="n">
        <v>1.829916202804862</v>
      </c>
      <c r="AP128" s="10" t="n">
        <v>1.822322998201118</v>
      </c>
      <c r="AQ128" s="10" t="n">
        <v>1.813971645071348</v>
      </c>
      <c r="AR128" s="10" t="n">
        <v>1.804894664368677</v>
      </c>
      <c r="AS128" s="10" t="n">
        <v>1.795132543170062</v>
      </c>
      <c r="AT128" s="10" t="n">
        <v>1.784733351068062</v>
      </c>
      <c r="AU128" s="10" t="n">
        <v>1.773752530666478</v>
      </c>
    </row>
    <row r="129">
      <c r="A129" s="9" t="n">
        <v>4</v>
      </c>
      <c r="B129" s="7" t="n">
        <v>43180</v>
      </c>
      <c r="C129" s="10" t="n">
        <v>0.8678078114665426</v>
      </c>
      <c r="D129" s="10" t="n">
        <v>0.9266976105836938</v>
      </c>
      <c r="E129" s="10" t="n">
        <v>0.9810351691651651</v>
      </c>
      <c r="F129" s="10" t="n">
        <v>1.033164169031287</v>
      </c>
      <c r="G129" s="10" t="n">
        <v>1.084030974760092</v>
      </c>
      <c r="H129" s="10" t="n">
        <v>1.133920964966007</v>
      </c>
      <c r="I129" s="10" t="n">
        <v>1.182829646235789</v>
      </c>
      <c r="J129" s="10" t="n">
        <v>1.230673140464367</v>
      </c>
      <c r="K129" s="10" t="n">
        <v>1.277370676091953</v>
      </c>
      <c r="L129" s="10" t="n">
        <v>1.322850116672497</v>
      </c>
      <c r="M129" s="10" t="n">
        <v>1.367030194442142</v>
      </c>
      <c r="N129" s="10" t="n">
        <v>1.409803234592733</v>
      </c>
      <c r="O129" s="10" t="n">
        <v>1.783879172715521</v>
      </c>
      <c r="P129" s="10" t="n">
        <v>1.798171368151538</v>
      </c>
      <c r="Q129" s="10" t="n">
        <v>1.810864413876397</v>
      </c>
      <c r="R129" s="10" t="n">
        <v>1.822097049391525</v>
      </c>
      <c r="S129" s="10" t="n">
        <v>1.832000604275186</v>
      </c>
      <c r="T129" s="10" t="n">
        <v>1.840700095285033</v>
      </c>
      <c r="U129" s="10" t="n">
        <v>1.84831453535846</v>
      </c>
      <c r="V129" s="10" t="n">
        <v>1.854952090693113</v>
      </c>
      <c r="W129" s="10" t="n">
        <v>1.860706639948145</v>
      </c>
      <c r="X129" s="10" t="n">
        <v>1.865658965446286</v>
      </c>
      <c r="Y129" s="10" t="n">
        <v>1.869875140614757</v>
      </c>
      <c r="Z129" s="10" t="n">
        <v>1.873405531716011</v>
      </c>
      <c r="AA129" s="10" t="n">
        <v>1.876286543893114</v>
      </c>
      <c r="AB129" s="10" t="n">
        <v>1.878542323745276</v>
      </c>
      <c r="AC129" s="10" t="n">
        <v>1.880186201097716</v>
      </c>
      <c r="AD129" s="10" t="n">
        <v>1.881220938950638</v>
      </c>
      <c r="AE129" s="10" t="n">
        <v>1.88163746415121</v>
      </c>
      <c r="AF129" s="10" t="n">
        <v>1.881417288497589</v>
      </c>
      <c r="AG129" s="10" t="n">
        <v>1.880535211603854</v>
      </c>
      <c r="AH129" s="10" t="n">
        <v>1.878961817621923</v>
      </c>
      <c r="AI129" s="10" t="n">
        <v>1.876668359468313</v>
      </c>
      <c r="AJ129" s="10" t="n">
        <v>1.873627993746215</v>
      </c>
      <c r="AK129" s="10" t="n">
        <v>1.869815630030874</v>
      </c>
      <c r="AL129" s="10" t="n">
        <v>1.865209380158293</v>
      </c>
      <c r="AM129" s="10" t="n">
        <v>1.859794670039985</v>
      </c>
      <c r="AN129" s="10" t="n">
        <v>1.853565152860812</v>
      </c>
      <c r="AO129" s="10" t="n">
        <v>1.846523383471046</v>
      </c>
      <c r="AP129" s="10" t="n">
        <v>1.838681004944257</v>
      </c>
      <c r="AQ129" s="10" t="n">
        <v>1.830059258743663</v>
      </c>
      <c r="AR129" s="10" t="n">
        <v>1.820688834141842</v>
      </c>
      <c r="AS129" s="10" t="n">
        <v>1.810609083988635</v>
      </c>
      <c r="AT129" s="10" t="n">
        <v>1.79986762742488</v>
      </c>
      <c r="AU129" s="10" t="n">
        <v>1.788520183130082</v>
      </c>
    </row>
    <row r="130">
      <c r="A130" s="9" t="n">
        <v>5</v>
      </c>
      <c r="B130" s="7" t="n">
        <v>43181</v>
      </c>
      <c r="C130" s="10" t="n">
        <v>0.8210293749339751</v>
      </c>
      <c r="D130" s="10" t="n">
        <v>0.8721713943816392</v>
      </c>
      <c r="E130" s="10" t="n">
        <v>0.9193188573508454</v>
      </c>
      <c r="F130" s="10" t="n">
        <v>0.9648002296994944</v>
      </c>
      <c r="G130" s="10" t="n">
        <v>1.009511734852883</v>
      </c>
      <c r="H130" s="10" t="n">
        <v>1.053686949832909</v>
      </c>
      <c r="I130" s="10" t="n">
        <v>1.097293231740556</v>
      </c>
      <c r="J130" s="10" t="n">
        <v>1.140239662419271</v>
      </c>
      <c r="K130" s="10" t="n">
        <v>1.182450286920956</v>
      </c>
      <c r="L130" s="10" t="n">
        <v>1.223863531396155</v>
      </c>
      <c r="M130" s="10" t="n">
        <v>1.264410557126838</v>
      </c>
      <c r="N130" s="10" t="n">
        <v>1.303995268693085</v>
      </c>
      <c r="O130" s="10" t="n">
        <v>1.672408998173159</v>
      </c>
      <c r="P130" s="10" t="n">
        <v>1.687952614877112</v>
      </c>
      <c r="Q130" s="10" t="n">
        <v>1.701963340541659</v>
      </c>
      <c r="R130" s="10" t="n">
        <v>1.714556021097324</v>
      </c>
      <c r="S130" s="10" t="n">
        <v>1.725841922373546</v>
      </c>
      <c r="T130" s="10" t="n">
        <v>1.735929250300708</v>
      </c>
      <c r="U130" s="10" t="n">
        <v>1.744922953863508</v>
      </c>
      <c r="V130" s="10" t="n">
        <v>1.752919326480211</v>
      </c>
      <c r="W130" s="10" t="n">
        <v>1.760002179622309</v>
      </c>
      <c r="X130" s="10" t="n">
        <v>1.766243799670727</v>
      </c>
      <c r="Y130" s="10" t="n">
        <v>1.771703265970118</v>
      </c>
      <c r="Z130" s="10" t="n">
        <v>1.776425411621769</v>
      </c>
      <c r="AA130" s="10" t="n">
        <v>1.780442401721835</v>
      </c>
      <c r="AB130" s="10" t="n">
        <v>1.783775278240006</v>
      </c>
      <c r="AC130" s="10" t="n">
        <v>1.786435268683794</v>
      </c>
      <c r="AD130" s="10" t="n">
        <v>1.788424062233363</v>
      </c>
      <c r="AE130" s="10" t="n">
        <v>1.789732826978502</v>
      </c>
      <c r="AF130" s="10" t="n">
        <v>1.790344553057757</v>
      </c>
      <c r="AG130" s="10" t="n">
        <v>1.790236552161575</v>
      </c>
      <c r="AH130" s="10" t="n">
        <v>1.789382776585146</v>
      </c>
      <c r="AI130" s="10" t="n">
        <v>1.787758399082921</v>
      </c>
      <c r="AJ130" s="10" t="n">
        <v>1.785340912527298</v>
      </c>
      <c r="AK130" s="10" t="n">
        <v>1.782109935551694</v>
      </c>
      <c r="AL130" s="10" t="n">
        <v>1.778048532894275</v>
      </c>
      <c r="AM130" s="10" t="n">
        <v>1.773147000001564</v>
      </c>
      <c r="AN130" s="10" t="n">
        <v>1.767403663392836</v>
      </c>
      <c r="AO130" s="10" t="n">
        <v>1.760825480818279</v>
      </c>
      <c r="AP130" s="10" t="n">
        <v>1.753428176464826</v>
      </c>
      <c r="AQ130" s="10" t="n">
        <v>1.745236658071632</v>
      </c>
      <c r="AR130" s="10" t="n">
        <v>1.736284831526922</v>
      </c>
      <c r="AS130" s="10" t="n">
        <v>1.726614851879641</v>
      </c>
      <c r="AT130" s="10" t="n">
        <v>1.716276720947479</v>
      </c>
      <c r="AU130" s="10" t="n">
        <v>1.70532803145215</v>
      </c>
    </row>
    <row r="131">
      <c r="A131" s="9" t="n">
        <v>6</v>
      </c>
      <c r="B131" s="7" t="n">
        <v>43182</v>
      </c>
      <c r="C131" s="10" t="n">
        <v>0.8374442724230855</v>
      </c>
      <c r="D131" s="10" t="n">
        <v>0.8901310167040558</v>
      </c>
      <c r="E131" s="10" t="n">
        <v>0.9391391567494211</v>
      </c>
      <c r="F131" s="10" t="n">
        <v>0.9863990569303565</v>
      </c>
      <c r="G131" s="10" t="n">
        <v>1.032649606204998</v>
      </c>
      <c r="H131" s="10" t="n">
        <v>1.078094038827477</v>
      </c>
      <c r="I131" s="10" t="n">
        <v>1.122733724692831</v>
      </c>
      <c r="J131" s="10" t="n">
        <v>1.166532859109421</v>
      </c>
      <c r="K131" s="10" t="n">
        <v>1.20946880730178</v>
      </c>
      <c r="L131" s="10" t="n">
        <v>1.251521909216986</v>
      </c>
      <c r="M131" s="10" t="n">
        <v>1.292651171256423</v>
      </c>
      <c r="N131" s="10" t="n">
        <v>1.332776349462905</v>
      </c>
      <c r="O131" s="10" t="n">
        <v>1.70489088540071</v>
      </c>
      <c r="P131" s="10" t="n">
        <v>1.72055866836295</v>
      </c>
      <c r="Q131" s="10" t="n">
        <v>1.734697976371002</v>
      </c>
      <c r="R131" s="10" t="n">
        <v>1.747427577783509</v>
      </c>
      <c r="S131" s="10" t="n">
        <v>1.758861644576196</v>
      </c>
      <c r="T131" s="10" t="n">
        <v>1.769110428676138</v>
      </c>
      <c r="U131" s="10" t="n">
        <v>1.778280131481492</v>
      </c>
      <c r="V131" s="10" t="n">
        <v>1.786467364573628</v>
      </c>
      <c r="W131" s="10" t="n">
        <v>1.793755420012699</v>
      </c>
      <c r="X131" s="10" t="n">
        <v>1.800215365568263</v>
      </c>
      <c r="Y131" s="10" t="n">
        <v>1.805904678468844</v>
      </c>
      <c r="Z131" s="10" t="n">
        <v>1.810866535967133</v>
      </c>
      <c r="AA131" s="10" t="n">
        <v>1.815131429975254</v>
      </c>
      <c r="AB131" s="10" t="n">
        <v>1.818718714057513</v>
      </c>
      <c r="AC131" s="10" t="n">
        <v>1.821637914792516</v>
      </c>
      <c r="AD131" s="10" t="n">
        <v>1.823889122830181</v>
      </c>
      <c r="AE131" s="10" t="n">
        <v>1.825462373347804</v>
      </c>
      <c r="AF131" s="10" t="n">
        <v>1.826340033108783</v>
      </c>
      <c r="AG131" s="10" t="n">
        <v>1.826499167798458</v>
      </c>
      <c r="AH131" s="10" t="n">
        <v>1.82591383712051</v>
      </c>
      <c r="AI131" s="10" t="n">
        <v>1.824559553955778</v>
      </c>
      <c r="AJ131" s="10" t="n">
        <v>1.822414290311942</v>
      </c>
      <c r="AK131" s="10" t="n">
        <v>1.819458269752578</v>
      </c>
      <c r="AL131" s="10" t="n">
        <v>1.815675288706744</v>
      </c>
      <c r="AM131" s="10" t="n">
        <v>1.811056372057206</v>
      </c>
      <c r="AN131" s="10" t="n">
        <v>1.805600487829639</v>
      </c>
      <c r="AO131" s="10" t="n">
        <v>1.799315067682</v>
      </c>
      <c r="AP131" s="10" t="n">
        <v>1.79221608957375</v>
      </c>
      <c r="AQ131" s="10" t="n">
        <v>1.784328459844277</v>
      </c>
      <c r="AR131" s="10" t="n">
        <v>1.775685802097446</v>
      </c>
      <c r="AS131" s="10" t="n">
        <v>1.766329729797192</v>
      </c>
      <c r="AT131" s="10" t="n">
        <v>1.756309457606716</v>
      </c>
      <c r="AU131" s="10" t="n">
        <v>1.745681511177151</v>
      </c>
    </row>
    <row r="132">
      <c r="A132" s="9" t="n">
        <v>7</v>
      </c>
      <c r="B132" s="7" t="n">
        <v>43185</v>
      </c>
      <c r="C132" s="10" t="n">
        <v>0.8385935491464935</v>
      </c>
      <c r="D132" s="10" t="n">
        <v>0.8917941942799961</v>
      </c>
      <c r="E132" s="10" t="n">
        <v>0.9412723241841362</v>
      </c>
      <c r="F132" s="10" t="n">
        <v>0.9889217528996579</v>
      </c>
      <c r="G132" s="10" t="n">
        <v>1.035473586316099</v>
      </c>
      <c r="H132" s="10" t="n">
        <v>1.081130525258096</v>
      </c>
      <c r="I132" s="10" t="n">
        <v>1.125895161921212</v>
      </c>
      <c r="J132" s="10" t="n">
        <v>1.169734147687041</v>
      </c>
      <c r="K132" s="10" t="n">
        <v>1.212628817667295</v>
      </c>
      <c r="L132" s="10" t="n">
        <v>1.254565679735735</v>
      </c>
      <c r="M132" s="10" t="n">
        <v>1.295511020685223</v>
      </c>
      <c r="N132" s="10" t="n">
        <v>1.335393140769853</v>
      </c>
      <c r="O132" s="10" t="n">
        <v>1.701880644778823</v>
      </c>
      <c r="P132" s="10" t="n">
        <v>1.717014235323665</v>
      </c>
      <c r="Q132" s="10" t="n">
        <v>1.730617664274207</v>
      </c>
      <c r="R132" s="10" t="n">
        <v>1.742814556706678</v>
      </c>
      <c r="S132" s="10" t="n">
        <v>1.753723940837009</v>
      </c>
      <c r="T132" s="10" t="n">
        <v>1.763460924376437</v>
      </c>
      <c r="U132" s="10" t="n">
        <v>1.772136514029502</v>
      </c>
      <c r="V132" s="10" t="n">
        <v>1.779851749457454</v>
      </c>
      <c r="W132" s="10" t="n">
        <v>1.786693813077057</v>
      </c>
      <c r="X132" s="10" t="n">
        <v>1.792737156390062</v>
      </c>
      <c r="Y132" s="10" t="n">
        <v>1.798041968317417</v>
      </c>
      <c r="Z132" s="10" t="n">
        <v>1.802653392040688</v>
      </c>
      <c r="AA132" s="10" t="n">
        <v>1.806603224660683</v>
      </c>
      <c r="AB132" s="10" t="n">
        <v>1.809911544768286</v>
      </c>
      <c r="AC132" s="10" t="n">
        <v>1.812588090170969</v>
      </c>
      <c r="AD132" s="10" t="n">
        <v>1.814632593317256</v>
      </c>
      <c r="AE132" s="10" t="n">
        <v>1.81603398084255</v>
      </c>
      <c r="AF132" s="10" t="n">
        <v>1.81677291025534</v>
      </c>
      <c r="AG132" s="10" t="n">
        <v>1.816824295242298</v>
      </c>
      <c r="AH132" s="10" t="n">
        <v>1.816159708640624</v>
      </c>
      <c r="AI132" s="10" t="n">
        <v>1.814751966836172</v>
      </c>
      <c r="AJ132" s="10" t="n">
        <v>1.812576167034856</v>
      </c>
      <c r="AK132" s="10" t="n">
        <v>1.809609499129109</v>
      </c>
      <c r="AL132" s="10" t="n">
        <v>1.805832641011014</v>
      </c>
      <c r="AM132" s="10" t="n">
        <v>1.801233522504552</v>
      </c>
      <c r="AN132" s="10" t="n">
        <v>1.795808058071542</v>
      </c>
      <c r="AO132" s="10" t="n">
        <v>1.789560678032171</v>
      </c>
      <c r="AP132" s="10" t="n">
        <v>1.782504438247266</v>
      </c>
      <c r="AQ132" s="10" t="n">
        <v>1.774661530691195</v>
      </c>
      <c r="AR132" s="10" t="n">
        <v>1.766063115502106</v>
      </c>
      <c r="AS132" s="10" t="n">
        <v>1.756748574503685</v>
      </c>
      <c r="AT132" s="10" t="n">
        <v>1.746765147355463</v>
      </c>
      <c r="AU132" s="10" t="n">
        <v>1.736167715842496</v>
      </c>
    </row>
    <row r="133">
      <c r="A133" s="9" t="n">
        <v>8</v>
      </c>
      <c r="B133" s="7" t="n">
        <v>43186</v>
      </c>
      <c r="C133" s="10" t="n">
        <v>0.8232150869626264</v>
      </c>
      <c r="D133" s="10" t="n">
        <v>0.8750201074310481</v>
      </c>
      <c r="E133" s="10" t="n">
        <v>0.9232090355593202</v>
      </c>
      <c r="F133" s="10" t="n">
        <v>0.9695623281087042</v>
      </c>
      <c r="G133" s="10" t="n">
        <v>1.014783679436793</v>
      </c>
      <c r="H133" s="10" t="n">
        <v>1.059083925979714</v>
      </c>
      <c r="I133" s="10" t="n">
        <v>1.10248999020851</v>
      </c>
      <c r="J133" s="10" t="n">
        <v>1.145002080722341</v>
      </c>
      <c r="K133" s="10" t="n">
        <v>1.186639198751833</v>
      </c>
      <c r="L133" s="10" t="n">
        <v>1.227425923957198</v>
      </c>
      <c r="M133" s="10" t="n">
        <v>1.267363599413426</v>
      </c>
      <c r="N133" s="10" t="n">
        <v>1.306411281497959</v>
      </c>
      <c r="O133" s="10" t="n">
        <v>1.679225364187717</v>
      </c>
      <c r="P133" s="10" t="n">
        <v>1.695514872170281</v>
      </c>
      <c r="Q133" s="10" t="n">
        <v>1.710250761414233</v>
      </c>
      <c r="R133" s="10" t="n">
        <v>1.723542096994849</v>
      </c>
      <c r="S133" s="10" t="n">
        <v>1.735496957107387</v>
      </c>
      <c r="T133" s="10" t="n">
        <v>1.746222565559525</v>
      </c>
      <c r="U133" s="10" t="n">
        <v>1.755824659857149</v>
      </c>
      <c r="V133" s="10" t="n">
        <v>1.764401345063764</v>
      </c>
      <c r="W133" s="10" t="n">
        <v>1.772039017471867</v>
      </c>
      <c r="X133" s="10" t="n">
        <v>1.77881317158366</v>
      </c>
      <c r="Y133" s="10" t="n">
        <v>1.784786303501644</v>
      </c>
      <c r="Z133" s="10" t="n">
        <v>1.790006735765066</v>
      </c>
      <c r="AA133" s="10" t="n">
        <v>1.794510195350813</v>
      </c>
      <c r="AB133" s="10" t="n">
        <v>1.798321349717598</v>
      </c>
      <c r="AC133" s="10" t="n">
        <v>1.801455103892726</v>
      </c>
      <c r="AD133" s="10" t="n">
        <v>1.803916784637813</v>
      </c>
      <c r="AE133" s="10" t="n">
        <v>1.805701114298513</v>
      </c>
      <c r="AF133" s="10" t="n">
        <v>1.806794679016758</v>
      </c>
      <c r="AG133" s="10" t="n">
        <v>1.807178415546846</v>
      </c>
      <c r="AH133" s="10" t="n">
        <v>1.806829940775514</v>
      </c>
      <c r="AI133" s="10" t="n">
        <v>1.80572793238132</v>
      </c>
      <c r="AJ133" s="10" t="n">
        <v>1.80385311502568</v>
      </c>
      <c r="AK133" s="10" t="n">
        <v>1.801188094210208</v>
      </c>
      <c r="AL133" s="10" t="n">
        <v>1.797718705345671</v>
      </c>
      <c r="AM133" s="10" t="n">
        <v>1.793437582335561</v>
      </c>
      <c r="AN133" s="10" t="n">
        <v>1.788344840291213</v>
      </c>
      <c r="AO133" s="10" t="n">
        <v>1.782448556272603</v>
      </c>
      <c r="AP133" s="10" t="n">
        <v>1.775764840360924</v>
      </c>
      <c r="AQ133" s="10" t="n">
        <v>1.768318216504315</v>
      </c>
      <c r="AR133" s="10" t="n">
        <v>1.760141420712925</v>
      </c>
      <c r="AS133" s="10" t="n">
        <v>1.75127471517749</v>
      </c>
      <c r="AT133" s="10" t="n">
        <v>1.741765518009321</v>
      </c>
      <c r="AU133" s="10" t="n">
        <v>1.731668077773345</v>
      </c>
    </row>
    <row r="134">
      <c r="A134" s="9" t="n">
        <v>9</v>
      </c>
      <c r="B134" s="7" t="n">
        <v>43187</v>
      </c>
      <c r="C134" s="10" t="n">
        <v>0.7733664374540096</v>
      </c>
      <c r="D134" s="10" t="n">
        <v>0.8200950699481475</v>
      </c>
      <c r="E134" s="10" t="n">
        <v>0.8650966698582231</v>
      </c>
      <c r="F134" s="10" t="n">
        <v>0.9094770747762976</v>
      </c>
      <c r="G134" s="10" t="n">
        <v>0.9535737743551194</v>
      </c>
      <c r="H134" s="10" t="n">
        <v>0.9973874587849737</v>
      </c>
      <c r="I134" s="10" t="n">
        <v>1.0408150136126</v>
      </c>
      <c r="J134" s="10" t="n">
        <v>1.083768450536328</v>
      </c>
      <c r="K134" s="10" t="n">
        <v>1.126197820766873</v>
      </c>
      <c r="L134" s="10" t="n">
        <v>1.168067227712227</v>
      </c>
      <c r="M134" s="10" t="n">
        <v>1.209322087514526</v>
      </c>
      <c r="N134" s="10" t="n">
        <v>1.24986799196908</v>
      </c>
      <c r="O134" s="10" t="n">
        <v>1.643570900177728</v>
      </c>
      <c r="P134" s="10" t="n">
        <v>1.661092784548151</v>
      </c>
      <c r="Q134" s="10" t="n">
        <v>1.676987192655848</v>
      </c>
      <c r="R134" s="10" t="n">
        <v>1.691363647718107</v>
      </c>
      <c r="S134" s="10" t="n">
        <v>1.704331662620247</v>
      </c>
      <c r="T134" s="10" t="n">
        <v>1.716000725949343</v>
      </c>
      <c r="U134" s="10" t="n">
        <v>1.726479519293158</v>
      </c>
      <c r="V134" s="10" t="n">
        <v>1.735869532737175</v>
      </c>
      <c r="W134" s="10" t="n">
        <v>1.744260875504617</v>
      </c>
      <c r="X134" s="10" t="n">
        <v>1.751733004625282</v>
      </c>
      <c r="Y134" s="10" t="n">
        <v>1.758352349182108</v>
      </c>
      <c r="Z134" s="10" t="n">
        <v>1.764170976835736</v>
      </c>
      <c r="AA134" s="10" t="n">
        <v>1.769228187708193</v>
      </c>
      <c r="AB134" s="10" t="n">
        <v>1.773552071399801</v>
      </c>
      <c r="AC134" s="10" t="n">
        <v>1.777160819735621</v>
      </c>
      <c r="AD134" s="10" t="n">
        <v>1.780062841242386</v>
      </c>
      <c r="AE134" s="10" t="n">
        <v>1.782255589979311</v>
      </c>
      <c r="AF134" s="10" t="n">
        <v>1.783728091790824</v>
      </c>
      <c r="AG134" s="10" t="n">
        <v>1.784463492800004</v>
      </c>
      <c r="AH134" s="10" t="n">
        <v>1.784441444182507</v>
      </c>
      <c r="AI134" s="10" t="n">
        <v>1.783642526758141</v>
      </c>
      <c r="AJ134" s="10" t="n">
        <v>1.782049243257309</v>
      </c>
      <c r="AK134" s="10" t="n">
        <v>1.779645865914398</v>
      </c>
      <c r="AL134" s="10" t="n">
        <v>1.776419837110872</v>
      </c>
      <c r="AM134" s="10" t="n">
        <v>1.77236539744509</v>
      </c>
      <c r="AN134" s="10" t="n">
        <v>1.767484272716744</v>
      </c>
      <c r="AO134" s="10" t="n">
        <v>1.761786153803763</v>
      </c>
      <c r="AP134" s="10" t="n">
        <v>1.75528875277205</v>
      </c>
      <c r="AQ134" s="10" t="n">
        <v>1.748018133740204</v>
      </c>
      <c r="AR134" s="10" t="n">
        <v>1.740008485301119</v>
      </c>
      <c r="AS134" s="10" t="n">
        <v>1.731301440464226</v>
      </c>
      <c r="AT134" s="10" t="n">
        <v>1.721945685910911</v>
      </c>
      <c r="AU134" s="10" t="n">
        <v>1.711996560449911</v>
      </c>
    </row>
    <row r="135">
      <c r="A135" s="9" t="n">
        <v>10</v>
      </c>
      <c r="B135" s="7" t="n">
        <v>43188</v>
      </c>
      <c r="C135" s="10" t="n">
        <v>0.7692530983385364</v>
      </c>
      <c r="D135" s="10" t="n">
        <v>0.8120583143300552</v>
      </c>
      <c r="E135" s="10" t="n">
        <v>0.8553925744415211</v>
      </c>
      <c r="F135" s="10" t="n">
        <v>0.8991578519797889</v>
      </c>
      <c r="G135" s="10" t="n">
        <v>0.9431138580390219</v>
      </c>
      <c r="H135" s="10" t="n">
        <v>0.9869637821751019</v>
      </c>
      <c r="I135" s="10" t="n">
        <v>1.030448002061894</v>
      </c>
      <c r="J135" s="10" t="n">
        <v>1.073405174888296</v>
      </c>
      <c r="K135" s="10" t="n">
        <v>1.115760408144532</v>
      </c>
      <c r="L135" s="10" t="n">
        <v>1.157481790381151</v>
      </c>
      <c r="M135" s="10" t="n">
        <v>1.198532682538867</v>
      </c>
      <c r="N135" s="10" t="n">
        <v>1.238840942231804</v>
      </c>
      <c r="O135" s="10" t="n">
        <v>1.632221264793344</v>
      </c>
      <c r="P135" s="10" t="n">
        <v>1.649972720045685</v>
      </c>
      <c r="Q135" s="10" t="n">
        <v>1.666109833632474</v>
      </c>
      <c r="R135" s="10" t="n">
        <v>1.680737654509089</v>
      </c>
      <c r="S135" s="10" t="n">
        <v>1.693962093382116</v>
      </c>
      <c r="T135" s="10" t="n">
        <v>1.705889780821514</v>
      </c>
      <c r="U135" s="10" t="n">
        <v>1.716627094702666</v>
      </c>
      <c r="V135" s="10" t="n">
        <v>1.726273552704552</v>
      </c>
      <c r="W135" s="10" t="n">
        <v>1.734917769709296</v>
      </c>
      <c r="X135" s="10" t="n">
        <v>1.742638099418962</v>
      </c>
      <c r="Y135" s="10" t="n">
        <v>1.749499999489573</v>
      </c>
      <c r="Z135" s="10" t="n">
        <v>1.755554699835547</v>
      </c>
      <c r="AA135" s="10" t="n">
        <v>1.760840797570057</v>
      </c>
      <c r="AB135" s="10" t="n">
        <v>1.765385797590549</v>
      </c>
      <c r="AC135" s="10" t="n">
        <v>1.769207406015348</v>
      </c>
      <c r="AD135" s="10" t="n">
        <v>1.772313538030992</v>
      </c>
      <c r="AE135" s="10" t="n">
        <v>1.774701112448476</v>
      </c>
      <c r="AF135" s="10" t="n">
        <v>1.776358710965681</v>
      </c>
      <c r="AG135" s="10" t="n">
        <v>1.777269110850459</v>
      </c>
      <c r="AH135" s="10" t="n">
        <v>1.777411777467659</v>
      </c>
      <c r="AI135" s="10" t="n">
        <v>1.776767317711462</v>
      </c>
      <c r="AJ135" s="10" t="n">
        <v>1.77531839357563</v>
      </c>
      <c r="AK135" s="10" t="n">
        <v>1.773049561178847</v>
      </c>
      <c r="AL135" s="10" t="n">
        <v>1.769948761002901</v>
      </c>
      <c r="AM135" s="10" t="n">
        <v>1.766010928884037</v>
      </c>
      <c r="AN135" s="10" t="n">
        <v>1.761238607552098</v>
      </c>
      <c r="AO135" s="10" t="n">
        <v>1.755642379806515</v>
      </c>
      <c r="AP135" s="10" t="n">
        <v>1.749240875338176</v>
      </c>
      <c r="AQ135" s="10" t="n">
        <v>1.742061052731321</v>
      </c>
      <c r="AR135" s="10" t="n">
        <v>1.73413792402538</v>
      </c>
      <c r="AS135" s="10" t="n">
        <v>1.725513878326409</v>
      </c>
      <c r="AT135" s="10" t="n">
        <v>1.716238292151927</v>
      </c>
      <c r="AU135" s="10" t="n">
        <v>1.706367054006837</v>
      </c>
    </row>
    <row r="138">
      <c r="A138" s="3" t="inlineStr">
        <is>
          <t>k</t>
        </is>
      </c>
      <c r="B138" s="3" t="inlineStr">
        <is>
          <t>Date</t>
        </is>
      </c>
      <c r="C138" s="3" t="inlineStr">
        <is>
          <t>Δz 2y (bp)</t>
        </is>
      </c>
      <c r="D138" s="3" t="inlineStr">
        <is>
          <t>Δz 2.5y (bp)</t>
        </is>
      </c>
      <c r="E138" s="3" t="inlineStr">
        <is>
          <t>Δz 3y (bp)</t>
        </is>
      </c>
      <c r="F138" s="3" t="inlineStr">
        <is>
          <t>Δz 3.5y (bp)</t>
        </is>
      </c>
      <c r="G138" s="3" t="inlineStr">
        <is>
          <t>Δz 4y (bp)</t>
        </is>
      </c>
      <c r="H138" s="3" t="inlineStr">
        <is>
          <t>Δz 4.5y (bp)</t>
        </is>
      </c>
      <c r="I138" s="3" t="inlineStr">
        <is>
          <t>Δz 5y (bp)</t>
        </is>
      </c>
      <c r="J138" s="3" t="inlineStr">
        <is>
          <t>Δz 5.5y (bp)</t>
        </is>
      </c>
      <c r="K138" s="3" t="inlineStr">
        <is>
          <t>Δz 6y (bp)</t>
        </is>
      </c>
      <c r="L138" s="3" t="inlineStr">
        <is>
          <t>Δz 6.5y (bp)</t>
        </is>
      </c>
      <c r="M138" s="3" t="inlineStr">
        <is>
          <t>Δz 7y (bp)</t>
        </is>
      </c>
      <c r="N138" s="3" t="inlineStr">
        <is>
          <t>Δz 7.5y (bp)</t>
        </is>
      </c>
      <c r="O138" s="3" t="inlineStr">
        <is>
          <t>Δz 14y (bp)</t>
        </is>
      </c>
      <c r="P138" s="3" t="inlineStr">
        <is>
          <t>Δz 14.5y (bp)</t>
        </is>
      </c>
      <c r="Q138" s="3" t="inlineStr">
        <is>
          <t>Δz 15y (bp)</t>
        </is>
      </c>
      <c r="R138" s="3" t="inlineStr">
        <is>
          <t>Δz 15.5y (bp)</t>
        </is>
      </c>
      <c r="S138" s="3" t="inlineStr">
        <is>
          <t>Δz 16y (bp)</t>
        </is>
      </c>
      <c r="T138" s="3" t="inlineStr">
        <is>
          <t>Δz 16.5y (bp)</t>
        </is>
      </c>
      <c r="U138" s="3" t="inlineStr">
        <is>
          <t>Δz 17y (bp)</t>
        </is>
      </c>
      <c r="V138" s="3" t="inlineStr">
        <is>
          <t>Δz 17.5y (bp)</t>
        </is>
      </c>
      <c r="W138" s="3" t="inlineStr">
        <is>
          <t>Δz 18y (bp)</t>
        </is>
      </c>
      <c r="X138" s="3" t="inlineStr">
        <is>
          <t>Δz 18.5y (bp)</t>
        </is>
      </c>
      <c r="Y138" s="3" t="inlineStr">
        <is>
          <t>Δz 19y (bp)</t>
        </is>
      </c>
      <c r="Z138" s="3" t="inlineStr">
        <is>
          <t>Δz 19.5y (bp)</t>
        </is>
      </c>
      <c r="AA138" s="3" t="inlineStr">
        <is>
          <t>Δz 20y (bp)</t>
        </is>
      </c>
      <c r="AB138" s="3" t="inlineStr">
        <is>
          <t>Δz 20.5y (bp)</t>
        </is>
      </c>
      <c r="AC138" s="3" t="inlineStr">
        <is>
          <t>Δz 21y (bp)</t>
        </is>
      </c>
      <c r="AD138" s="3" t="inlineStr">
        <is>
          <t>Δz 21.5y (bp)</t>
        </is>
      </c>
      <c r="AE138" s="3" t="inlineStr">
        <is>
          <t>Δz 22y (bp)</t>
        </is>
      </c>
      <c r="AF138" s="3" t="inlineStr">
        <is>
          <t>Δz 22.5y (bp)</t>
        </is>
      </c>
      <c r="AG138" s="3" t="inlineStr">
        <is>
          <t>Δz 23y (bp)</t>
        </is>
      </c>
      <c r="AH138" s="3" t="inlineStr">
        <is>
          <t>Δz 23.5y (bp)</t>
        </is>
      </c>
      <c r="AI138" s="3" t="inlineStr">
        <is>
          <t>Δz 24y (bp)</t>
        </is>
      </c>
      <c r="AJ138" s="3" t="inlineStr">
        <is>
          <t>Δz 24.5y (bp)</t>
        </is>
      </c>
      <c r="AK138" s="3" t="inlineStr">
        <is>
          <t>Δz 25y (bp)</t>
        </is>
      </c>
      <c r="AL138" s="3" t="inlineStr">
        <is>
          <t>Δz 25.5y (bp)</t>
        </is>
      </c>
      <c r="AM138" s="3" t="inlineStr">
        <is>
          <t>Δz 26y (bp)</t>
        </is>
      </c>
      <c r="AN138" s="3" t="inlineStr">
        <is>
          <t>Δz 26.5y (bp)</t>
        </is>
      </c>
      <c r="AO138" s="3" t="inlineStr">
        <is>
          <t>Δz 27y (bp)</t>
        </is>
      </c>
      <c r="AP138" s="3" t="inlineStr">
        <is>
          <t>Δz 27.5y (bp)</t>
        </is>
      </c>
      <c r="AQ138" s="3" t="inlineStr">
        <is>
          <t>Δz 28y (bp)</t>
        </is>
      </c>
      <c r="AR138" s="3" t="inlineStr">
        <is>
          <t>Δz 28.5y (bp)</t>
        </is>
      </c>
      <c r="AS138" s="3" t="inlineStr">
        <is>
          <t>Δz 29y (bp)</t>
        </is>
      </c>
      <c r="AT138" s="3" t="inlineStr">
        <is>
          <t>Δz 29.5y (bp)</t>
        </is>
      </c>
      <c r="AU138" s="3" t="inlineStr">
        <is>
          <t>Δz 30y (bp)</t>
        </is>
      </c>
      <c r="AV138" s="3" t="inlineStr">
        <is>
          <t>Control Δc = average (bp)</t>
        </is>
      </c>
    </row>
    <row r="139">
      <c r="A139" s="19">
        <f>A5</f>
        <v/>
      </c>
      <c r="B139" s="20">
        <f>B5</f>
        <v/>
      </c>
      <c r="C139" s="21">
        <f>100*(C5-C4)</f>
        <v/>
      </c>
      <c r="D139" s="21">
        <f>100*(D5-D4)</f>
        <v/>
      </c>
      <c r="E139" s="21">
        <f>100*(E5-E4)</f>
        <v/>
      </c>
      <c r="F139" s="21">
        <f>100*(F5-F4)</f>
        <v/>
      </c>
      <c r="G139" s="21">
        <f>100*(G5-G4)</f>
        <v/>
      </c>
      <c r="H139" s="21">
        <f>100*(H5-H4)</f>
        <v/>
      </c>
      <c r="I139" s="21">
        <f>100*(I5-I4)</f>
        <v/>
      </c>
      <c r="J139" s="21">
        <f>100*(J5-J4)</f>
        <v/>
      </c>
      <c r="K139" s="21">
        <f>100*(K5-K4)</f>
        <v/>
      </c>
      <c r="L139" s="21">
        <f>100*(L5-L4)</f>
        <v/>
      </c>
      <c r="M139" s="21">
        <f>100*(M5-M4)</f>
        <v/>
      </c>
      <c r="N139" s="21">
        <f>100*(N5-N4)</f>
        <v/>
      </c>
      <c r="O139" s="21">
        <f>100*(O5-O4)</f>
        <v/>
      </c>
      <c r="P139" s="21">
        <f>100*(P5-P4)</f>
        <v/>
      </c>
      <c r="Q139" s="21">
        <f>100*(Q5-Q4)</f>
        <v/>
      </c>
      <c r="R139" s="21">
        <f>100*(R5-R4)</f>
        <v/>
      </c>
      <c r="S139" s="21">
        <f>100*(S5-S4)</f>
        <v/>
      </c>
      <c r="T139" s="21">
        <f>100*(T5-T4)</f>
        <v/>
      </c>
      <c r="U139" s="21">
        <f>100*(U5-U4)</f>
        <v/>
      </c>
      <c r="V139" s="21">
        <f>100*(V5-V4)</f>
        <v/>
      </c>
      <c r="W139" s="21">
        <f>100*(W5-W4)</f>
        <v/>
      </c>
      <c r="X139" s="21">
        <f>100*(X5-X4)</f>
        <v/>
      </c>
      <c r="Y139" s="21">
        <f>100*(Y5-Y4)</f>
        <v/>
      </c>
      <c r="Z139" s="21">
        <f>100*(Z5-Z4)</f>
        <v/>
      </c>
      <c r="AA139" s="21">
        <f>100*(AA5-AA4)</f>
        <v/>
      </c>
      <c r="AB139" s="21">
        <f>100*(AB5-AB4)</f>
        <v/>
      </c>
      <c r="AC139" s="21">
        <f>100*(AC5-AC4)</f>
        <v/>
      </c>
      <c r="AD139" s="21">
        <f>100*(AD5-AD4)</f>
        <v/>
      </c>
      <c r="AE139" s="21">
        <f>100*(AE5-AE4)</f>
        <v/>
      </c>
      <c r="AF139" s="21">
        <f>100*(AF5-AF4)</f>
        <v/>
      </c>
      <c r="AG139" s="21">
        <f>100*(AG5-AG4)</f>
        <v/>
      </c>
      <c r="AH139" s="21">
        <f>100*(AH5-AH4)</f>
        <v/>
      </c>
      <c r="AI139" s="21">
        <f>100*(AI5-AI4)</f>
        <v/>
      </c>
      <c r="AJ139" s="21">
        <f>100*(AJ5-AJ4)</f>
        <v/>
      </c>
      <c r="AK139" s="21">
        <f>100*(AK5-AK4)</f>
        <v/>
      </c>
      <c r="AL139" s="21">
        <f>100*(AL5-AL4)</f>
        <v/>
      </c>
      <c r="AM139" s="21">
        <f>100*(AM5-AM4)</f>
        <v/>
      </c>
      <c r="AN139" s="21">
        <f>100*(AN5-AN4)</f>
        <v/>
      </c>
      <c r="AO139" s="21">
        <f>100*(AO5-AO4)</f>
        <v/>
      </c>
      <c r="AP139" s="21">
        <f>100*(AP5-AP4)</f>
        <v/>
      </c>
      <c r="AQ139" s="21">
        <f>100*(AQ5-AQ4)</f>
        <v/>
      </c>
      <c r="AR139" s="21">
        <f>100*(AR5-AR4)</f>
        <v/>
      </c>
      <c r="AS139" s="21">
        <f>100*(AS5-AS4)</f>
        <v/>
      </c>
      <c r="AT139" s="21">
        <f>100*(AT5-AT4)</f>
        <v/>
      </c>
      <c r="AU139" s="21">
        <f>100*(AU5-AU4)</f>
        <v/>
      </c>
      <c r="AV139" s="21">
        <f>AVERAGE(C139:AU139)</f>
        <v/>
      </c>
    </row>
    <row r="140">
      <c r="A140" s="19">
        <f>A6</f>
        <v/>
      </c>
      <c r="B140" s="20">
        <f>B6</f>
        <v/>
      </c>
      <c r="C140" s="21">
        <f>100*(C6-C5)</f>
        <v/>
      </c>
      <c r="D140" s="21">
        <f>100*(D6-D5)</f>
        <v/>
      </c>
      <c r="E140" s="21">
        <f>100*(E6-E5)</f>
        <v/>
      </c>
      <c r="F140" s="21">
        <f>100*(F6-F5)</f>
        <v/>
      </c>
      <c r="G140" s="21">
        <f>100*(G6-G5)</f>
        <v/>
      </c>
      <c r="H140" s="21">
        <f>100*(H6-H5)</f>
        <v/>
      </c>
      <c r="I140" s="21">
        <f>100*(I6-I5)</f>
        <v/>
      </c>
      <c r="J140" s="21">
        <f>100*(J6-J5)</f>
        <v/>
      </c>
      <c r="K140" s="21">
        <f>100*(K6-K5)</f>
        <v/>
      </c>
      <c r="L140" s="21">
        <f>100*(L6-L5)</f>
        <v/>
      </c>
      <c r="M140" s="21">
        <f>100*(M6-M5)</f>
        <v/>
      </c>
      <c r="N140" s="21">
        <f>100*(N6-N5)</f>
        <v/>
      </c>
      <c r="O140" s="21">
        <f>100*(O6-O5)</f>
        <v/>
      </c>
      <c r="P140" s="21">
        <f>100*(P6-P5)</f>
        <v/>
      </c>
      <c r="Q140" s="21">
        <f>100*(Q6-Q5)</f>
        <v/>
      </c>
      <c r="R140" s="21">
        <f>100*(R6-R5)</f>
        <v/>
      </c>
      <c r="S140" s="21">
        <f>100*(S6-S5)</f>
        <v/>
      </c>
      <c r="T140" s="21">
        <f>100*(T6-T5)</f>
        <v/>
      </c>
      <c r="U140" s="21">
        <f>100*(U6-U5)</f>
        <v/>
      </c>
      <c r="V140" s="21">
        <f>100*(V6-V5)</f>
        <v/>
      </c>
      <c r="W140" s="21">
        <f>100*(W6-W5)</f>
        <v/>
      </c>
      <c r="X140" s="21">
        <f>100*(X6-X5)</f>
        <v/>
      </c>
      <c r="Y140" s="21">
        <f>100*(Y6-Y5)</f>
        <v/>
      </c>
      <c r="Z140" s="21">
        <f>100*(Z6-Z5)</f>
        <v/>
      </c>
      <c r="AA140" s="21">
        <f>100*(AA6-AA5)</f>
        <v/>
      </c>
      <c r="AB140" s="21">
        <f>100*(AB6-AB5)</f>
        <v/>
      </c>
      <c r="AC140" s="21">
        <f>100*(AC6-AC5)</f>
        <v/>
      </c>
      <c r="AD140" s="21">
        <f>100*(AD6-AD5)</f>
        <v/>
      </c>
      <c r="AE140" s="21">
        <f>100*(AE6-AE5)</f>
        <v/>
      </c>
      <c r="AF140" s="21">
        <f>100*(AF6-AF5)</f>
        <v/>
      </c>
      <c r="AG140" s="21">
        <f>100*(AG6-AG5)</f>
        <v/>
      </c>
      <c r="AH140" s="21">
        <f>100*(AH6-AH5)</f>
        <v/>
      </c>
      <c r="AI140" s="21">
        <f>100*(AI6-AI5)</f>
        <v/>
      </c>
      <c r="AJ140" s="21">
        <f>100*(AJ6-AJ5)</f>
        <v/>
      </c>
      <c r="AK140" s="21">
        <f>100*(AK6-AK5)</f>
        <v/>
      </c>
      <c r="AL140" s="21">
        <f>100*(AL6-AL5)</f>
        <v/>
      </c>
      <c r="AM140" s="21">
        <f>100*(AM6-AM5)</f>
        <v/>
      </c>
      <c r="AN140" s="21">
        <f>100*(AN6-AN5)</f>
        <v/>
      </c>
      <c r="AO140" s="21">
        <f>100*(AO6-AO5)</f>
        <v/>
      </c>
      <c r="AP140" s="21">
        <f>100*(AP6-AP5)</f>
        <v/>
      </c>
      <c r="AQ140" s="21">
        <f>100*(AQ6-AQ5)</f>
        <v/>
      </c>
      <c r="AR140" s="21">
        <f>100*(AR6-AR5)</f>
        <v/>
      </c>
      <c r="AS140" s="21">
        <f>100*(AS6-AS5)</f>
        <v/>
      </c>
      <c r="AT140" s="21">
        <f>100*(AT6-AT5)</f>
        <v/>
      </c>
      <c r="AU140" s="21">
        <f>100*(AU6-AU5)</f>
        <v/>
      </c>
      <c r="AV140" s="21">
        <f>AVERAGE(C140:AU140)</f>
        <v/>
      </c>
    </row>
    <row r="141">
      <c r="A141" s="19">
        <f>A7</f>
        <v/>
      </c>
      <c r="B141" s="20">
        <f>B7</f>
        <v/>
      </c>
      <c r="C141" s="21">
        <f>100*(C7-C6)</f>
        <v/>
      </c>
      <c r="D141" s="21">
        <f>100*(D7-D6)</f>
        <v/>
      </c>
      <c r="E141" s="21">
        <f>100*(E7-E6)</f>
        <v/>
      </c>
      <c r="F141" s="21">
        <f>100*(F7-F6)</f>
        <v/>
      </c>
      <c r="G141" s="21">
        <f>100*(G7-G6)</f>
        <v/>
      </c>
      <c r="H141" s="21">
        <f>100*(H7-H6)</f>
        <v/>
      </c>
      <c r="I141" s="21">
        <f>100*(I7-I6)</f>
        <v/>
      </c>
      <c r="J141" s="21">
        <f>100*(J7-J6)</f>
        <v/>
      </c>
      <c r="K141" s="21">
        <f>100*(K7-K6)</f>
        <v/>
      </c>
      <c r="L141" s="21">
        <f>100*(L7-L6)</f>
        <v/>
      </c>
      <c r="M141" s="21">
        <f>100*(M7-M6)</f>
        <v/>
      </c>
      <c r="N141" s="21">
        <f>100*(N7-N6)</f>
        <v/>
      </c>
      <c r="O141" s="21">
        <f>100*(O7-O6)</f>
        <v/>
      </c>
      <c r="P141" s="21">
        <f>100*(P7-P6)</f>
        <v/>
      </c>
      <c r="Q141" s="21">
        <f>100*(Q7-Q6)</f>
        <v/>
      </c>
      <c r="R141" s="21">
        <f>100*(R7-R6)</f>
        <v/>
      </c>
      <c r="S141" s="21">
        <f>100*(S7-S6)</f>
        <v/>
      </c>
      <c r="T141" s="21">
        <f>100*(T7-T6)</f>
        <v/>
      </c>
      <c r="U141" s="21">
        <f>100*(U7-U6)</f>
        <v/>
      </c>
      <c r="V141" s="21">
        <f>100*(V7-V6)</f>
        <v/>
      </c>
      <c r="W141" s="21">
        <f>100*(W7-W6)</f>
        <v/>
      </c>
      <c r="X141" s="21">
        <f>100*(X7-X6)</f>
        <v/>
      </c>
      <c r="Y141" s="21">
        <f>100*(Y7-Y6)</f>
        <v/>
      </c>
      <c r="Z141" s="21">
        <f>100*(Z7-Z6)</f>
        <v/>
      </c>
      <c r="AA141" s="21">
        <f>100*(AA7-AA6)</f>
        <v/>
      </c>
      <c r="AB141" s="21">
        <f>100*(AB7-AB6)</f>
        <v/>
      </c>
      <c r="AC141" s="21">
        <f>100*(AC7-AC6)</f>
        <v/>
      </c>
      <c r="AD141" s="21">
        <f>100*(AD7-AD6)</f>
        <v/>
      </c>
      <c r="AE141" s="21">
        <f>100*(AE7-AE6)</f>
        <v/>
      </c>
      <c r="AF141" s="21">
        <f>100*(AF7-AF6)</f>
        <v/>
      </c>
      <c r="AG141" s="21">
        <f>100*(AG7-AG6)</f>
        <v/>
      </c>
      <c r="AH141" s="21">
        <f>100*(AH7-AH6)</f>
        <v/>
      </c>
      <c r="AI141" s="21">
        <f>100*(AI7-AI6)</f>
        <v/>
      </c>
      <c r="AJ141" s="21">
        <f>100*(AJ7-AJ6)</f>
        <v/>
      </c>
      <c r="AK141" s="21">
        <f>100*(AK7-AK6)</f>
        <v/>
      </c>
      <c r="AL141" s="21">
        <f>100*(AL7-AL6)</f>
        <v/>
      </c>
      <c r="AM141" s="21">
        <f>100*(AM7-AM6)</f>
        <v/>
      </c>
      <c r="AN141" s="21">
        <f>100*(AN7-AN6)</f>
        <v/>
      </c>
      <c r="AO141" s="21">
        <f>100*(AO7-AO6)</f>
        <v/>
      </c>
      <c r="AP141" s="21">
        <f>100*(AP7-AP6)</f>
        <v/>
      </c>
      <c r="AQ141" s="21">
        <f>100*(AQ7-AQ6)</f>
        <v/>
      </c>
      <c r="AR141" s="21">
        <f>100*(AR7-AR6)</f>
        <v/>
      </c>
      <c r="AS141" s="21">
        <f>100*(AS7-AS6)</f>
        <v/>
      </c>
      <c r="AT141" s="21">
        <f>100*(AT7-AT6)</f>
        <v/>
      </c>
      <c r="AU141" s="21">
        <f>100*(AU7-AU6)</f>
        <v/>
      </c>
      <c r="AV141" s="21">
        <f>AVERAGE(C141:AU141)</f>
        <v/>
      </c>
    </row>
    <row r="142">
      <c r="A142" s="19">
        <f>A8</f>
        <v/>
      </c>
      <c r="B142" s="20">
        <f>B8</f>
        <v/>
      </c>
      <c r="C142" s="21">
        <f>100*(C8-C7)</f>
        <v/>
      </c>
      <c r="D142" s="21">
        <f>100*(D8-D7)</f>
        <v/>
      </c>
      <c r="E142" s="21">
        <f>100*(E8-E7)</f>
        <v/>
      </c>
      <c r="F142" s="21">
        <f>100*(F8-F7)</f>
        <v/>
      </c>
      <c r="G142" s="21">
        <f>100*(G8-G7)</f>
        <v/>
      </c>
      <c r="H142" s="21">
        <f>100*(H8-H7)</f>
        <v/>
      </c>
      <c r="I142" s="21">
        <f>100*(I8-I7)</f>
        <v/>
      </c>
      <c r="J142" s="21">
        <f>100*(J8-J7)</f>
        <v/>
      </c>
      <c r="K142" s="21">
        <f>100*(K8-K7)</f>
        <v/>
      </c>
      <c r="L142" s="21">
        <f>100*(L8-L7)</f>
        <v/>
      </c>
      <c r="M142" s="21">
        <f>100*(M8-M7)</f>
        <v/>
      </c>
      <c r="N142" s="21">
        <f>100*(N8-N7)</f>
        <v/>
      </c>
      <c r="O142" s="21">
        <f>100*(O8-O7)</f>
        <v/>
      </c>
      <c r="P142" s="21">
        <f>100*(P8-P7)</f>
        <v/>
      </c>
      <c r="Q142" s="21">
        <f>100*(Q8-Q7)</f>
        <v/>
      </c>
      <c r="R142" s="21">
        <f>100*(R8-R7)</f>
        <v/>
      </c>
      <c r="S142" s="21">
        <f>100*(S8-S7)</f>
        <v/>
      </c>
      <c r="T142" s="21">
        <f>100*(T8-T7)</f>
        <v/>
      </c>
      <c r="U142" s="21">
        <f>100*(U8-U7)</f>
        <v/>
      </c>
      <c r="V142" s="21">
        <f>100*(V8-V7)</f>
        <v/>
      </c>
      <c r="W142" s="21">
        <f>100*(W8-W7)</f>
        <v/>
      </c>
      <c r="X142" s="21">
        <f>100*(X8-X7)</f>
        <v/>
      </c>
      <c r="Y142" s="21">
        <f>100*(Y8-Y7)</f>
        <v/>
      </c>
      <c r="Z142" s="21">
        <f>100*(Z8-Z7)</f>
        <v/>
      </c>
      <c r="AA142" s="21">
        <f>100*(AA8-AA7)</f>
        <v/>
      </c>
      <c r="AB142" s="21">
        <f>100*(AB8-AB7)</f>
        <v/>
      </c>
      <c r="AC142" s="21">
        <f>100*(AC8-AC7)</f>
        <v/>
      </c>
      <c r="AD142" s="21">
        <f>100*(AD8-AD7)</f>
        <v/>
      </c>
      <c r="AE142" s="21">
        <f>100*(AE8-AE7)</f>
        <v/>
      </c>
      <c r="AF142" s="21">
        <f>100*(AF8-AF7)</f>
        <v/>
      </c>
      <c r="AG142" s="21">
        <f>100*(AG8-AG7)</f>
        <v/>
      </c>
      <c r="AH142" s="21">
        <f>100*(AH8-AH7)</f>
        <v/>
      </c>
      <c r="AI142" s="21">
        <f>100*(AI8-AI7)</f>
        <v/>
      </c>
      <c r="AJ142" s="21">
        <f>100*(AJ8-AJ7)</f>
        <v/>
      </c>
      <c r="AK142" s="21">
        <f>100*(AK8-AK7)</f>
        <v/>
      </c>
      <c r="AL142" s="21">
        <f>100*(AL8-AL7)</f>
        <v/>
      </c>
      <c r="AM142" s="21">
        <f>100*(AM8-AM7)</f>
        <v/>
      </c>
      <c r="AN142" s="21">
        <f>100*(AN8-AN7)</f>
        <v/>
      </c>
      <c r="AO142" s="21">
        <f>100*(AO8-AO7)</f>
        <v/>
      </c>
      <c r="AP142" s="21">
        <f>100*(AP8-AP7)</f>
        <v/>
      </c>
      <c r="AQ142" s="21">
        <f>100*(AQ8-AQ7)</f>
        <v/>
      </c>
      <c r="AR142" s="21">
        <f>100*(AR8-AR7)</f>
        <v/>
      </c>
      <c r="AS142" s="21">
        <f>100*(AS8-AS7)</f>
        <v/>
      </c>
      <c r="AT142" s="21">
        <f>100*(AT8-AT7)</f>
        <v/>
      </c>
      <c r="AU142" s="21">
        <f>100*(AU8-AU7)</f>
        <v/>
      </c>
      <c r="AV142" s="21">
        <f>AVERAGE(C142:AU142)</f>
        <v/>
      </c>
    </row>
    <row r="143">
      <c r="A143" s="19">
        <f>A9</f>
        <v/>
      </c>
      <c r="B143" s="20">
        <f>B9</f>
        <v/>
      </c>
      <c r="C143" s="21">
        <f>100*(C9-C8)</f>
        <v/>
      </c>
      <c r="D143" s="21">
        <f>100*(D9-D8)</f>
        <v/>
      </c>
      <c r="E143" s="21">
        <f>100*(E9-E8)</f>
        <v/>
      </c>
      <c r="F143" s="21">
        <f>100*(F9-F8)</f>
        <v/>
      </c>
      <c r="G143" s="21">
        <f>100*(G9-G8)</f>
        <v/>
      </c>
      <c r="H143" s="21">
        <f>100*(H9-H8)</f>
        <v/>
      </c>
      <c r="I143" s="21">
        <f>100*(I9-I8)</f>
        <v/>
      </c>
      <c r="J143" s="21">
        <f>100*(J9-J8)</f>
        <v/>
      </c>
      <c r="K143" s="21">
        <f>100*(K9-K8)</f>
        <v/>
      </c>
      <c r="L143" s="21">
        <f>100*(L9-L8)</f>
        <v/>
      </c>
      <c r="M143" s="21">
        <f>100*(M9-M8)</f>
        <v/>
      </c>
      <c r="N143" s="21">
        <f>100*(N9-N8)</f>
        <v/>
      </c>
      <c r="O143" s="21">
        <f>100*(O9-O8)</f>
        <v/>
      </c>
      <c r="P143" s="21">
        <f>100*(P9-P8)</f>
        <v/>
      </c>
      <c r="Q143" s="21">
        <f>100*(Q9-Q8)</f>
        <v/>
      </c>
      <c r="R143" s="21">
        <f>100*(R9-R8)</f>
        <v/>
      </c>
      <c r="S143" s="21">
        <f>100*(S9-S8)</f>
        <v/>
      </c>
      <c r="T143" s="21">
        <f>100*(T9-T8)</f>
        <v/>
      </c>
      <c r="U143" s="21">
        <f>100*(U9-U8)</f>
        <v/>
      </c>
      <c r="V143" s="21">
        <f>100*(V9-V8)</f>
        <v/>
      </c>
      <c r="W143" s="21">
        <f>100*(W9-W8)</f>
        <v/>
      </c>
      <c r="X143" s="21">
        <f>100*(X9-X8)</f>
        <v/>
      </c>
      <c r="Y143" s="21">
        <f>100*(Y9-Y8)</f>
        <v/>
      </c>
      <c r="Z143" s="21">
        <f>100*(Z9-Z8)</f>
        <v/>
      </c>
      <c r="AA143" s="21">
        <f>100*(AA9-AA8)</f>
        <v/>
      </c>
      <c r="AB143" s="21">
        <f>100*(AB9-AB8)</f>
        <v/>
      </c>
      <c r="AC143" s="21">
        <f>100*(AC9-AC8)</f>
        <v/>
      </c>
      <c r="AD143" s="21">
        <f>100*(AD9-AD8)</f>
        <v/>
      </c>
      <c r="AE143" s="21">
        <f>100*(AE9-AE8)</f>
        <v/>
      </c>
      <c r="AF143" s="21">
        <f>100*(AF9-AF8)</f>
        <v/>
      </c>
      <c r="AG143" s="21">
        <f>100*(AG9-AG8)</f>
        <v/>
      </c>
      <c r="AH143" s="21">
        <f>100*(AH9-AH8)</f>
        <v/>
      </c>
      <c r="AI143" s="21">
        <f>100*(AI9-AI8)</f>
        <v/>
      </c>
      <c r="AJ143" s="21">
        <f>100*(AJ9-AJ8)</f>
        <v/>
      </c>
      <c r="AK143" s="21">
        <f>100*(AK9-AK8)</f>
        <v/>
      </c>
      <c r="AL143" s="21">
        <f>100*(AL9-AL8)</f>
        <v/>
      </c>
      <c r="AM143" s="21">
        <f>100*(AM9-AM8)</f>
        <v/>
      </c>
      <c r="AN143" s="21">
        <f>100*(AN9-AN8)</f>
        <v/>
      </c>
      <c r="AO143" s="21">
        <f>100*(AO9-AO8)</f>
        <v/>
      </c>
      <c r="AP143" s="21">
        <f>100*(AP9-AP8)</f>
        <v/>
      </c>
      <c r="AQ143" s="21">
        <f>100*(AQ9-AQ8)</f>
        <v/>
      </c>
      <c r="AR143" s="21">
        <f>100*(AR9-AR8)</f>
        <v/>
      </c>
      <c r="AS143" s="21">
        <f>100*(AS9-AS8)</f>
        <v/>
      </c>
      <c r="AT143" s="21">
        <f>100*(AT9-AT8)</f>
        <v/>
      </c>
      <c r="AU143" s="21">
        <f>100*(AU9-AU8)</f>
        <v/>
      </c>
      <c r="AV143" s="21">
        <f>AVERAGE(C143:AU143)</f>
        <v/>
      </c>
    </row>
    <row r="144">
      <c r="A144" s="19">
        <f>A10</f>
        <v/>
      </c>
      <c r="B144" s="20">
        <f>B10</f>
        <v/>
      </c>
      <c r="C144" s="21">
        <f>100*(C10-C9)</f>
        <v/>
      </c>
      <c r="D144" s="21">
        <f>100*(D10-D9)</f>
        <v/>
      </c>
      <c r="E144" s="21">
        <f>100*(E10-E9)</f>
        <v/>
      </c>
      <c r="F144" s="21">
        <f>100*(F10-F9)</f>
        <v/>
      </c>
      <c r="G144" s="21">
        <f>100*(G10-G9)</f>
        <v/>
      </c>
      <c r="H144" s="21">
        <f>100*(H10-H9)</f>
        <v/>
      </c>
      <c r="I144" s="21">
        <f>100*(I10-I9)</f>
        <v/>
      </c>
      <c r="J144" s="21">
        <f>100*(J10-J9)</f>
        <v/>
      </c>
      <c r="K144" s="21">
        <f>100*(K10-K9)</f>
        <v/>
      </c>
      <c r="L144" s="21">
        <f>100*(L10-L9)</f>
        <v/>
      </c>
      <c r="M144" s="21">
        <f>100*(M10-M9)</f>
        <v/>
      </c>
      <c r="N144" s="21">
        <f>100*(N10-N9)</f>
        <v/>
      </c>
      <c r="O144" s="21">
        <f>100*(O10-O9)</f>
        <v/>
      </c>
      <c r="P144" s="21">
        <f>100*(P10-P9)</f>
        <v/>
      </c>
      <c r="Q144" s="21">
        <f>100*(Q10-Q9)</f>
        <v/>
      </c>
      <c r="R144" s="21">
        <f>100*(R10-R9)</f>
        <v/>
      </c>
      <c r="S144" s="21">
        <f>100*(S10-S9)</f>
        <v/>
      </c>
      <c r="T144" s="21">
        <f>100*(T10-T9)</f>
        <v/>
      </c>
      <c r="U144" s="21">
        <f>100*(U10-U9)</f>
        <v/>
      </c>
      <c r="V144" s="21">
        <f>100*(V10-V9)</f>
        <v/>
      </c>
      <c r="W144" s="21">
        <f>100*(W10-W9)</f>
        <v/>
      </c>
      <c r="X144" s="21">
        <f>100*(X10-X9)</f>
        <v/>
      </c>
      <c r="Y144" s="21">
        <f>100*(Y10-Y9)</f>
        <v/>
      </c>
      <c r="Z144" s="21">
        <f>100*(Z10-Z9)</f>
        <v/>
      </c>
      <c r="AA144" s="21">
        <f>100*(AA10-AA9)</f>
        <v/>
      </c>
      <c r="AB144" s="21">
        <f>100*(AB10-AB9)</f>
        <v/>
      </c>
      <c r="AC144" s="21">
        <f>100*(AC10-AC9)</f>
        <v/>
      </c>
      <c r="AD144" s="21">
        <f>100*(AD10-AD9)</f>
        <v/>
      </c>
      <c r="AE144" s="21">
        <f>100*(AE10-AE9)</f>
        <v/>
      </c>
      <c r="AF144" s="21">
        <f>100*(AF10-AF9)</f>
        <v/>
      </c>
      <c r="AG144" s="21">
        <f>100*(AG10-AG9)</f>
        <v/>
      </c>
      <c r="AH144" s="21">
        <f>100*(AH10-AH9)</f>
        <v/>
      </c>
      <c r="AI144" s="21">
        <f>100*(AI10-AI9)</f>
        <v/>
      </c>
      <c r="AJ144" s="21">
        <f>100*(AJ10-AJ9)</f>
        <v/>
      </c>
      <c r="AK144" s="21">
        <f>100*(AK10-AK9)</f>
        <v/>
      </c>
      <c r="AL144" s="21">
        <f>100*(AL10-AL9)</f>
        <v/>
      </c>
      <c r="AM144" s="21">
        <f>100*(AM10-AM9)</f>
        <v/>
      </c>
      <c r="AN144" s="21">
        <f>100*(AN10-AN9)</f>
        <v/>
      </c>
      <c r="AO144" s="21">
        <f>100*(AO10-AO9)</f>
        <v/>
      </c>
      <c r="AP144" s="21">
        <f>100*(AP10-AP9)</f>
        <v/>
      </c>
      <c r="AQ144" s="21">
        <f>100*(AQ10-AQ9)</f>
        <v/>
      </c>
      <c r="AR144" s="21">
        <f>100*(AR10-AR9)</f>
        <v/>
      </c>
      <c r="AS144" s="21">
        <f>100*(AS10-AS9)</f>
        <v/>
      </c>
      <c r="AT144" s="21">
        <f>100*(AT10-AT9)</f>
        <v/>
      </c>
      <c r="AU144" s="21">
        <f>100*(AU10-AU9)</f>
        <v/>
      </c>
      <c r="AV144" s="21">
        <f>AVERAGE(C144:AU144)</f>
        <v/>
      </c>
    </row>
    <row r="145">
      <c r="A145" s="19">
        <f>A11</f>
        <v/>
      </c>
      <c r="B145" s="20">
        <f>B11</f>
        <v/>
      </c>
      <c r="C145" s="21">
        <f>100*(C11-C10)</f>
        <v/>
      </c>
      <c r="D145" s="21">
        <f>100*(D11-D10)</f>
        <v/>
      </c>
      <c r="E145" s="21">
        <f>100*(E11-E10)</f>
        <v/>
      </c>
      <c r="F145" s="21">
        <f>100*(F11-F10)</f>
        <v/>
      </c>
      <c r="G145" s="21">
        <f>100*(G11-G10)</f>
        <v/>
      </c>
      <c r="H145" s="21">
        <f>100*(H11-H10)</f>
        <v/>
      </c>
      <c r="I145" s="21">
        <f>100*(I11-I10)</f>
        <v/>
      </c>
      <c r="J145" s="21">
        <f>100*(J11-J10)</f>
        <v/>
      </c>
      <c r="K145" s="21">
        <f>100*(K11-K10)</f>
        <v/>
      </c>
      <c r="L145" s="21">
        <f>100*(L11-L10)</f>
        <v/>
      </c>
      <c r="M145" s="21">
        <f>100*(M11-M10)</f>
        <v/>
      </c>
      <c r="N145" s="21">
        <f>100*(N11-N10)</f>
        <v/>
      </c>
      <c r="O145" s="21">
        <f>100*(O11-O10)</f>
        <v/>
      </c>
      <c r="P145" s="21">
        <f>100*(P11-P10)</f>
        <v/>
      </c>
      <c r="Q145" s="21">
        <f>100*(Q11-Q10)</f>
        <v/>
      </c>
      <c r="R145" s="21">
        <f>100*(R11-R10)</f>
        <v/>
      </c>
      <c r="S145" s="21">
        <f>100*(S11-S10)</f>
        <v/>
      </c>
      <c r="T145" s="21">
        <f>100*(T11-T10)</f>
        <v/>
      </c>
      <c r="U145" s="21">
        <f>100*(U11-U10)</f>
        <v/>
      </c>
      <c r="V145" s="21">
        <f>100*(V11-V10)</f>
        <v/>
      </c>
      <c r="W145" s="21">
        <f>100*(W11-W10)</f>
        <v/>
      </c>
      <c r="X145" s="21">
        <f>100*(X11-X10)</f>
        <v/>
      </c>
      <c r="Y145" s="21">
        <f>100*(Y11-Y10)</f>
        <v/>
      </c>
      <c r="Z145" s="21">
        <f>100*(Z11-Z10)</f>
        <v/>
      </c>
      <c r="AA145" s="21">
        <f>100*(AA11-AA10)</f>
        <v/>
      </c>
      <c r="AB145" s="21">
        <f>100*(AB11-AB10)</f>
        <v/>
      </c>
      <c r="AC145" s="21">
        <f>100*(AC11-AC10)</f>
        <v/>
      </c>
      <c r="AD145" s="21">
        <f>100*(AD11-AD10)</f>
        <v/>
      </c>
      <c r="AE145" s="21">
        <f>100*(AE11-AE10)</f>
        <v/>
      </c>
      <c r="AF145" s="21">
        <f>100*(AF11-AF10)</f>
        <v/>
      </c>
      <c r="AG145" s="21">
        <f>100*(AG11-AG10)</f>
        <v/>
      </c>
      <c r="AH145" s="21">
        <f>100*(AH11-AH10)</f>
        <v/>
      </c>
      <c r="AI145" s="21">
        <f>100*(AI11-AI10)</f>
        <v/>
      </c>
      <c r="AJ145" s="21">
        <f>100*(AJ11-AJ10)</f>
        <v/>
      </c>
      <c r="AK145" s="21">
        <f>100*(AK11-AK10)</f>
        <v/>
      </c>
      <c r="AL145" s="21">
        <f>100*(AL11-AL10)</f>
        <v/>
      </c>
      <c r="AM145" s="21">
        <f>100*(AM11-AM10)</f>
        <v/>
      </c>
      <c r="AN145" s="21">
        <f>100*(AN11-AN10)</f>
        <v/>
      </c>
      <c r="AO145" s="21">
        <f>100*(AO11-AO10)</f>
        <v/>
      </c>
      <c r="AP145" s="21">
        <f>100*(AP11-AP10)</f>
        <v/>
      </c>
      <c r="AQ145" s="21">
        <f>100*(AQ11-AQ10)</f>
        <v/>
      </c>
      <c r="AR145" s="21">
        <f>100*(AR11-AR10)</f>
        <v/>
      </c>
      <c r="AS145" s="21">
        <f>100*(AS11-AS10)</f>
        <v/>
      </c>
      <c r="AT145" s="21">
        <f>100*(AT11-AT10)</f>
        <v/>
      </c>
      <c r="AU145" s="21">
        <f>100*(AU11-AU10)</f>
        <v/>
      </c>
      <c r="AV145" s="21">
        <f>AVERAGE(C145:AU145)</f>
        <v/>
      </c>
    </row>
    <row r="146">
      <c r="A146" s="19">
        <f>A12</f>
        <v/>
      </c>
      <c r="B146" s="20">
        <f>B12</f>
        <v/>
      </c>
      <c r="C146" s="21">
        <f>100*(C12-C11)</f>
        <v/>
      </c>
      <c r="D146" s="21">
        <f>100*(D12-D11)</f>
        <v/>
      </c>
      <c r="E146" s="21">
        <f>100*(E12-E11)</f>
        <v/>
      </c>
      <c r="F146" s="21">
        <f>100*(F12-F11)</f>
        <v/>
      </c>
      <c r="G146" s="21">
        <f>100*(G12-G11)</f>
        <v/>
      </c>
      <c r="H146" s="21">
        <f>100*(H12-H11)</f>
        <v/>
      </c>
      <c r="I146" s="21">
        <f>100*(I12-I11)</f>
        <v/>
      </c>
      <c r="J146" s="21">
        <f>100*(J12-J11)</f>
        <v/>
      </c>
      <c r="K146" s="21">
        <f>100*(K12-K11)</f>
        <v/>
      </c>
      <c r="L146" s="21">
        <f>100*(L12-L11)</f>
        <v/>
      </c>
      <c r="M146" s="21">
        <f>100*(M12-M11)</f>
        <v/>
      </c>
      <c r="N146" s="21">
        <f>100*(N12-N11)</f>
        <v/>
      </c>
      <c r="O146" s="21">
        <f>100*(O12-O11)</f>
        <v/>
      </c>
      <c r="P146" s="21">
        <f>100*(P12-P11)</f>
        <v/>
      </c>
      <c r="Q146" s="21">
        <f>100*(Q12-Q11)</f>
        <v/>
      </c>
      <c r="R146" s="21">
        <f>100*(R12-R11)</f>
        <v/>
      </c>
      <c r="S146" s="21">
        <f>100*(S12-S11)</f>
        <v/>
      </c>
      <c r="T146" s="21">
        <f>100*(T12-T11)</f>
        <v/>
      </c>
      <c r="U146" s="21">
        <f>100*(U12-U11)</f>
        <v/>
      </c>
      <c r="V146" s="21">
        <f>100*(V12-V11)</f>
        <v/>
      </c>
      <c r="W146" s="21">
        <f>100*(W12-W11)</f>
        <v/>
      </c>
      <c r="X146" s="21">
        <f>100*(X12-X11)</f>
        <v/>
      </c>
      <c r="Y146" s="21">
        <f>100*(Y12-Y11)</f>
        <v/>
      </c>
      <c r="Z146" s="21">
        <f>100*(Z12-Z11)</f>
        <v/>
      </c>
      <c r="AA146" s="21">
        <f>100*(AA12-AA11)</f>
        <v/>
      </c>
      <c r="AB146" s="21">
        <f>100*(AB12-AB11)</f>
        <v/>
      </c>
      <c r="AC146" s="21">
        <f>100*(AC12-AC11)</f>
        <v/>
      </c>
      <c r="AD146" s="21">
        <f>100*(AD12-AD11)</f>
        <v/>
      </c>
      <c r="AE146" s="21">
        <f>100*(AE12-AE11)</f>
        <v/>
      </c>
      <c r="AF146" s="21">
        <f>100*(AF12-AF11)</f>
        <v/>
      </c>
      <c r="AG146" s="21">
        <f>100*(AG12-AG11)</f>
        <v/>
      </c>
      <c r="AH146" s="21">
        <f>100*(AH12-AH11)</f>
        <v/>
      </c>
      <c r="AI146" s="21">
        <f>100*(AI12-AI11)</f>
        <v/>
      </c>
      <c r="AJ146" s="21">
        <f>100*(AJ12-AJ11)</f>
        <v/>
      </c>
      <c r="AK146" s="21">
        <f>100*(AK12-AK11)</f>
        <v/>
      </c>
      <c r="AL146" s="21">
        <f>100*(AL12-AL11)</f>
        <v/>
      </c>
      <c r="AM146" s="21">
        <f>100*(AM12-AM11)</f>
        <v/>
      </c>
      <c r="AN146" s="21">
        <f>100*(AN12-AN11)</f>
        <v/>
      </c>
      <c r="AO146" s="21">
        <f>100*(AO12-AO11)</f>
        <v/>
      </c>
      <c r="AP146" s="21">
        <f>100*(AP12-AP11)</f>
        <v/>
      </c>
      <c r="AQ146" s="21">
        <f>100*(AQ12-AQ11)</f>
        <v/>
      </c>
      <c r="AR146" s="21">
        <f>100*(AR12-AR11)</f>
        <v/>
      </c>
      <c r="AS146" s="21">
        <f>100*(AS12-AS11)</f>
        <v/>
      </c>
      <c r="AT146" s="21">
        <f>100*(AT12-AT11)</f>
        <v/>
      </c>
      <c r="AU146" s="21">
        <f>100*(AU12-AU11)</f>
        <v/>
      </c>
      <c r="AV146" s="21">
        <f>AVERAGE(C146:AU146)</f>
        <v/>
      </c>
    </row>
    <row r="147">
      <c r="A147" s="19">
        <f>A13</f>
        <v/>
      </c>
      <c r="B147" s="20">
        <f>B13</f>
        <v/>
      </c>
      <c r="C147" s="21">
        <f>100*(C13-C12)</f>
        <v/>
      </c>
      <c r="D147" s="21">
        <f>100*(D13-D12)</f>
        <v/>
      </c>
      <c r="E147" s="21">
        <f>100*(E13-E12)</f>
        <v/>
      </c>
      <c r="F147" s="21">
        <f>100*(F13-F12)</f>
        <v/>
      </c>
      <c r="G147" s="21">
        <f>100*(G13-G12)</f>
        <v/>
      </c>
      <c r="H147" s="21">
        <f>100*(H13-H12)</f>
        <v/>
      </c>
      <c r="I147" s="21">
        <f>100*(I13-I12)</f>
        <v/>
      </c>
      <c r="J147" s="21">
        <f>100*(J13-J12)</f>
        <v/>
      </c>
      <c r="K147" s="21">
        <f>100*(K13-K12)</f>
        <v/>
      </c>
      <c r="L147" s="21">
        <f>100*(L13-L12)</f>
        <v/>
      </c>
      <c r="M147" s="21">
        <f>100*(M13-M12)</f>
        <v/>
      </c>
      <c r="N147" s="21">
        <f>100*(N13-N12)</f>
        <v/>
      </c>
      <c r="O147" s="21">
        <f>100*(O13-O12)</f>
        <v/>
      </c>
      <c r="P147" s="21">
        <f>100*(P13-P12)</f>
        <v/>
      </c>
      <c r="Q147" s="21">
        <f>100*(Q13-Q12)</f>
        <v/>
      </c>
      <c r="R147" s="21">
        <f>100*(R13-R12)</f>
        <v/>
      </c>
      <c r="S147" s="21">
        <f>100*(S13-S12)</f>
        <v/>
      </c>
      <c r="T147" s="21">
        <f>100*(T13-T12)</f>
        <v/>
      </c>
      <c r="U147" s="21">
        <f>100*(U13-U12)</f>
        <v/>
      </c>
      <c r="V147" s="21">
        <f>100*(V13-V12)</f>
        <v/>
      </c>
      <c r="W147" s="21">
        <f>100*(W13-W12)</f>
        <v/>
      </c>
      <c r="X147" s="21">
        <f>100*(X13-X12)</f>
        <v/>
      </c>
      <c r="Y147" s="21">
        <f>100*(Y13-Y12)</f>
        <v/>
      </c>
      <c r="Z147" s="21">
        <f>100*(Z13-Z12)</f>
        <v/>
      </c>
      <c r="AA147" s="21">
        <f>100*(AA13-AA12)</f>
        <v/>
      </c>
      <c r="AB147" s="21">
        <f>100*(AB13-AB12)</f>
        <v/>
      </c>
      <c r="AC147" s="21">
        <f>100*(AC13-AC12)</f>
        <v/>
      </c>
      <c r="AD147" s="21">
        <f>100*(AD13-AD12)</f>
        <v/>
      </c>
      <c r="AE147" s="21">
        <f>100*(AE13-AE12)</f>
        <v/>
      </c>
      <c r="AF147" s="21">
        <f>100*(AF13-AF12)</f>
        <v/>
      </c>
      <c r="AG147" s="21">
        <f>100*(AG13-AG12)</f>
        <v/>
      </c>
      <c r="AH147" s="21">
        <f>100*(AH13-AH12)</f>
        <v/>
      </c>
      <c r="AI147" s="21">
        <f>100*(AI13-AI12)</f>
        <v/>
      </c>
      <c r="AJ147" s="21">
        <f>100*(AJ13-AJ12)</f>
        <v/>
      </c>
      <c r="AK147" s="21">
        <f>100*(AK13-AK12)</f>
        <v/>
      </c>
      <c r="AL147" s="21">
        <f>100*(AL13-AL12)</f>
        <v/>
      </c>
      <c r="AM147" s="21">
        <f>100*(AM13-AM12)</f>
        <v/>
      </c>
      <c r="AN147" s="21">
        <f>100*(AN13-AN12)</f>
        <v/>
      </c>
      <c r="AO147" s="21">
        <f>100*(AO13-AO12)</f>
        <v/>
      </c>
      <c r="AP147" s="21">
        <f>100*(AP13-AP12)</f>
        <v/>
      </c>
      <c r="AQ147" s="21">
        <f>100*(AQ13-AQ12)</f>
        <v/>
      </c>
      <c r="AR147" s="21">
        <f>100*(AR13-AR12)</f>
        <v/>
      </c>
      <c r="AS147" s="21">
        <f>100*(AS13-AS12)</f>
        <v/>
      </c>
      <c r="AT147" s="21">
        <f>100*(AT13-AT12)</f>
        <v/>
      </c>
      <c r="AU147" s="21">
        <f>100*(AU13-AU12)</f>
        <v/>
      </c>
      <c r="AV147" s="21">
        <f>AVERAGE(C147:AU147)</f>
        <v/>
      </c>
    </row>
    <row r="148">
      <c r="A148" s="19">
        <f>A14</f>
        <v/>
      </c>
      <c r="B148" s="20">
        <f>B14</f>
        <v/>
      </c>
      <c r="C148" s="21">
        <f>100*(C14-C13)</f>
        <v/>
      </c>
      <c r="D148" s="21">
        <f>100*(D14-D13)</f>
        <v/>
      </c>
      <c r="E148" s="21">
        <f>100*(E14-E13)</f>
        <v/>
      </c>
      <c r="F148" s="21">
        <f>100*(F14-F13)</f>
        <v/>
      </c>
      <c r="G148" s="21">
        <f>100*(G14-G13)</f>
        <v/>
      </c>
      <c r="H148" s="21">
        <f>100*(H14-H13)</f>
        <v/>
      </c>
      <c r="I148" s="21">
        <f>100*(I14-I13)</f>
        <v/>
      </c>
      <c r="J148" s="21">
        <f>100*(J14-J13)</f>
        <v/>
      </c>
      <c r="K148" s="21">
        <f>100*(K14-K13)</f>
        <v/>
      </c>
      <c r="L148" s="21">
        <f>100*(L14-L13)</f>
        <v/>
      </c>
      <c r="M148" s="21">
        <f>100*(M14-M13)</f>
        <v/>
      </c>
      <c r="N148" s="21">
        <f>100*(N14-N13)</f>
        <v/>
      </c>
      <c r="O148" s="21">
        <f>100*(O14-O13)</f>
        <v/>
      </c>
      <c r="P148" s="21">
        <f>100*(P14-P13)</f>
        <v/>
      </c>
      <c r="Q148" s="21">
        <f>100*(Q14-Q13)</f>
        <v/>
      </c>
      <c r="R148" s="21">
        <f>100*(R14-R13)</f>
        <v/>
      </c>
      <c r="S148" s="21">
        <f>100*(S14-S13)</f>
        <v/>
      </c>
      <c r="T148" s="21">
        <f>100*(T14-T13)</f>
        <v/>
      </c>
      <c r="U148" s="21">
        <f>100*(U14-U13)</f>
        <v/>
      </c>
      <c r="V148" s="21">
        <f>100*(V14-V13)</f>
        <v/>
      </c>
      <c r="W148" s="21">
        <f>100*(W14-W13)</f>
        <v/>
      </c>
      <c r="X148" s="21">
        <f>100*(X14-X13)</f>
        <v/>
      </c>
      <c r="Y148" s="21">
        <f>100*(Y14-Y13)</f>
        <v/>
      </c>
      <c r="Z148" s="21">
        <f>100*(Z14-Z13)</f>
        <v/>
      </c>
      <c r="AA148" s="21">
        <f>100*(AA14-AA13)</f>
        <v/>
      </c>
      <c r="AB148" s="21">
        <f>100*(AB14-AB13)</f>
        <v/>
      </c>
      <c r="AC148" s="21">
        <f>100*(AC14-AC13)</f>
        <v/>
      </c>
      <c r="AD148" s="21">
        <f>100*(AD14-AD13)</f>
        <v/>
      </c>
      <c r="AE148" s="21">
        <f>100*(AE14-AE13)</f>
        <v/>
      </c>
      <c r="AF148" s="21">
        <f>100*(AF14-AF13)</f>
        <v/>
      </c>
      <c r="AG148" s="21">
        <f>100*(AG14-AG13)</f>
        <v/>
      </c>
      <c r="AH148" s="21">
        <f>100*(AH14-AH13)</f>
        <v/>
      </c>
      <c r="AI148" s="21">
        <f>100*(AI14-AI13)</f>
        <v/>
      </c>
      <c r="AJ148" s="21">
        <f>100*(AJ14-AJ13)</f>
        <v/>
      </c>
      <c r="AK148" s="21">
        <f>100*(AK14-AK13)</f>
        <v/>
      </c>
      <c r="AL148" s="21">
        <f>100*(AL14-AL13)</f>
        <v/>
      </c>
      <c r="AM148" s="21">
        <f>100*(AM14-AM13)</f>
        <v/>
      </c>
      <c r="AN148" s="21">
        <f>100*(AN14-AN13)</f>
        <v/>
      </c>
      <c r="AO148" s="21">
        <f>100*(AO14-AO13)</f>
        <v/>
      </c>
      <c r="AP148" s="21">
        <f>100*(AP14-AP13)</f>
        <v/>
      </c>
      <c r="AQ148" s="21">
        <f>100*(AQ14-AQ13)</f>
        <v/>
      </c>
      <c r="AR148" s="21">
        <f>100*(AR14-AR13)</f>
        <v/>
      </c>
      <c r="AS148" s="21">
        <f>100*(AS14-AS13)</f>
        <v/>
      </c>
      <c r="AT148" s="21">
        <f>100*(AT14-AT13)</f>
        <v/>
      </c>
      <c r="AU148" s="21">
        <f>100*(AU14-AU13)</f>
        <v/>
      </c>
      <c r="AV148" s="21">
        <f>AVERAGE(C148:AU148)</f>
        <v/>
      </c>
    </row>
    <row r="149">
      <c r="A149" s="19">
        <f>A15</f>
        <v/>
      </c>
      <c r="B149" s="20">
        <f>B15</f>
        <v/>
      </c>
      <c r="C149" s="21">
        <f>100*(C15-C14)</f>
        <v/>
      </c>
      <c r="D149" s="21">
        <f>100*(D15-D14)</f>
        <v/>
      </c>
      <c r="E149" s="21">
        <f>100*(E15-E14)</f>
        <v/>
      </c>
      <c r="F149" s="21">
        <f>100*(F15-F14)</f>
        <v/>
      </c>
      <c r="G149" s="21">
        <f>100*(G15-G14)</f>
        <v/>
      </c>
      <c r="H149" s="21">
        <f>100*(H15-H14)</f>
        <v/>
      </c>
      <c r="I149" s="21">
        <f>100*(I15-I14)</f>
        <v/>
      </c>
      <c r="J149" s="21">
        <f>100*(J15-J14)</f>
        <v/>
      </c>
      <c r="K149" s="21">
        <f>100*(K15-K14)</f>
        <v/>
      </c>
      <c r="L149" s="21">
        <f>100*(L15-L14)</f>
        <v/>
      </c>
      <c r="M149" s="21">
        <f>100*(M15-M14)</f>
        <v/>
      </c>
      <c r="N149" s="21">
        <f>100*(N15-N14)</f>
        <v/>
      </c>
      <c r="O149" s="21">
        <f>100*(O15-O14)</f>
        <v/>
      </c>
      <c r="P149" s="21">
        <f>100*(P15-P14)</f>
        <v/>
      </c>
      <c r="Q149" s="21">
        <f>100*(Q15-Q14)</f>
        <v/>
      </c>
      <c r="R149" s="21">
        <f>100*(R15-R14)</f>
        <v/>
      </c>
      <c r="S149" s="21">
        <f>100*(S15-S14)</f>
        <v/>
      </c>
      <c r="T149" s="21">
        <f>100*(T15-T14)</f>
        <v/>
      </c>
      <c r="U149" s="21">
        <f>100*(U15-U14)</f>
        <v/>
      </c>
      <c r="V149" s="21">
        <f>100*(V15-V14)</f>
        <v/>
      </c>
      <c r="W149" s="21">
        <f>100*(W15-W14)</f>
        <v/>
      </c>
      <c r="X149" s="21">
        <f>100*(X15-X14)</f>
        <v/>
      </c>
      <c r="Y149" s="21">
        <f>100*(Y15-Y14)</f>
        <v/>
      </c>
      <c r="Z149" s="21">
        <f>100*(Z15-Z14)</f>
        <v/>
      </c>
      <c r="AA149" s="21">
        <f>100*(AA15-AA14)</f>
        <v/>
      </c>
      <c r="AB149" s="21">
        <f>100*(AB15-AB14)</f>
        <v/>
      </c>
      <c r="AC149" s="21">
        <f>100*(AC15-AC14)</f>
        <v/>
      </c>
      <c r="AD149" s="21">
        <f>100*(AD15-AD14)</f>
        <v/>
      </c>
      <c r="AE149" s="21">
        <f>100*(AE15-AE14)</f>
        <v/>
      </c>
      <c r="AF149" s="21">
        <f>100*(AF15-AF14)</f>
        <v/>
      </c>
      <c r="AG149" s="21">
        <f>100*(AG15-AG14)</f>
        <v/>
      </c>
      <c r="AH149" s="21">
        <f>100*(AH15-AH14)</f>
        <v/>
      </c>
      <c r="AI149" s="21">
        <f>100*(AI15-AI14)</f>
        <v/>
      </c>
      <c r="AJ149" s="21">
        <f>100*(AJ15-AJ14)</f>
        <v/>
      </c>
      <c r="AK149" s="21">
        <f>100*(AK15-AK14)</f>
        <v/>
      </c>
      <c r="AL149" s="21">
        <f>100*(AL15-AL14)</f>
        <v/>
      </c>
      <c r="AM149" s="21">
        <f>100*(AM15-AM14)</f>
        <v/>
      </c>
      <c r="AN149" s="21">
        <f>100*(AN15-AN14)</f>
        <v/>
      </c>
      <c r="AO149" s="21">
        <f>100*(AO15-AO14)</f>
        <v/>
      </c>
      <c r="AP149" s="21">
        <f>100*(AP15-AP14)</f>
        <v/>
      </c>
      <c r="AQ149" s="21">
        <f>100*(AQ15-AQ14)</f>
        <v/>
      </c>
      <c r="AR149" s="21">
        <f>100*(AR15-AR14)</f>
        <v/>
      </c>
      <c r="AS149" s="21">
        <f>100*(AS15-AS14)</f>
        <v/>
      </c>
      <c r="AT149" s="21">
        <f>100*(AT15-AT14)</f>
        <v/>
      </c>
      <c r="AU149" s="21">
        <f>100*(AU15-AU14)</f>
        <v/>
      </c>
      <c r="AV149" s="21">
        <f>AVERAGE(C149:AU149)</f>
        <v/>
      </c>
    </row>
    <row r="150">
      <c r="A150" s="19">
        <f>A16</f>
        <v/>
      </c>
      <c r="B150" s="20">
        <f>B16</f>
        <v/>
      </c>
      <c r="C150" s="21">
        <f>100*(C16-C15)</f>
        <v/>
      </c>
      <c r="D150" s="21">
        <f>100*(D16-D15)</f>
        <v/>
      </c>
      <c r="E150" s="21">
        <f>100*(E16-E15)</f>
        <v/>
      </c>
      <c r="F150" s="21">
        <f>100*(F16-F15)</f>
        <v/>
      </c>
      <c r="G150" s="21">
        <f>100*(G16-G15)</f>
        <v/>
      </c>
      <c r="H150" s="21">
        <f>100*(H16-H15)</f>
        <v/>
      </c>
      <c r="I150" s="21">
        <f>100*(I16-I15)</f>
        <v/>
      </c>
      <c r="J150" s="21">
        <f>100*(J16-J15)</f>
        <v/>
      </c>
      <c r="K150" s="21">
        <f>100*(K16-K15)</f>
        <v/>
      </c>
      <c r="L150" s="21">
        <f>100*(L16-L15)</f>
        <v/>
      </c>
      <c r="M150" s="21">
        <f>100*(M16-M15)</f>
        <v/>
      </c>
      <c r="N150" s="21">
        <f>100*(N16-N15)</f>
        <v/>
      </c>
      <c r="O150" s="21">
        <f>100*(O16-O15)</f>
        <v/>
      </c>
      <c r="P150" s="21">
        <f>100*(P16-P15)</f>
        <v/>
      </c>
      <c r="Q150" s="21">
        <f>100*(Q16-Q15)</f>
        <v/>
      </c>
      <c r="R150" s="21">
        <f>100*(R16-R15)</f>
        <v/>
      </c>
      <c r="S150" s="21">
        <f>100*(S16-S15)</f>
        <v/>
      </c>
      <c r="T150" s="21">
        <f>100*(T16-T15)</f>
        <v/>
      </c>
      <c r="U150" s="21">
        <f>100*(U16-U15)</f>
        <v/>
      </c>
      <c r="V150" s="21">
        <f>100*(V16-V15)</f>
        <v/>
      </c>
      <c r="W150" s="21">
        <f>100*(W16-W15)</f>
        <v/>
      </c>
      <c r="X150" s="21">
        <f>100*(X16-X15)</f>
        <v/>
      </c>
      <c r="Y150" s="21">
        <f>100*(Y16-Y15)</f>
        <v/>
      </c>
      <c r="Z150" s="21">
        <f>100*(Z16-Z15)</f>
        <v/>
      </c>
      <c r="AA150" s="21">
        <f>100*(AA16-AA15)</f>
        <v/>
      </c>
      <c r="AB150" s="21">
        <f>100*(AB16-AB15)</f>
        <v/>
      </c>
      <c r="AC150" s="21">
        <f>100*(AC16-AC15)</f>
        <v/>
      </c>
      <c r="AD150" s="21">
        <f>100*(AD16-AD15)</f>
        <v/>
      </c>
      <c r="AE150" s="21">
        <f>100*(AE16-AE15)</f>
        <v/>
      </c>
      <c r="AF150" s="21">
        <f>100*(AF16-AF15)</f>
        <v/>
      </c>
      <c r="AG150" s="21">
        <f>100*(AG16-AG15)</f>
        <v/>
      </c>
      <c r="AH150" s="21">
        <f>100*(AH16-AH15)</f>
        <v/>
      </c>
      <c r="AI150" s="21">
        <f>100*(AI16-AI15)</f>
        <v/>
      </c>
      <c r="AJ150" s="21">
        <f>100*(AJ16-AJ15)</f>
        <v/>
      </c>
      <c r="AK150" s="21">
        <f>100*(AK16-AK15)</f>
        <v/>
      </c>
      <c r="AL150" s="21">
        <f>100*(AL16-AL15)</f>
        <v/>
      </c>
      <c r="AM150" s="21">
        <f>100*(AM16-AM15)</f>
        <v/>
      </c>
      <c r="AN150" s="21">
        <f>100*(AN16-AN15)</f>
        <v/>
      </c>
      <c r="AO150" s="21">
        <f>100*(AO16-AO15)</f>
        <v/>
      </c>
      <c r="AP150" s="21">
        <f>100*(AP16-AP15)</f>
        <v/>
      </c>
      <c r="AQ150" s="21">
        <f>100*(AQ16-AQ15)</f>
        <v/>
      </c>
      <c r="AR150" s="21">
        <f>100*(AR16-AR15)</f>
        <v/>
      </c>
      <c r="AS150" s="21">
        <f>100*(AS16-AS15)</f>
        <v/>
      </c>
      <c r="AT150" s="21">
        <f>100*(AT16-AT15)</f>
        <v/>
      </c>
      <c r="AU150" s="21">
        <f>100*(AU16-AU15)</f>
        <v/>
      </c>
      <c r="AV150" s="21">
        <f>AVERAGE(C150:AU150)</f>
        <v/>
      </c>
    </row>
    <row r="151">
      <c r="A151" s="19">
        <f>A17</f>
        <v/>
      </c>
      <c r="B151" s="20">
        <f>B17</f>
        <v/>
      </c>
      <c r="C151" s="21">
        <f>100*(C17-C16)</f>
        <v/>
      </c>
      <c r="D151" s="21">
        <f>100*(D17-D16)</f>
        <v/>
      </c>
      <c r="E151" s="21">
        <f>100*(E17-E16)</f>
        <v/>
      </c>
      <c r="F151" s="21">
        <f>100*(F17-F16)</f>
        <v/>
      </c>
      <c r="G151" s="21">
        <f>100*(G17-G16)</f>
        <v/>
      </c>
      <c r="H151" s="21">
        <f>100*(H17-H16)</f>
        <v/>
      </c>
      <c r="I151" s="21">
        <f>100*(I17-I16)</f>
        <v/>
      </c>
      <c r="J151" s="21">
        <f>100*(J17-J16)</f>
        <v/>
      </c>
      <c r="K151" s="21">
        <f>100*(K17-K16)</f>
        <v/>
      </c>
      <c r="L151" s="21">
        <f>100*(L17-L16)</f>
        <v/>
      </c>
      <c r="M151" s="21">
        <f>100*(M17-M16)</f>
        <v/>
      </c>
      <c r="N151" s="21">
        <f>100*(N17-N16)</f>
        <v/>
      </c>
      <c r="O151" s="21">
        <f>100*(O17-O16)</f>
        <v/>
      </c>
      <c r="P151" s="21">
        <f>100*(P17-P16)</f>
        <v/>
      </c>
      <c r="Q151" s="21">
        <f>100*(Q17-Q16)</f>
        <v/>
      </c>
      <c r="R151" s="21">
        <f>100*(R17-R16)</f>
        <v/>
      </c>
      <c r="S151" s="21">
        <f>100*(S17-S16)</f>
        <v/>
      </c>
      <c r="T151" s="21">
        <f>100*(T17-T16)</f>
        <v/>
      </c>
      <c r="U151" s="21">
        <f>100*(U17-U16)</f>
        <v/>
      </c>
      <c r="V151" s="21">
        <f>100*(V17-V16)</f>
        <v/>
      </c>
      <c r="W151" s="21">
        <f>100*(W17-W16)</f>
        <v/>
      </c>
      <c r="X151" s="21">
        <f>100*(X17-X16)</f>
        <v/>
      </c>
      <c r="Y151" s="21">
        <f>100*(Y17-Y16)</f>
        <v/>
      </c>
      <c r="Z151" s="21">
        <f>100*(Z17-Z16)</f>
        <v/>
      </c>
      <c r="AA151" s="21">
        <f>100*(AA17-AA16)</f>
        <v/>
      </c>
      <c r="AB151" s="21">
        <f>100*(AB17-AB16)</f>
        <v/>
      </c>
      <c r="AC151" s="21">
        <f>100*(AC17-AC16)</f>
        <v/>
      </c>
      <c r="AD151" s="21">
        <f>100*(AD17-AD16)</f>
        <v/>
      </c>
      <c r="AE151" s="21">
        <f>100*(AE17-AE16)</f>
        <v/>
      </c>
      <c r="AF151" s="21">
        <f>100*(AF17-AF16)</f>
        <v/>
      </c>
      <c r="AG151" s="21">
        <f>100*(AG17-AG16)</f>
        <v/>
      </c>
      <c r="AH151" s="21">
        <f>100*(AH17-AH16)</f>
        <v/>
      </c>
      <c r="AI151" s="21">
        <f>100*(AI17-AI16)</f>
        <v/>
      </c>
      <c r="AJ151" s="21">
        <f>100*(AJ17-AJ16)</f>
        <v/>
      </c>
      <c r="AK151" s="21">
        <f>100*(AK17-AK16)</f>
        <v/>
      </c>
      <c r="AL151" s="21">
        <f>100*(AL17-AL16)</f>
        <v/>
      </c>
      <c r="AM151" s="21">
        <f>100*(AM17-AM16)</f>
        <v/>
      </c>
      <c r="AN151" s="21">
        <f>100*(AN17-AN16)</f>
        <v/>
      </c>
      <c r="AO151" s="21">
        <f>100*(AO17-AO16)</f>
        <v/>
      </c>
      <c r="AP151" s="21">
        <f>100*(AP17-AP16)</f>
        <v/>
      </c>
      <c r="AQ151" s="21">
        <f>100*(AQ17-AQ16)</f>
        <v/>
      </c>
      <c r="AR151" s="21">
        <f>100*(AR17-AR16)</f>
        <v/>
      </c>
      <c r="AS151" s="21">
        <f>100*(AS17-AS16)</f>
        <v/>
      </c>
      <c r="AT151" s="21">
        <f>100*(AT17-AT16)</f>
        <v/>
      </c>
      <c r="AU151" s="21">
        <f>100*(AU17-AU16)</f>
        <v/>
      </c>
      <c r="AV151" s="21">
        <f>AVERAGE(C151:AU151)</f>
        <v/>
      </c>
    </row>
    <row r="152">
      <c r="A152" s="19">
        <f>A18</f>
        <v/>
      </c>
      <c r="B152" s="20">
        <f>B18</f>
        <v/>
      </c>
      <c r="C152" s="21">
        <f>100*(C18-C17)</f>
        <v/>
      </c>
      <c r="D152" s="21">
        <f>100*(D18-D17)</f>
        <v/>
      </c>
      <c r="E152" s="21">
        <f>100*(E18-E17)</f>
        <v/>
      </c>
      <c r="F152" s="21">
        <f>100*(F18-F17)</f>
        <v/>
      </c>
      <c r="G152" s="21">
        <f>100*(G18-G17)</f>
        <v/>
      </c>
      <c r="H152" s="21">
        <f>100*(H18-H17)</f>
        <v/>
      </c>
      <c r="I152" s="21">
        <f>100*(I18-I17)</f>
        <v/>
      </c>
      <c r="J152" s="21">
        <f>100*(J18-J17)</f>
        <v/>
      </c>
      <c r="K152" s="21">
        <f>100*(K18-K17)</f>
        <v/>
      </c>
      <c r="L152" s="21">
        <f>100*(L18-L17)</f>
        <v/>
      </c>
      <c r="M152" s="21">
        <f>100*(M18-M17)</f>
        <v/>
      </c>
      <c r="N152" s="21">
        <f>100*(N18-N17)</f>
        <v/>
      </c>
      <c r="O152" s="21">
        <f>100*(O18-O17)</f>
        <v/>
      </c>
      <c r="P152" s="21">
        <f>100*(P18-P17)</f>
        <v/>
      </c>
      <c r="Q152" s="21">
        <f>100*(Q18-Q17)</f>
        <v/>
      </c>
      <c r="R152" s="21">
        <f>100*(R18-R17)</f>
        <v/>
      </c>
      <c r="S152" s="21">
        <f>100*(S18-S17)</f>
        <v/>
      </c>
      <c r="T152" s="21">
        <f>100*(T18-T17)</f>
        <v/>
      </c>
      <c r="U152" s="21">
        <f>100*(U18-U17)</f>
        <v/>
      </c>
      <c r="V152" s="21">
        <f>100*(V18-V17)</f>
        <v/>
      </c>
      <c r="W152" s="21">
        <f>100*(W18-W17)</f>
        <v/>
      </c>
      <c r="X152" s="21">
        <f>100*(X18-X17)</f>
        <v/>
      </c>
      <c r="Y152" s="21">
        <f>100*(Y18-Y17)</f>
        <v/>
      </c>
      <c r="Z152" s="21">
        <f>100*(Z18-Z17)</f>
        <v/>
      </c>
      <c r="AA152" s="21">
        <f>100*(AA18-AA17)</f>
        <v/>
      </c>
      <c r="AB152" s="21">
        <f>100*(AB18-AB17)</f>
        <v/>
      </c>
      <c r="AC152" s="21">
        <f>100*(AC18-AC17)</f>
        <v/>
      </c>
      <c r="AD152" s="21">
        <f>100*(AD18-AD17)</f>
        <v/>
      </c>
      <c r="AE152" s="21">
        <f>100*(AE18-AE17)</f>
        <v/>
      </c>
      <c r="AF152" s="21">
        <f>100*(AF18-AF17)</f>
        <v/>
      </c>
      <c r="AG152" s="21">
        <f>100*(AG18-AG17)</f>
        <v/>
      </c>
      <c r="AH152" s="21">
        <f>100*(AH18-AH17)</f>
        <v/>
      </c>
      <c r="AI152" s="21">
        <f>100*(AI18-AI17)</f>
        <v/>
      </c>
      <c r="AJ152" s="21">
        <f>100*(AJ18-AJ17)</f>
        <v/>
      </c>
      <c r="AK152" s="21">
        <f>100*(AK18-AK17)</f>
        <v/>
      </c>
      <c r="AL152" s="21">
        <f>100*(AL18-AL17)</f>
        <v/>
      </c>
      <c r="AM152" s="21">
        <f>100*(AM18-AM17)</f>
        <v/>
      </c>
      <c r="AN152" s="21">
        <f>100*(AN18-AN17)</f>
        <v/>
      </c>
      <c r="AO152" s="21">
        <f>100*(AO18-AO17)</f>
        <v/>
      </c>
      <c r="AP152" s="21">
        <f>100*(AP18-AP17)</f>
        <v/>
      </c>
      <c r="AQ152" s="21">
        <f>100*(AQ18-AQ17)</f>
        <v/>
      </c>
      <c r="AR152" s="21">
        <f>100*(AR18-AR17)</f>
        <v/>
      </c>
      <c r="AS152" s="21">
        <f>100*(AS18-AS17)</f>
        <v/>
      </c>
      <c r="AT152" s="21">
        <f>100*(AT18-AT17)</f>
        <v/>
      </c>
      <c r="AU152" s="21">
        <f>100*(AU18-AU17)</f>
        <v/>
      </c>
      <c r="AV152" s="21">
        <f>AVERAGE(C152:AU152)</f>
        <v/>
      </c>
    </row>
    <row r="153">
      <c r="A153" s="19">
        <f>A19</f>
        <v/>
      </c>
      <c r="B153" s="20">
        <f>B19</f>
        <v/>
      </c>
      <c r="C153" s="21">
        <f>100*(C19-C18)</f>
        <v/>
      </c>
      <c r="D153" s="21">
        <f>100*(D19-D18)</f>
        <v/>
      </c>
      <c r="E153" s="21">
        <f>100*(E19-E18)</f>
        <v/>
      </c>
      <c r="F153" s="21">
        <f>100*(F19-F18)</f>
        <v/>
      </c>
      <c r="G153" s="21">
        <f>100*(G19-G18)</f>
        <v/>
      </c>
      <c r="H153" s="21">
        <f>100*(H19-H18)</f>
        <v/>
      </c>
      <c r="I153" s="21">
        <f>100*(I19-I18)</f>
        <v/>
      </c>
      <c r="J153" s="21">
        <f>100*(J19-J18)</f>
        <v/>
      </c>
      <c r="K153" s="21">
        <f>100*(K19-K18)</f>
        <v/>
      </c>
      <c r="L153" s="21">
        <f>100*(L19-L18)</f>
        <v/>
      </c>
      <c r="M153" s="21">
        <f>100*(M19-M18)</f>
        <v/>
      </c>
      <c r="N153" s="21">
        <f>100*(N19-N18)</f>
        <v/>
      </c>
      <c r="O153" s="21">
        <f>100*(O19-O18)</f>
        <v/>
      </c>
      <c r="P153" s="21">
        <f>100*(P19-P18)</f>
        <v/>
      </c>
      <c r="Q153" s="21">
        <f>100*(Q19-Q18)</f>
        <v/>
      </c>
      <c r="R153" s="21">
        <f>100*(R19-R18)</f>
        <v/>
      </c>
      <c r="S153" s="21">
        <f>100*(S19-S18)</f>
        <v/>
      </c>
      <c r="T153" s="21">
        <f>100*(T19-T18)</f>
        <v/>
      </c>
      <c r="U153" s="21">
        <f>100*(U19-U18)</f>
        <v/>
      </c>
      <c r="V153" s="21">
        <f>100*(V19-V18)</f>
        <v/>
      </c>
      <c r="W153" s="21">
        <f>100*(W19-W18)</f>
        <v/>
      </c>
      <c r="X153" s="21">
        <f>100*(X19-X18)</f>
        <v/>
      </c>
      <c r="Y153" s="21">
        <f>100*(Y19-Y18)</f>
        <v/>
      </c>
      <c r="Z153" s="21">
        <f>100*(Z19-Z18)</f>
        <v/>
      </c>
      <c r="AA153" s="21">
        <f>100*(AA19-AA18)</f>
        <v/>
      </c>
      <c r="AB153" s="21">
        <f>100*(AB19-AB18)</f>
        <v/>
      </c>
      <c r="AC153" s="21">
        <f>100*(AC19-AC18)</f>
        <v/>
      </c>
      <c r="AD153" s="21">
        <f>100*(AD19-AD18)</f>
        <v/>
      </c>
      <c r="AE153" s="21">
        <f>100*(AE19-AE18)</f>
        <v/>
      </c>
      <c r="AF153" s="21">
        <f>100*(AF19-AF18)</f>
        <v/>
      </c>
      <c r="AG153" s="21">
        <f>100*(AG19-AG18)</f>
        <v/>
      </c>
      <c r="AH153" s="21">
        <f>100*(AH19-AH18)</f>
        <v/>
      </c>
      <c r="AI153" s="21">
        <f>100*(AI19-AI18)</f>
        <v/>
      </c>
      <c r="AJ153" s="21">
        <f>100*(AJ19-AJ18)</f>
        <v/>
      </c>
      <c r="AK153" s="21">
        <f>100*(AK19-AK18)</f>
        <v/>
      </c>
      <c r="AL153" s="21">
        <f>100*(AL19-AL18)</f>
        <v/>
      </c>
      <c r="AM153" s="21">
        <f>100*(AM19-AM18)</f>
        <v/>
      </c>
      <c r="AN153" s="21">
        <f>100*(AN19-AN18)</f>
        <v/>
      </c>
      <c r="AO153" s="21">
        <f>100*(AO19-AO18)</f>
        <v/>
      </c>
      <c r="AP153" s="21">
        <f>100*(AP19-AP18)</f>
        <v/>
      </c>
      <c r="AQ153" s="21">
        <f>100*(AQ19-AQ18)</f>
        <v/>
      </c>
      <c r="AR153" s="21">
        <f>100*(AR19-AR18)</f>
        <v/>
      </c>
      <c r="AS153" s="21">
        <f>100*(AS19-AS18)</f>
        <v/>
      </c>
      <c r="AT153" s="21">
        <f>100*(AT19-AT18)</f>
        <v/>
      </c>
      <c r="AU153" s="21">
        <f>100*(AU19-AU18)</f>
        <v/>
      </c>
      <c r="AV153" s="21">
        <f>AVERAGE(C153:AU153)</f>
        <v/>
      </c>
    </row>
    <row r="154">
      <c r="A154" s="19">
        <f>A20</f>
        <v/>
      </c>
      <c r="B154" s="20">
        <f>B20</f>
        <v/>
      </c>
      <c r="C154" s="21">
        <f>100*(C20-C19)</f>
        <v/>
      </c>
      <c r="D154" s="21">
        <f>100*(D20-D19)</f>
        <v/>
      </c>
      <c r="E154" s="21">
        <f>100*(E20-E19)</f>
        <v/>
      </c>
      <c r="F154" s="21">
        <f>100*(F20-F19)</f>
        <v/>
      </c>
      <c r="G154" s="21">
        <f>100*(G20-G19)</f>
        <v/>
      </c>
      <c r="H154" s="21">
        <f>100*(H20-H19)</f>
        <v/>
      </c>
      <c r="I154" s="21">
        <f>100*(I20-I19)</f>
        <v/>
      </c>
      <c r="J154" s="21">
        <f>100*(J20-J19)</f>
        <v/>
      </c>
      <c r="K154" s="21">
        <f>100*(K20-K19)</f>
        <v/>
      </c>
      <c r="L154" s="21">
        <f>100*(L20-L19)</f>
        <v/>
      </c>
      <c r="M154" s="21">
        <f>100*(M20-M19)</f>
        <v/>
      </c>
      <c r="N154" s="21">
        <f>100*(N20-N19)</f>
        <v/>
      </c>
      <c r="O154" s="21">
        <f>100*(O20-O19)</f>
        <v/>
      </c>
      <c r="P154" s="21">
        <f>100*(P20-P19)</f>
        <v/>
      </c>
      <c r="Q154" s="21">
        <f>100*(Q20-Q19)</f>
        <v/>
      </c>
      <c r="R154" s="21">
        <f>100*(R20-R19)</f>
        <v/>
      </c>
      <c r="S154" s="21">
        <f>100*(S20-S19)</f>
        <v/>
      </c>
      <c r="T154" s="21">
        <f>100*(T20-T19)</f>
        <v/>
      </c>
      <c r="U154" s="21">
        <f>100*(U20-U19)</f>
        <v/>
      </c>
      <c r="V154" s="21">
        <f>100*(V20-V19)</f>
        <v/>
      </c>
      <c r="W154" s="21">
        <f>100*(W20-W19)</f>
        <v/>
      </c>
      <c r="X154" s="21">
        <f>100*(X20-X19)</f>
        <v/>
      </c>
      <c r="Y154" s="21">
        <f>100*(Y20-Y19)</f>
        <v/>
      </c>
      <c r="Z154" s="21">
        <f>100*(Z20-Z19)</f>
        <v/>
      </c>
      <c r="AA154" s="21">
        <f>100*(AA20-AA19)</f>
        <v/>
      </c>
      <c r="AB154" s="21">
        <f>100*(AB20-AB19)</f>
        <v/>
      </c>
      <c r="AC154" s="21">
        <f>100*(AC20-AC19)</f>
        <v/>
      </c>
      <c r="AD154" s="21">
        <f>100*(AD20-AD19)</f>
        <v/>
      </c>
      <c r="AE154" s="21">
        <f>100*(AE20-AE19)</f>
        <v/>
      </c>
      <c r="AF154" s="21">
        <f>100*(AF20-AF19)</f>
        <v/>
      </c>
      <c r="AG154" s="21">
        <f>100*(AG20-AG19)</f>
        <v/>
      </c>
      <c r="AH154" s="21">
        <f>100*(AH20-AH19)</f>
        <v/>
      </c>
      <c r="AI154" s="21">
        <f>100*(AI20-AI19)</f>
        <v/>
      </c>
      <c r="AJ154" s="21">
        <f>100*(AJ20-AJ19)</f>
        <v/>
      </c>
      <c r="AK154" s="21">
        <f>100*(AK20-AK19)</f>
        <v/>
      </c>
      <c r="AL154" s="21">
        <f>100*(AL20-AL19)</f>
        <v/>
      </c>
      <c r="AM154" s="21">
        <f>100*(AM20-AM19)</f>
        <v/>
      </c>
      <c r="AN154" s="21">
        <f>100*(AN20-AN19)</f>
        <v/>
      </c>
      <c r="AO154" s="21">
        <f>100*(AO20-AO19)</f>
        <v/>
      </c>
      <c r="AP154" s="21">
        <f>100*(AP20-AP19)</f>
        <v/>
      </c>
      <c r="AQ154" s="21">
        <f>100*(AQ20-AQ19)</f>
        <v/>
      </c>
      <c r="AR154" s="21">
        <f>100*(AR20-AR19)</f>
        <v/>
      </c>
      <c r="AS154" s="21">
        <f>100*(AS20-AS19)</f>
        <v/>
      </c>
      <c r="AT154" s="21">
        <f>100*(AT20-AT19)</f>
        <v/>
      </c>
      <c r="AU154" s="21">
        <f>100*(AU20-AU19)</f>
        <v/>
      </c>
      <c r="AV154" s="21">
        <f>AVERAGE(C154:AU154)</f>
        <v/>
      </c>
    </row>
    <row r="155">
      <c r="A155" s="19">
        <f>A21</f>
        <v/>
      </c>
      <c r="B155" s="20">
        <f>B21</f>
        <v/>
      </c>
      <c r="C155" s="21">
        <f>100*(C21-C20)</f>
        <v/>
      </c>
      <c r="D155" s="21">
        <f>100*(D21-D20)</f>
        <v/>
      </c>
      <c r="E155" s="21">
        <f>100*(E21-E20)</f>
        <v/>
      </c>
      <c r="F155" s="21">
        <f>100*(F21-F20)</f>
        <v/>
      </c>
      <c r="G155" s="21">
        <f>100*(G21-G20)</f>
        <v/>
      </c>
      <c r="H155" s="21">
        <f>100*(H21-H20)</f>
        <v/>
      </c>
      <c r="I155" s="21">
        <f>100*(I21-I20)</f>
        <v/>
      </c>
      <c r="J155" s="21">
        <f>100*(J21-J20)</f>
        <v/>
      </c>
      <c r="K155" s="21">
        <f>100*(K21-K20)</f>
        <v/>
      </c>
      <c r="L155" s="21">
        <f>100*(L21-L20)</f>
        <v/>
      </c>
      <c r="M155" s="21">
        <f>100*(M21-M20)</f>
        <v/>
      </c>
      <c r="N155" s="21">
        <f>100*(N21-N20)</f>
        <v/>
      </c>
      <c r="O155" s="21">
        <f>100*(O21-O20)</f>
        <v/>
      </c>
      <c r="P155" s="21">
        <f>100*(P21-P20)</f>
        <v/>
      </c>
      <c r="Q155" s="21">
        <f>100*(Q21-Q20)</f>
        <v/>
      </c>
      <c r="R155" s="21">
        <f>100*(R21-R20)</f>
        <v/>
      </c>
      <c r="S155" s="21">
        <f>100*(S21-S20)</f>
        <v/>
      </c>
      <c r="T155" s="21">
        <f>100*(T21-T20)</f>
        <v/>
      </c>
      <c r="U155" s="21">
        <f>100*(U21-U20)</f>
        <v/>
      </c>
      <c r="V155" s="21">
        <f>100*(V21-V20)</f>
        <v/>
      </c>
      <c r="W155" s="21">
        <f>100*(W21-W20)</f>
        <v/>
      </c>
      <c r="X155" s="21">
        <f>100*(X21-X20)</f>
        <v/>
      </c>
      <c r="Y155" s="21">
        <f>100*(Y21-Y20)</f>
        <v/>
      </c>
      <c r="Z155" s="21">
        <f>100*(Z21-Z20)</f>
        <v/>
      </c>
      <c r="AA155" s="21">
        <f>100*(AA21-AA20)</f>
        <v/>
      </c>
      <c r="AB155" s="21">
        <f>100*(AB21-AB20)</f>
        <v/>
      </c>
      <c r="AC155" s="21">
        <f>100*(AC21-AC20)</f>
        <v/>
      </c>
      <c r="AD155" s="21">
        <f>100*(AD21-AD20)</f>
        <v/>
      </c>
      <c r="AE155" s="21">
        <f>100*(AE21-AE20)</f>
        <v/>
      </c>
      <c r="AF155" s="21">
        <f>100*(AF21-AF20)</f>
        <v/>
      </c>
      <c r="AG155" s="21">
        <f>100*(AG21-AG20)</f>
        <v/>
      </c>
      <c r="AH155" s="21">
        <f>100*(AH21-AH20)</f>
        <v/>
      </c>
      <c r="AI155" s="21">
        <f>100*(AI21-AI20)</f>
        <v/>
      </c>
      <c r="AJ155" s="21">
        <f>100*(AJ21-AJ20)</f>
        <v/>
      </c>
      <c r="AK155" s="21">
        <f>100*(AK21-AK20)</f>
        <v/>
      </c>
      <c r="AL155" s="21">
        <f>100*(AL21-AL20)</f>
        <v/>
      </c>
      <c r="AM155" s="21">
        <f>100*(AM21-AM20)</f>
        <v/>
      </c>
      <c r="AN155" s="21">
        <f>100*(AN21-AN20)</f>
        <v/>
      </c>
      <c r="AO155" s="21">
        <f>100*(AO21-AO20)</f>
        <v/>
      </c>
      <c r="AP155" s="21">
        <f>100*(AP21-AP20)</f>
        <v/>
      </c>
      <c r="AQ155" s="21">
        <f>100*(AQ21-AQ20)</f>
        <v/>
      </c>
      <c r="AR155" s="21">
        <f>100*(AR21-AR20)</f>
        <v/>
      </c>
      <c r="AS155" s="21">
        <f>100*(AS21-AS20)</f>
        <v/>
      </c>
      <c r="AT155" s="21">
        <f>100*(AT21-AT20)</f>
        <v/>
      </c>
      <c r="AU155" s="21">
        <f>100*(AU21-AU20)</f>
        <v/>
      </c>
      <c r="AV155" s="21">
        <f>AVERAGE(C155:AU155)</f>
        <v/>
      </c>
    </row>
    <row r="156">
      <c r="A156" s="19">
        <f>A22</f>
        <v/>
      </c>
      <c r="B156" s="20">
        <f>B22</f>
        <v/>
      </c>
      <c r="C156" s="21">
        <f>100*(C22-C21)</f>
        <v/>
      </c>
      <c r="D156" s="21">
        <f>100*(D22-D21)</f>
        <v/>
      </c>
      <c r="E156" s="21">
        <f>100*(E22-E21)</f>
        <v/>
      </c>
      <c r="F156" s="21">
        <f>100*(F22-F21)</f>
        <v/>
      </c>
      <c r="G156" s="21">
        <f>100*(G22-G21)</f>
        <v/>
      </c>
      <c r="H156" s="21">
        <f>100*(H22-H21)</f>
        <v/>
      </c>
      <c r="I156" s="21">
        <f>100*(I22-I21)</f>
        <v/>
      </c>
      <c r="J156" s="21">
        <f>100*(J22-J21)</f>
        <v/>
      </c>
      <c r="K156" s="21">
        <f>100*(K22-K21)</f>
        <v/>
      </c>
      <c r="L156" s="21">
        <f>100*(L22-L21)</f>
        <v/>
      </c>
      <c r="M156" s="21">
        <f>100*(M22-M21)</f>
        <v/>
      </c>
      <c r="N156" s="21">
        <f>100*(N22-N21)</f>
        <v/>
      </c>
      <c r="O156" s="21">
        <f>100*(O22-O21)</f>
        <v/>
      </c>
      <c r="P156" s="21">
        <f>100*(P22-P21)</f>
        <v/>
      </c>
      <c r="Q156" s="21">
        <f>100*(Q22-Q21)</f>
        <v/>
      </c>
      <c r="R156" s="21">
        <f>100*(R22-R21)</f>
        <v/>
      </c>
      <c r="S156" s="21">
        <f>100*(S22-S21)</f>
        <v/>
      </c>
      <c r="T156" s="21">
        <f>100*(T22-T21)</f>
        <v/>
      </c>
      <c r="U156" s="21">
        <f>100*(U22-U21)</f>
        <v/>
      </c>
      <c r="V156" s="21">
        <f>100*(V22-V21)</f>
        <v/>
      </c>
      <c r="W156" s="21">
        <f>100*(W22-W21)</f>
        <v/>
      </c>
      <c r="X156" s="21">
        <f>100*(X22-X21)</f>
        <v/>
      </c>
      <c r="Y156" s="21">
        <f>100*(Y22-Y21)</f>
        <v/>
      </c>
      <c r="Z156" s="21">
        <f>100*(Z22-Z21)</f>
        <v/>
      </c>
      <c r="AA156" s="21">
        <f>100*(AA22-AA21)</f>
        <v/>
      </c>
      <c r="AB156" s="21">
        <f>100*(AB22-AB21)</f>
        <v/>
      </c>
      <c r="AC156" s="21">
        <f>100*(AC22-AC21)</f>
        <v/>
      </c>
      <c r="AD156" s="21">
        <f>100*(AD22-AD21)</f>
        <v/>
      </c>
      <c r="AE156" s="21">
        <f>100*(AE22-AE21)</f>
        <v/>
      </c>
      <c r="AF156" s="21">
        <f>100*(AF22-AF21)</f>
        <v/>
      </c>
      <c r="AG156" s="21">
        <f>100*(AG22-AG21)</f>
        <v/>
      </c>
      <c r="AH156" s="21">
        <f>100*(AH22-AH21)</f>
        <v/>
      </c>
      <c r="AI156" s="21">
        <f>100*(AI22-AI21)</f>
        <v/>
      </c>
      <c r="AJ156" s="21">
        <f>100*(AJ22-AJ21)</f>
        <v/>
      </c>
      <c r="AK156" s="21">
        <f>100*(AK22-AK21)</f>
        <v/>
      </c>
      <c r="AL156" s="21">
        <f>100*(AL22-AL21)</f>
        <v/>
      </c>
      <c r="AM156" s="21">
        <f>100*(AM22-AM21)</f>
        <v/>
      </c>
      <c r="AN156" s="21">
        <f>100*(AN22-AN21)</f>
        <v/>
      </c>
      <c r="AO156" s="21">
        <f>100*(AO22-AO21)</f>
        <v/>
      </c>
      <c r="AP156" s="21">
        <f>100*(AP22-AP21)</f>
        <v/>
      </c>
      <c r="AQ156" s="21">
        <f>100*(AQ22-AQ21)</f>
        <v/>
      </c>
      <c r="AR156" s="21">
        <f>100*(AR22-AR21)</f>
        <v/>
      </c>
      <c r="AS156" s="21">
        <f>100*(AS22-AS21)</f>
        <v/>
      </c>
      <c r="AT156" s="21">
        <f>100*(AT22-AT21)</f>
        <v/>
      </c>
      <c r="AU156" s="21">
        <f>100*(AU22-AU21)</f>
        <v/>
      </c>
      <c r="AV156" s="21">
        <f>AVERAGE(C156:AU156)</f>
        <v/>
      </c>
    </row>
    <row r="157">
      <c r="A157" s="19">
        <f>A23</f>
        <v/>
      </c>
      <c r="B157" s="20">
        <f>B23</f>
        <v/>
      </c>
      <c r="C157" s="21">
        <f>100*(C23-C22)</f>
        <v/>
      </c>
      <c r="D157" s="21">
        <f>100*(D23-D22)</f>
        <v/>
      </c>
      <c r="E157" s="21">
        <f>100*(E23-E22)</f>
        <v/>
      </c>
      <c r="F157" s="21">
        <f>100*(F23-F22)</f>
        <v/>
      </c>
      <c r="G157" s="21">
        <f>100*(G23-G22)</f>
        <v/>
      </c>
      <c r="H157" s="21">
        <f>100*(H23-H22)</f>
        <v/>
      </c>
      <c r="I157" s="21">
        <f>100*(I23-I22)</f>
        <v/>
      </c>
      <c r="J157" s="21">
        <f>100*(J23-J22)</f>
        <v/>
      </c>
      <c r="K157" s="21">
        <f>100*(K23-K22)</f>
        <v/>
      </c>
      <c r="L157" s="21">
        <f>100*(L23-L22)</f>
        <v/>
      </c>
      <c r="M157" s="21">
        <f>100*(M23-M22)</f>
        <v/>
      </c>
      <c r="N157" s="21">
        <f>100*(N23-N22)</f>
        <v/>
      </c>
      <c r="O157" s="21">
        <f>100*(O23-O22)</f>
        <v/>
      </c>
      <c r="P157" s="21">
        <f>100*(P23-P22)</f>
        <v/>
      </c>
      <c r="Q157" s="21">
        <f>100*(Q23-Q22)</f>
        <v/>
      </c>
      <c r="R157" s="21">
        <f>100*(R23-R22)</f>
        <v/>
      </c>
      <c r="S157" s="21">
        <f>100*(S23-S22)</f>
        <v/>
      </c>
      <c r="T157" s="21">
        <f>100*(T23-T22)</f>
        <v/>
      </c>
      <c r="U157" s="21">
        <f>100*(U23-U22)</f>
        <v/>
      </c>
      <c r="V157" s="21">
        <f>100*(V23-V22)</f>
        <v/>
      </c>
      <c r="W157" s="21">
        <f>100*(W23-W22)</f>
        <v/>
      </c>
      <c r="X157" s="21">
        <f>100*(X23-X22)</f>
        <v/>
      </c>
      <c r="Y157" s="21">
        <f>100*(Y23-Y22)</f>
        <v/>
      </c>
      <c r="Z157" s="21">
        <f>100*(Z23-Z22)</f>
        <v/>
      </c>
      <c r="AA157" s="21">
        <f>100*(AA23-AA22)</f>
        <v/>
      </c>
      <c r="AB157" s="21">
        <f>100*(AB23-AB22)</f>
        <v/>
      </c>
      <c r="AC157" s="21">
        <f>100*(AC23-AC22)</f>
        <v/>
      </c>
      <c r="AD157" s="21">
        <f>100*(AD23-AD22)</f>
        <v/>
      </c>
      <c r="AE157" s="21">
        <f>100*(AE23-AE22)</f>
        <v/>
      </c>
      <c r="AF157" s="21">
        <f>100*(AF23-AF22)</f>
        <v/>
      </c>
      <c r="AG157" s="21">
        <f>100*(AG23-AG22)</f>
        <v/>
      </c>
      <c r="AH157" s="21">
        <f>100*(AH23-AH22)</f>
        <v/>
      </c>
      <c r="AI157" s="21">
        <f>100*(AI23-AI22)</f>
        <v/>
      </c>
      <c r="AJ157" s="21">
        <f>100*(AJ23-AJ22)</f>
        <v/>
      </c>
      <c r="AK157" s="21">
        <f>100*(AK23-AK22)</f>
        <v/>
      </c>
      <c r="AL157" s="21">
        <f>100*(AL23-AL22)</f>
        <v/>
      </c>
      <c r="AM157" s="21">
        <f>100*(AM23-AM22)</f>
        <v/>
      </c>
      <c r="AN157" s="21">
        <f>100*(AN23-AN22)</f>
        <v/>
      </c>
      <c r="AO157" s="21">
        <f>100*(AO23-AO22)</f>
        <v/>
      </c>
      <c r="AP157" s="21">
        <f>100*(AP23-AP22)</f>
        <v/>
      </c>
      <c r="AQ157" s="21">
        <f>100*(AQ23-AQ22)</f>
        <v/>
      </c>
      <c r="AR157" s="21">
        <f>100*(AR23-AR22)</f>
        <v/>
      </c>
      <c r="AS157" s="21">
        <f>100*(AS23-AS22)</f>
        <v/>
      </c>
      <c r="AT157" s="21">
        <f>100*(AT23-AT22)</f>
        <v/>
      </c>
      <c r="AU157" s="21">
        <f>100*(AU23-AU22)</f>
        <v/>
      </c>
      <c r="AV157" s="21">
        <f>AVERAGE(C157:AU157)</f>
        <v/>
      </c>
    </row>
    <row r="158">
      <c r="A158" s="19">
        <f>A24</f>
        <v/>
      </c>
      <c r="B158" s="20">
        <f>B24</f>
        <v/>
      </c>
      <c r="C158" s="21">
        <f>100*(C24-C23)</f>
        <v/>
      </c>
      <c r="D158" s="21">
        <f>100*(D24-D23)</f>
        <v/>
      </c>
      <c r="E158" s="21">
        <f>100*(E24-E23)</f>
        <v/>
      </c>
      <c r="F158" s="21">
        <f>100*(F24-F23)</f>
        <v/>
      </c>
      <c r="G158" s="21">
        <f>100*(G24-G23)</f>
        <v/>
      </c>
      <c r="H158" s="21">
        <f>100*(H24-H23)</f>
        <v/>
      </c>
      <c r="I158" s="21">
        <f>100*(I24-I23)</f>
        <v/>
      </c>
      <c r="J158" s="21">
        <f>100*(J24-J23)</f>
        <v/>
      </c>
      <c r="K158" s="21">
        <f>100*(K24-K23)</f>
        <v/>
      </c>
      <c r="L158" s="21">
        <f>100*(L24-L23)</f>
        <v/>
      </c>
      <c r="M158" s="21">
        <f>100*(M24-M23)</f>
        <v/>
      </c>
      <c r="N158" s="21">
        <f>100*(N24-N23)</f>
        <v/>
      </c>
      <c r="O158" s="21">
        <f>100*(O24-O23)</f>
        <v/>
      </c>
      <c r="P158" s="21">
        <f>100*(P24-P23)</f>
        <v/>
      </c>
      <c r="Q158" s="21">
        <f>100*(Q24-Q23)</f>
        <v/>
      </c>
      <c r="R158" s="21">
        <f>100*(R24-R23)</f>
        <v/>
      </c>
      <c r="S158" s="21">
        <f>100*(S24-S23)</f>
        <v/>
      </c>
      <c r="T158" s="21">
        <f>100*(T24-T23)</f>
        <v/>
      </c>
      <c r="U158" s="21">
        <f>100*(U24-U23)</f>
        <v/>
      </c>
      <c r="V158" s="21">
        <f>100*(V24-V23)</f>
        <v/>
      </c>
      <c r="W158" s="21">
        <f>100*(W24-W23)</f>
        <v/>
      </c>
      <c r="X158" s="21">
        <f>100*(X24-X23)</f>
        <v/>
      </c>
      <c r="Y158" s="21">
        <f>100*(Y24-Y23)</f>
        <v/>
      </c>
      <c r="Z158" s="21">
        <f>100*(Z24-Z23)</f>
        <v/>
      </c>
      <c r="AA158" s="21">
        <f>100*(AA24-AA23)</f>
        <v/>
      </c>
      <c r="AB158" s="21">
        <f>100*(AB24-AB23)</f>
        <v/>
      </c>
      <c r="AC158" s="21">
        <f>100*(AC24-AC23)</f>
        <v/>
      </c>
      <c r="AD158" s="21">
        <f>100*(AD24-AD23)</f>
        <v/>
      </c>
      <c r="AE158" s="21">
        <f>100*(AE24-AE23)</f>
        <v/>
      </c>
      <c r="AF158" s="21">
        <f>100*(AF24-AF23)</f>
        <v/>
      </c>
      <c r="AG158" s="21">
        <f>100*(AG24-AG23)</f>
        <v/>
      </c>
      <c r="AH158" s="21">
        <f>100*(AH24-AH23)</f>
        <v/>
      </c>
      <c r="AI158" s="21">
        <f>100*(AI24-AI23)</f>
        <v/>
      </c>
      <c r="AJ158" s="21">
        <f>100*(AJ24-AJ23)</f>
        <v/>
      </c>
      <c r="AK158" s="21">
        <f>100*(AK24-AK23)</f>
        <v/>
      </c>
      <c r="AL158" s="21">
        <f>100*(AL24-AL23)</f>
        <v/>
      </c>
      <c r="AM158" s="21">
        <f>100*(AM24-AM23)</f>
        <v/>
      </c>
      <c r="AN158" s="21">
        <f>100*(AN24-AN23)</f>
        <v/>
      </c>
      <c r="AO158" s="21">
        <f>100*(AO24-AO23)</f>
        <v/>
      </c>
      <c r="AP158" s="21">
        <f>100*(AP24-AP23)</f>
        <v/>
      </c>
      <c r="AQ158" s="21">
        <f>100*(AQ24-AQ23)</f>
        <v/>
      </c>
      <c r="AR158" s="21">
        <f>100*(AR24-AR23)</f>
        <v/>
      </c>
      <c r="AS158" s="21">
        <f>100*(AS24-AS23)</f>
        <v/>
      </c>
      <c r="AT158" s="21">
        <f>100*(AT24-AT23)</f>
        <v/>
      </c>
      <c r="AU158" s="21">
        <f>100*(AU24-AU23)</f>
        <v/>
      </c>
      <c r="AV158" s="21">
        <f>AVERAGE(C158:AU158)</f>
        <v/>
      </c>
    </row>
    <row r="159">
      <c r="A159" s="19">
        <f>A25</f>
        <v/>
      </c>
      <c r="B159" s="20">
        <f>B25</f>
        <v/>
      </c>
      <c r="C159" s="21">
        <f>100*(C25-C24)</f>
        <v/>
      </c>
      <c r="D159" s="21">
        <f>100*(D25-D24)</f>
        <v/>
      </c>
      <c r="E159" s="21">
        <f>100*(E25-E24)</f>
        <v/>
      </c>
      <c r="F159" s="21">
        <f>100*(F25-F24)</f>
        <v/>
      </c>
      <c r="G159" s="21">
        <f>100*(G25-G24)</f>
        <v/>
      </c>
      <c r="H159" s="21">
        <f>100*(H25-H24)</f>
        <v/>
      </c>
      <c r="I159" s="21">
        <f>100*(I25-I24)</f>
        <v/>
      </c>
      <c r="J159" s="21">
        <f>100*(J25-J24)</f>
        <v/>
      </c>
      <c r="K159" s="21">
        <f>100*(K25-K24)</f>
        <v/>
      </c>
      <c r="L159" s="21">
        <f>100*(L25-L24)</f>
        <v/>
      </c>
      <c r="M159" s="21">
        <f>100*(M25-M24)</f>
        <v/>
      </c>
      <c r="N159" s="21">
        <f>100*(N25-N24)</f>
        <v/>
      </c>
      <c r="O159" s="21">
        <f>100*(O25-O24)</f>
        <v/>
      </c>
      <c r="P159" s="21">
        <f>100*(P25-P24)</f>
        <v/>
      </c>
      <c r="Q159" s="21">
        <f>100*(Q25-Q24)</f>
        <v/>
      </c>
      <c r="R159" s="21">
        <f>100*(R25-R24)</f>
        <v/>
      </c>
      <c r="S159" s="21">
        <f>100*(S25-S24)</f>
        <v/>
      </c>
      <c r="T159" s="21">
        <f>100*(T25-T24)</f>
        <v/>
      </c>
      <c r="U159" s="21">
        <f>100*(U25-U24)</f>
        <v/>
      </c>
      <c r="V159" s="21">
        <f>100*(V25-V24)</f>
        <v/>
      </c>
      <c r="W159" s="21">
        <f>100*(W25-W24)</f>
        <v/>
      </c>
      <c r="X159" s="21">
        <f>100*(X25-X24)</f>
        <v/>
      </c>
      <c r="Y159" s="21">
        <f>100*(Y25-Y24)</f>
        <v/>
      </c>
      <c r="Z159" s="21">
        <f>100*(Z25-Z24)</f>
        <v/>
      </c>
      <c r="AA159" s="21">
        <f>100*(AA25-AA24)</f>
        <v/>
      </c>
      <c r="AB159" s="21">
        <f>100*(AB25-AB24)</f>
        <v/>
      </c>
      <c r="AC159" s="21">
        <f>100*(AC25-AC24)</f>
        <v/>
      </c>
      <c r="AD159" s="21">
        <f>100*(AD25-AD24)</f>
        <v/>
      </c>
      <c r="AE159" s="21">
        <f>100*(AE25-AE24)</f>
        <v/>
      </c>
      <c r="AF159" s="21">
        <f>100*(AF25-AF24)</f>
        <v/>
      </c>
      <c r="AG159" s="21">
        <f>100*(AG25-AG24)</f>
        <v/>
      </c>
      <c r="AH159" s="21">
        <f>100*(AH25-AH24)</f>
        <v/>
      </c>
      <c r="AI159" s="21">
        <f>100*(AI25-AI24)</f>
        <v/>
      </c>
      <c r="AJ159" s="21">
        <f>100*(AJ25-AJ24)</f>
        <v/>
      </c>
      <c r="AK159" s="21">
        <f>100*(AK25-AK24)</f>
        <v/>
      </c>
      <c r="AL159" s="21">
        <f>100*(AL25-AL24)</f>
        <v/>
      </c>
      <c r="AM159" s="21">
        <f>100*(AM25-AM24)</f>
        <v/>
      </c>
      <c r="AN159" s="21">
        <f>100*(AN25-AN24)</f>
        <v/>
      </c>
      <c r="AO159" s="21">
        <f>100*(AO25-AO24)</f>
        <v/>
      </c>
      <c r="AP159" s="21">
        <f>100*(AP25-AP24)</f>
        <v/>
      </c>
      <c r="AQ159" s="21">
        <f>100*(AQ25-AQ24)</f>
        <v/>
      </c>
      <c r="AR159" s="21">
        <f>100*(AR25-AR24)</f>
        <v/>
      </c>
      <c r="AS159" s="21">
        <f>100*(AS25-AS24)</f>
        <v/>
      </c>
      <c r="AT159" s="21">
        <f>100*(AT25-AT24)</f>
        <v/>
      </c>
      <c r="AU159" s="21">
        <f>100*(AU25-AU24)</f>
        <v/>
      </c>
      <c r="AV159" s="21">
        <f>AVERAGE(C159:AU159)</f>
        <v/>
      </c>
    </row>
    <row r="160">
      <c r="A160" s="19">
        <f>A26</f>
        <v/>
      </c>
      <c r="B160" s="20">
        <f>B26</f>
        <v/>
      </c>
      <c r="C160" s="21">
        <f>100*(C26-C25)</f>
        <v/>
      </c>
      <c r="D160" s="21">
        <f>100*(D26-D25)</f>
        <v/>
      </c>
      <c r="E160" s="21">
        <f>100*(E26-E25)</f>
        <v/>
      </c>
      <c r="F160" s="21">
        <f>100*(F26-F25)</f>
        <v/>
      </c>
      <c r="G160" s="21">
        <f>100*(G26-G25)</f>
        <v/>
      </c>
      <c r="H160" s="21">
        <f>100*(H26-H25)</f>
        <v/>
      </c>
      <c r="I160" s="21">
        <f>100*(I26-I25)</f>
        <v/>
      </c>
      <c r="J160" s="21">
        <f>100*(J26-J25)</f>
        <v/>
      </c>
      <c r="K160" s="21">
        <f>100*(K26-K25)</f>
        <v/>
      </c>
      <c r="L160" s="21">
        <f>100*(L26-L25)</f>
        <v/>
      </c>
      <c r="M160" s="21">
        <f>100*(M26-M25)</f>
        <v/>
      </c>
      <c r="N160" s="21">
        <f>100*(N26-N25)</f>
        <v/>
      </c>
      <c r="O160" s="21">
        <f>100*(O26-O25)</f>
        <v/>
      </c>
      <c r="P160" s="21">
        <f>100*(P26-P25)</f>
        <v/>
      </c>
      <c r="Q160" s="21">
        <f>100*(Q26-Q25)</f>
        <v/>
      </c>
      <c r="R160" s="21">
        <f>100*(R26-R25)</f>
        <v/>
      </c>
      <c r="S160" s="21">
        <f>100*(S26-S25)</f>
        <v/>
      </c>
      <c r="T160" s="21">
        <f>100*(T26-T25)</f>
        <v/>
      </c>
      <c r="U160" s="21">
        <f>100*(U26-U25)</f>
        <v/>
      </c>
      <c r="V160" s="21">
        <f>100*(V26-V25)</f>
        <v/>
      </c>
      <c r="W160" s="21">
        <f>100*(W26-W25)</f>
        <v/>
      </c>
      <c r="X160" s="21">
        <f>100*(X26-X25)</f>
        <v/>
      </c>
      <c r="Y160" s="21">
        <f>100*(Y26-Y25)</f>
        <v/>
      </c>
      <c r="Z160" s="21">
        <f>100*(Z26-Z25)</f>
        <v/>
      </c>
      <c r="AA160" s="21">
        <f>100*(AA26-AA25)</f>
        <v/>
      </c>
      <c r="AB160" s="21">
        <f>100*(AB26-AB25)</f>
        <v/>
      </c>
      <c r="AC160" s="21">
        <f>100*(AC26-AC25)</f>
        <v/>
      </c>
      <c r="AD160" s="21">
        <f>100*(AD26-AD25)</f>
        <v/>
      </c>
      <c r="AE160" s="21">
        <f>100*(AE26-AE25)</f>
        <v/>
      </c>
      <c r="AF160" s="21">
        <f>100*(AF26-AF25)</f>
        <v/>
      </c>
      <c r="AG160" s="21">
        <f>100*(AG26-AG25)</f>
        <v/>
      </c>
      <c r="AH160" s="21">
        <f>100*(AH26-AH25)</f>
        <v/>
      </c>
      <c r="AI160" s="21">
        <f>100*(AI26-AI25)</f>
        <v/>
      </c>
      <c r="AJ160" s="21">
        <f>100*(AJ26-AJ25)</f>
        <v/>
      </c>
      <c r="AK160" s="21">
        <f>100*(AK26-AK25)</f>
        <v/>
      </c>
      <c r="AL160" s="21">
        <f>100*(AL26-AL25)</f>
        <v/>
      </c>
      <c r="AM160" s="21">
        <f>100*(AM26-AM25)</f>
        <v/>
      </c>
      <c r="AN160" s="21">
        <f>100*(AN26-AN25)</f>
        <v/>
      </c>
      <c r="AO160" s="21">
        <f>100*(AO26-AO25)</f>
        <v/>
      </c>
      <c r="AP160" s="21">
        <f>100*(AP26-AP25)</f>
        <v/>
      </c>
      <c r="AQ160" s="21">
        <f>100*(AQ26-AQ25)</f>
        <v/>
      </c>
      <c r="AR160" s="21">
        <f>100*(AR26-AR25)</f>
        <v/>
      </c>
      <c r="AS160" s="21">
        <f>100*(AS26-AS25)</f>
        <v/>
      </c>
      <c r="AT160" s="21">
        <f>100*(AT26-AT25)</f>
        <v/>
      </c>
      <c r="AU160" s="21">
        <f>100*(AU26-AU25)</f>
        <v/>
      </c>
      <c r="AV160" s="21">
        <f>AVERAGE(C160:AU160)</f>
        <v/>
      </c>
    </row>
    <row r="161">
      <c r="A161" s="19">
        <f>A27</f>
        <v/>
      </c>
      <c r="B161" s="20">
        <f>B27</f>
        <v/>
      </c>
      <c r="C161" s="21">
        <f>100*(C27-C26)</f>
        <v/>
      </c>
      <c r="D161" s="21">
        <f>100*(D27-D26)</f>
        <v/>
      </c>
      <c r="E161" s="21">
        <f>100*(E27-E26)</f>
        <v/>
      </c>
      <c r="F161" s="21">
        <f>100*(F27-F26)</f>
        <v/>
      </c>
      <c r="G161" s="21">
        <f>100*(G27-G26)</f>
        <v/>
      </c>
      <c r="H161" s="21">
        <f>100*(H27-H26)</f>
        <v/>
      </c>
      <c r="I161" s="21">
        <f>100*(I27-I26)</f>
        <v/>
      </c>
      <c r="J161" s="21">
        <f>100*(J27-J26)</f>
        <v/>
      </c>
      <c r="K161" s="21">
        <f>100*(K27-K26)</f>
        <v/>
      </c>
      <c r="L161" s="21">
        <f>100*(L27-L26)</f>
        <v/>
      </c>
      <c r="M161" s="21">
        <f>100*(M27-M26)</f>
        <v/>
      </c>
      <c r="N161" s="21">
        <f>100*(N27-N26)</f>
        <v/>
      </c>
      <c r="O161" s="21">
        <f>100*(O27-O26)</f>
        <v/>
      </c>
      <c r="P161" s="21">
        <f>100*(P27-P26)</f>
        <v/>
      </c>
      <c r="Q161" s="21">
        <f>100*(Q27-Q26)</f>
        <v/>
      </c>
      <c r="R161" s="21">
        <f>100*(R27-R26)</f>
        <v/>
      </c>
      <c r="S161" s="21">
        <f>100*(S27-S26)</f>
        <v/>
      </c>
      <c r="T161" s="21">
        <f>100*(T27-T26)</f>
        <v/>
      </c>
      <c r="U161" s="21">
        <f>100*(U27-U26)</f>
        <v/>
      </c>
      <c r="V161" s="21">
        <f>100*(V27-V26)</f>
        <v/>
      </c>
      <c r="W161" s="21">
        <f>100*(W27-W26)</f>
        <v/>
      </c>
      <c r="X161" s="21">
        <f>100*(X27-X26)</f>
        <v/>
      </c>
      <c r="Y161" s="21">
        <f>100*(Y27-Y26)</f>
        <v/>
      </c>
      <c r="Z161" s="21">
        <f>100*(Z27-Z26)</f>
        <v/>
      </c>
      <c r="AA161" s="21">
        <f>100*(AA27-AA26)</f>
        <v/>
      </c>
      <c r="AB161" s="21">
        <f>100*(AB27-AB26)</f>
        <v/>
      </c>
      <c r="AC161" s="21">
        <f>100*(AC27-AC26)</f>
        <v/>
      </c>
      <c r="AD161" s="21">
        <f>100*(AD27-AD26)</f>
        <v/>
      </c>
      <c r="AE161" s="21">
        <f>100*(AE27-AE26)</f>
        <v/>
      </c>
      <c r="AF161" s="21">
        <f>100*(AF27-AF26)</f>
        <v/>
      </c>
      <c r="AG161" s="21">
        <f>100*(AG27-AG26)</f>
        <v/>
      </c>
      <c r="AH161" s="21">
        <f>100*(AH27-AH26)</f>
        <v/>
      </c>
      <c r="AI161" s="21">
        <f>100*(AI27-AI26)</f>
        <v/>
      </c>
      <c r="AJ161" s="21">
        <f>100*(AJ27-AJ26)</f>
        <v/>
      </c>
      <c r="AK161" s="21">
        <f>100*(AK27-AK26)</f>
        <v/>
      </c>
      <c r="AL161" s="21">
        <f>100*(AL27-AL26)</f>
        <v/>
      </c>
      <c r="AM161" s="21">
        <f>100*(AM27-AM26)</f>
        <v/>
      </c>
      <c r="AN161" s="21">
        <f>100*(AN27-AN26)</f>
        <v/>
      </c>
      <c r="AO161" s="21">
        <f>100*(AO27-AO26)</f>
        <v/>
      </c>
      <c r="AP161" s="21">
        <f>100*(AP27-AP26)</f>
        <v/>
      </c>
      <c r="AQ161" s="21">
        <f>100*(AQ27-AQ26)</f>
        <v/>
      </c>
      <c r="AR161" s="21">
        <f>100*(AR27-AR26)</f>
        <v/>
      </c>
      <c r="AS161" s="21">
        <f>100*(AS27-AS26)</f>
        <v/>
      </c>
      <c r="AT161" s="21">
        <f>100*(AT27-AT26)</f>
        <v/>
      </c>
      <c r="AU161" s="21">
        <f>100*(AU27-AU26)</f>
        <v/>
      </c>
      <c r="AV161" s="21">
        <f>AVERAGE(C161:AU161)</f>
        <v/>
      </c>
    </row>
    <row r="162">
      <c r="A162" s="19">
        <f>A28</f>
        <v/>
      </c>
      <c r="B162" s="20">
        <f>B28</f>
        <v/>
      </c>
      <c r="C162" s="21">
        <f>100*(C28-C27)</f>
        <v/>
      </c>
      <c r="D162" s="21">
        <f>100*(D28-D27)</f>
        <v/>
      </c>
      <c r="E162" s="21">
        <f>100*(E28-E27)</f>
        <v/>
      </c>
      <c r="F162" s="21">
        <f>100*(F28-F27)</f>
        <v/>
      </c>
      <c r="G162" s="21">
        <f>100*(G28-G27)</f>
        <v/>
      </c>
      <c r="H162" s="21">
        <f>100*(H28-H27)</f>
        <v/>
      </c>
      <c r="I162" s="21">
        <f>100*(I28-I27)</f>
        <v/>
      </c>
      <c r="J162" s="21">
        <f>100*(J28-J27)</f>
        <v/>
      </c>
      <c r="K162" s="21">
        <f>100*(K28-K27)</f>
        <v/>
      </c>
      <c r="L162" s="21">
        <f>100*(L28-L27)</f>
        <v/>
      </c>
      <c r="M162" s="21">
        <f>100*(M28-M27)</f>
        <v/>
      </c>
      <c r="N162" s="21">
        <f>100*(N28-N27)</f>
        <v/>
      </c>
      <c r="O162" s="21">
        <f>100*(O28-O27)</f>
        <v/>
      </c>
      <c r="P162" s="21">
        <f>100*(P28-P27)</f>
        <v/>
      </c>
      <c r="Q162" s="21">
        <f>100*(Q28-Q27)</f>
        <v/>
      </c>
      <c r="R162" s="21">
        <f>100*(R28-R27)</f>
        <v/>
      </c>
      <c r="S162" s="21">
        <f>100*(S28-S27)</f>
        <v/>
      </c>
      <c r="T162" s="21">
        <f>100*(T28-T27)</f>
        <v/>
      </c>
      <c r="U162" s="21">
        <f>100*(U28-U27)</f>
        <v/>
      </c>
      <c r="V162" s="21">
        <f>100*(V28-V27)</f>
        <v/>
      </c>
      <c r="W162" s="21">
        <f>100*(W28-W27)</f>
        <v/>
      </c>
      <c r="X162" s="21">
        <f>100*(X28-X27)</f>
        <v/>
      </c>
      <c r="Y162" s="21">
        <f>100*(Y28-Y27)</f>
        <v/>
      </c>
      <c r="Z162" s="21">
        <f>100*(Z28-Z27)</f>
        <v/>
      </c>
      <c r="AA162" s="21">
        <f>100*(AA28-AA27)</f>
        <v/>
      </c>
      <c r="AB162" s="21">
        <f>100*(AB28-AB27)</f>
        <v/>
      </c>
      <c r="AC162" s="21">
        <f>100*(AC28-AC27)</f>
        <v/>
      </c>
      <c r="AD162" s="21">
        <f>100*(AD28-AD27)</f>
        <v/>
      </c>
      <c r="AE162" s="21">
        <f>100*(AE28-AE27)</f>
        <v/>
      </c>
      <c r="AF162" s="21">
        <f>100*(AF28-AF27)</f>
        <v/>
      </c>
      <c r="AG162" s="21">
        <f>100*(AG28-AG27)</f>
        <v/>
      </c>
      <c r="AH162" s="21">
        <f>100*(AH28-AH27)</f>
        <v/>
      </c>
      <c r="AI162" s="21">
        <f>100*(AI28-AI27)</f>
        <v/>
      </c>
      <c r="AJ162" s="21">
        <f>100*(AJ28-AJ27)</f>
        <v/>
      </c>
      <c r="AK162" s="21">
        <f>100*(AK28-AK27)</f>
        <v/>
      </c>
      <c r="AL162" s="21">
        <f>100*(AL28-AL27)</f>
        <v/>
      </c>
      <c r="AM162" s="21">
        <f>100*(AM28-AM27)</f>
        <v/>
      </c>
      <c r="AN162" s="21">
        <f>100*(AN28-AN27)</f>
        <v/>
      </c>
      <c r="AO162" s="21">
        <f>100*(AO28-AO27)</f>
        <v/>
      </c>
      <c r="AP162" s="21">
        <f>100*(AP28-AP27)</f>
        <v/>
      </c>
      <c r="AQ162" s="21">
        <f>100*(AQ28-AQ27)</f>
        <v/>
      </c>
      <c r="AR162" s="21">
        <f>100*(AR28-AR27)</f>
        <v/>
      </c>
      <c r="AS162" s="21">
        <f>100*(AS28-AS27)</f>
        <v/>
      </c>
      <c r="AT162" s="21">
        <f>100*(AT28-AT27)</f>
        <v/>
      </c>
      <c r="AU162" s="21">
        <f>100*(AU28-AU27)</f>
        <v/>
      </c>
      <c r="AV162" s="21">
        <f>AVERAGE(C162:AU162)</f>
        <v/>
      </c>
    </row>
    <row r="163">
      <c r="A163" s="19">
        <f>A29</f>
        <v/>
      </c>
      <c r="B163" s="20">
        <f>B29</f>
        <v/>
      </c>
      <c r="C163" s="21">
        <f>100*(C29-C28)</f>
        <v/>
      </c>
      <c r="D163" s="21">
        <f>100*(D29-D28)</f>
        <v/>
      </c>
      <c r="E163" s="21">
        <f>100*(E29-E28)</f>
        <v/>
      </c>
      <c r="F163" s="21">
        <f>100*(F29-F28)</f>
        <v/>
      </c>
      <c r="G163" s="21">
        <f>100*(G29-G28)</f>
        <v/>
      </c>
      <c r="H163" s="21">
        <f>100*(H29-H28)</f>
        <v/>
      </c>
      <c r="I163" s="21">
        <f>100*(I29-I28)</f>
        <v/>
      </c>
      <c r="J163" s="21">
        <f>100*(J29-J28)</f>
        <v/>
      </c>
      <c r="K163" s="21">
        <f>100*(K29-K28)</f>
        <v/>
      </c>
      <c r="L163" s="21">
        <f>100*(L29-L28)</f>
        <v/>
      </c>
      <c r="M163" s="21">
        <f>100*(M29-M28)</f>
        <v/>
      </c>
      <c r="N163" s="21">
        <f>100*(N29-N28)</f>
        <v/>
      </c>
      <c r="O163" s="21">
        <f>100*(O29-O28)</f>
        <v/>
      </c>
      <c r="P163" s="21">
        <f>100*(P29-P28)</f>
        <v/>
      </c>
      <c r="Q163" s="21">
        <f>100*(Q29-Q28)</f>
        <v/>
      </c>
      <c r="R163" s="21">
        <f>100*(R29-R28)</f>
        <v/>
      </c>
      <c r="S163" s="21">
        <f>100*(S29-S28)</f>
        <v/>
      </c>
      <c r="T163" s="21">
        <f>100*(T29-T28)</f>
        <v/>
      </c>
      <c r="U163" s="21">
        <f>100*(U29-U28)</f>
        <v/>
      </c>
      <c r="V163" s="21">
        <f>100*(V29-V28)</f>
        <v/>
      </c>
      <c r="W163" s="21">
        <f>100*(W29-W28)</f>
        <v/>
      </c>
      <c r="X163" s="21">
        <f>100*(X29-X28)</f>
        <v/>
      </c>
      <c r="Y163" s="21">
        <f>100*(Y29-Y28)</f>
        <v/>
      </c>
      <c r="Z163" s="21">
        <f>100*(Z29-Z28)</f>
        <v/>
      </c>
      <c r="AA163" s="21">
        <f>100*(AA29-AA28)</f>
        <v/>
      </c>
      <c r="AB163" s="21">
        <f>100*(AB29-AB28)</f>
        <v/>
      </c>
      <c r="AC163" s="21">
        <f>100*(AC29-AC28)</f>
        <v/>
      </c>
      <c r="AD163" s="21">
        <f>100*(AD29-AD28)</f>
        <v/>
      </c>
      <c r="AE163" s="21">
        <f>100*(AE29-AE28)</f>
        <v/>
      </c>
      <c r="AF163" s="21">
        <f>100*(AF29-AF28)</f>
        <v/>
      </c>
      <c r="AG163" s="21">
        <f>100*(AG29-AG28)</f>
        <v/>
      </c>
      <c r="AH163" s="21">
        <f>100*(AH29-AH28)</f>
        <v/>
      </c>
      <c r="AI163" s="21">
        <f>100*(AI29-AI28)</f>
        <v/>
      </c>
      <c r="AJ163" s="21">
        <f>100*(AJ29-AJ28)</f>
        <v/>
      </c>
      <c r="AK163" s="21">
        <f>100*(AK29-AK28)</f>
        <v/>
      </c>
      <c r="AL163" s="21">
        <f>100*(AL29-AL28)</f>
        <v/>
      </c>
      <c r="AM163" s="21">
        <f>100*(AM29-AM28)</f>
        <v/>
      </c>
      <c r="AN163" s="21">
        <f>100*(AN29-AN28)</f>
        <v/>
      </c>
      <c r="AO163" s="21">
        <f>100*(AO29-AO28)</f>
        <v/>
      </c>
      <c r="AP163" s="21">
        <f>100*(AP29-AP28)</f>
        <v/>
      </c>
      <c r="AQ163" s="21">
        <f>100*(AQ29-AQ28)</f>
        <v/>
      </c>
      <c r="AR163" s="21">
        <f>100*(AR29-AR28)</f>
        <v/>
      </c>
      <c r="AS163" s="21">
        <f>100*(AS29-AS28)</f>
        <v/>
      </c>
      <c r="AT163" s="21">
        <f>100*(AT29-AT28)</f>
        <v/>
      </c>
      <c r="AU163" s="21">
        <f>100*(AU29-AU28)</f>
        <v/>
      </c>
      <c r="AV163" s="21">
        <f>AVERAGE(C163:AU163)</f>
        <v/>
      </c>
    </row>
    <row r="164">
      <c r="A164" s="19">
        <f>A30</f>
        <v/>
      </c>
      <c r="B164" s="20">
        <f>B30</f>
        <v/>
      </c>
      <c r="C164" s="21">
        <f>100*(C30-C29)</f>
        <v/>
      </c>
      <c r="D164" s="21">
        <f>100*(D30-D29)</f>
        <v/>
      </c>
      <c r="E164" s="21">
        <f>100*(E30-E29)</f>
        <v/>
      </c>
      <c r="F164" s="21">
        <f>100*(F30-F29)</f>
        <v/>
      </c>
      <c r="G164" s="21">
        <f>100*(G30-G29)</f>
        <v/>
      </c>
      <c r="H164" s="21">
        <f>100*(H30-H29)</f>
        <v/>
      </c>
      <c r="I164" s="21">
        <f>100*(I30-I29)</f>
        <v/>
      </c>
      <c r="J164" s="21">
        <f>100*(J30-J29)</f>
        <v/>
      </c>
      <c r="K164" s="21">
        <f>100*(K30-K29)</f>
        <v/>
      </c>
      <c r="L164" s="21">
        <f>100*(L30-L29)</f>
        <v/>
      </c>
      <c r="M164" s="21">
        <f>100*(M30-M29)</f>
        <v/>
      </c>
      <c r="N164" s="21">
        <f>100*(N30-N29)</f>
        <v/>
      </c>
      <c r="O164" s="21">
        <f>100*(O30-O29)</f>
        <v/>
      </c>
      <c r="P164" s="21">
        <f>100*(P30-P29)</f>
        <v/>
      </c>
      <c r="Q164" s="21">
        <f>100*(Q30-Q29)</f>
        <v/>
      </c>
      <c r="R164" s="21">
        <f>100*(R30-R29)</f>
        <v/>
      </c>
      <c r="S164" s="21">
        <f>100*(S30-S29)</f>
        <v/>
      </c>
      <c r="T164" s="21">
        <f>100*(T30-T29)</f>
        <v/>
      </c>
      <c r="U164" s="21">
        <f>100*(U30-U29)</f>
        <v/>
      </c>
      <c r="V164" s="21">
        <f>100*(V30-V29)</f>
        <v/>
      </c>
      <c r="W164" s="21">
        <f>100*(W30-W29)</f>
        <v/>
      </c>
      <c r="X164" s="21">
        <f>100*(X30-X29)</f>
        <v/>
      </c>
      <c r="Y164" s="21">
        <f>100*(Y30-Y29)</f>
        <v/>
      </c>
      <c r="Z164" s="21">
        <f>100*(Z30-Z29)</f>
        <v/>
      </c>
      <c r="AA164" s="21">
        <f>100*(AA30-AA29)</f>
        <v/>
      </c>
      <c r="AB164" s="21">
        <f>100*(AB30-AB29)</f>
        <v/>
      </c>
      <c r="AC164" s="21">
        <f>100*(AC30-AC29)</f>
        <v/>
      </c>
      <c r="AD164" s="21">
        <f>100*(AD30-AD29)</f>
        <v/>
      </c>
      <c r="AE164" s="21">
        <f>100*(AE30-AE29)</f>
        <v/>
      </c>
      <c r="AF164" s="21">
        <f>100*(AF30-AF29)</f>
        <v/>
      </c>
      <c r="AG164" s="21">
        <f>100*(AG30-AG29)</f>
        <v/>
      </c>
      <c r="AH164" s="21">
        <f>100*(AH30-AH29)</f>
        <v/>
      </c>
      <c r="AI164" s="21">
        <f>100*(AI30-AI29)</f>
        <v/>
      </c>
      <c r="AJ164" s="21">
        <f>100*(AJ30-AJ29)</f>
        <v/>
      </c>
      <c r="AK164" s="21">
        <f>100*(AK30-AK29)</f>
        <v/>
      </c>
      <c r="AL164" s="21">
        <f>100*(AL30-AL29)</f>
        <v/>
      </c>
      <c r="AM164" s="21">
        <f>100*(AM30-AM29)</f>
        <v/>
      </c>
      <c r="AN164" s="21">
        <f>100*(AN30-AN29)</f>
        <v/>
      </c>
      <c r="AO164" s="21">
        <f>100*(AO30-AO29)</f>
        <v/>
      </c>
      <c r="AP164" s="21">
        <f>100*(AP30-AP29)</f>
        <v/>
      </c>
      <c r="AQ164" s="21">
        <f>100*(AQ30-AQ29)</f>
        <v/>
      </c>
      <c r="AR164" s="21">
        <f>100*(AR30-AR29)</f>
        <v/>
      </c>
      <c r="AS164" s="21">
        <f>100*(AS30-AS29)</f>
        <v/>
      </c>
      <c r="AT164" s="21">
        <f>100*(AT30-AT29)</f>
        <v/>
      </c>
      <c r="AU164" s="21">
        <f>100*(AU30-AU29)</f>
        <v/>
      </c>
      <c r="AV164" s="21">
        <f>AVERAGE(C164:AU164)</f>
        <v/>
      </c>
    </row>
    <row r="165">
      <c r="A165" s="19">
        <f>A31</f>
        <v/>
      </c>
      <c r="B165" s="20">
        <f>B31</f>
        <v/>
      </c>
      <c r="C165" s="21">
        <f>100*(C31-C30)</f>
        <v/>
      </c>
      <c r="D165" s="21">
        <f>100*(D31-D30)</f>
        <v/>
      </c>
      <c r="E165" s="21">
        <f>100*(E31-E30)</f>
        <v/>
      </c>
      <c r="F165" s="21">
        <f>100*(F31-F30)</f>
        <v/>
      </c>
      <c r="G165" s="21">
        <f>100*(G31-G30)</f>
        <v/>
      </c>
      <c r="H165" s="21">
        <f>100*(H31-H30)</f>
        <v/>
      </c>
      <c r="I165" s="21">
        <f>100*(I31-I30)</f>
        <v/>
      </c>
      <c r="J165" s="21">
        <f>100*(J31-J30)</f>
        <v/>
      </c>
      <c r="K165" s="21">
        <f>100*(K31-K30)</f>
        <v/>
      </c>
      <c r="L165" s="21">
        <f>100*(L31-L30)</f>
        <v/>
      </c>
      <c r="M165" s="21">
        <f>100*(M31-M30)</f>
        <v/>
      </c>
      <c r="N165" s="21">
        <f>100*(N31-N30)</f>
        <v/>
      </c>
      <c r="O165" s="21">
        <f>100*(O31-O30)</f>
        <v/>
      </c>
      <c r="P165" s="21">
        <f>100*(P31-P30)</f>
        <v/>
      </c>
      <c r="Q165" s="21">
        <f>100*(Q31-Q30)</f>
        <v/>
      </c>
      <c r="R165" s="21">
        <f>100*(R31-R30)</f>
        <v/>
      </c>
      <c r="S165" s="21">
        <f>100*(S31-S30)</f>
        <v/>
      </c>
      <c r="T165" s="21">
        <f>100*(T31-T30)</f>
        <v/>
      </c>
      <c r="U165" s="21">
        <f>100*(U31-U30)</f>
        <v/>
      </c>
      <c r="V165" s="21">
        <f>100*(V31-V30)</f>
        <v/>
      </c>
      <c r="W165" s="21">
        <f>100*(W31-W30)</f>
        <v/>
      </c>
      <c r="X165" s="21">
        <f>100*(X31-X30)</f>
        <v/>
      </c>
      <c r="Y165" s="21">
        <f>100*(Y31-Y30)</f>
        <v/>
      </c>
      <c r="Z165" s="21">
        <f>100*(Z31-Z30)</f>
        <v/>
      </c>
      <c r="AA165" s="21">
        <f>100*(AA31-AA30)</f>
        <v/>
      </c>
      <c r="AB165" s="21">
        <f>100*(AB31-AB30)</f>
        <v/>
      </c>
      <c r="AC165" s="21">
        <f>100*(AC31-AC30)</f>
        <v/>
      </c>
      <c r="AD165" s="21">
        <f>100*(AD31-AD30)</f>
        <v/>
      </c>
      <c r="AE165" s="21">
        <f>100*(AE31-AE30)</f>
        <v/>
      </c>
      <c r="AF165" s="21">
        <f>100*(AF31-AF30)</f>
        <v/>
      </c>
      <c r="AG165" s="21">
        <f>100*(AG31-AG30)</f>
        <v/>
      </c>
      <c r="AH165" s="21">
        <f>100*(AH31-AH30)</f>
        <v/>
      </c>
      <c r="AI165" s="21">
        <f>100*(AI31-AI30)</f>
        <v/>
      </c>
      <c r="AJ165" s="21">
        <f>100*(AJ31-AJ30)</f>
        <v/>
      </c>
      <c r="AK165" s="21">
        <f>100*(AK31-AK30)</f>
        <v/>
      </c>
      <c r="AL165" s="21">
        <f>100*(AL31-AL30)</f>
        <v/>
      </c>
      <c r="AM165" s="21">
        <f>100*(AM31-AM30)</f>
        <v/>
      </c>
      <c r="AN165" s="21">
        <f>100*(AN31-AN30)</f>
        <v/>
      </c>
      <c r="AO165" s="21">
        <f>100*(AO31-AO30)</f>
        <v/>
      </c>
      <c r="AP165" s="21">
        <f>100*(AP31-AP30)</f>
        <v/>
      </c>
      <c r="AQ165" s="21">
        <f>100*(AQ31-AQ30)</f>
        <v/>
      </c>
      <c r="AR165" s="21">
        <f>100*(AR31-AR30)</f>
        <v/>
      </c>
      <c r="AS165" s="21">
        <f>100*(AS31-AS30)</f>
        <v/>
      </c>
      <c r="AT165" s="21">
        <f>100*(AT31-AT30)</f>
        <v/>
      </c>
      <c r="AU165" s="21">
        <f>100*(AU31-AU30)</f>
        <v/>
      </c>
      <c r="AV165" s="21">
        <f>AVERAGE(C165:AU165)</f>
        <v/>
      </c>
    </row>
    <row r="166">
      <c r="A166" s="19">
        <f>A32</f>
        <v/>
      </c>
      <c r="B166" s="20">
        <f>B32</f>
        <v/>
      </c>
      <c r="C166" s="21">
        <f>100*(C32-C31)</f>
        <v/>
      </c>
      <c r="D166" s="21">
        <f>100*(D32-D31)</f>
        <v/>
      </c>
      <c r="E166" s="21">
        <f>100*(E32-E31)</f>
        <v/>
      </c>
      <c r="F166" s="21">
        <f>100*(F32-F31)</f>
        <v/>
      </c>
      <c r="G166" s="21">
        <f>100*(G32-G31)</f>
        <v/>
      </c>
      <c r="H166" s="21">
        <f>100*(H32-H31)</f>
        <v/>
      </c>
      <c r="I166" s="21">
        <f>100*(I32-I31)</f>
        <v/>
      </c>
      <c r="J166" s="21">
        <f>100*(J32-J31)</f>
        <v/>
      </c>
      <c r="K166" s="21">
        <f>100*(K32-K31)</f>
        <v/>
      </c>
      <c r="L166" s="21">
        <f>100*(L32-L31)</f>
        <v/>
      </c>
      <c r="M166" s="21">
        <f>100*(M32-M31)</f>
        <v/>
      </c>
      <c r="N166" s="21">
        <f>100*(N32-N31)</f>
        <v/>
      </c>
      <c r="O166" s="21">
        <f>100*(O32-O31)</f>
        <v/>
      </c>
      <c r="P166" s="21">
        <f>100*(P32-P31)</f>
        <v/>
      </c>
      <c r="Q166" s="21">
        <f>100*(Q32-Q31)</f>
        <v/>
      </c>
      <c r="R166" s="21">
        <f>100*(R32-R31)</f>
        <v/>
      </c>
      <c r="S166" s="21">
        <f>100*(S32-S31)</f>
        <v/>
      </c>
      <c r="T166" s="21">
        <f>100*(T32-T31)</f>
        <v/>
      </c>
      <c r="U166" s="21">
        <f>100*(U32-U31)</f>
        <v/>
      </c>
      <c r="V166" s="21">
        <f>100*(V32-V31)</f>
        <v/>
      </c>
      <c r="W166" s="21">
        <f>100*(W32-W31)</f>
        <v/>
      </c>
      <c r="X166" s="21">
        <f>100*(X32-X31)</f>
        <v/>
      </c>
      <c r="Y166" s="21">
        <f>100*(Y32-Y31)</f>
        <v/>
      </c>
      <c r="Z166" s="21">
        <f>100*(Z32-Z31)</f>
        <v/>
      </c>
      <c r="AA166" s="21">
        <f>100*(AA32-AA31)</f>
        <v/>
      </c>
      <c r="AB166" s="21">
        <f>100*(AB32-AB31)</f>
        <v/>
      </c>
      <c r="AC166" s="21">
        <f>100*(AC32-AC31)</f>
        <v/>
      </c>
      <c r="AD166" s="21">
        <f>100*(AD32-AD31)</f>
        <v/>
      </c>
      <c r="AE166" s="21">
        <f>100*(AE32-AE31)</f>
        <v/>
      </c>
      <c r="AF166" s="21">
        <f>100*(AF32-AF31)</f>
        <v/>
      </c>
      <c r="AG166" s="21">
        <f>100*(AG32-AG31)</f>
        <v/>
      </c>
      <c r="AH166" s="21">
        <f>100*(AH32-AH31)</f>
        <v/>
      </c>
      <c r="AI166" s="21">
        <f>100*(AI32-AI31)</f>
        <v/>
      </c>
      <c r="AJ166" s="21">
        <f>100*(AJ32-AJ31)</f>
        <v/>
      </c>
      <c r="AK166" s="21">
        <f>100*(AK32-AK31)</f>
        <v/>
      </c>
      <c r="AL166" s="21">
        <f>100*(AL32-AL31)</f>
        <v/>
      </c>
      <c r="AM166" s="21">
        <f>100*(AM32-AM31)</f>
        <v/>
      </c>
      <c r="AN166" s="21">
        <f>100*(AN32-AN31)</f>
        <v/>
      </c>
      <c r="AO166" s="21">
        <f>100*(AO32-AO31)</f>
        <v/>
      </c>
      <c r="AP166" s="21">
        <f>100*(AP32-AP31)</f>
        <v/>
      </c>
      <c r="AQ166" s="21">
        <f>100*(AQ32-AQ31)</f>
        <v/>
      </c>
      <c r="AR166" s="21">
        <f>100*(AR32-AR31)</f>
        <v/>
      </c>
      <c r="AS166" s="21">
        <f>100*(AS32-AS31)</f>
        <v/>
      </c>
      <c r="AT166" s="21">
        <f>100*(AT32-AT31)</f>
        <v/>
      </c>
      <c r="AU166" s="21">
        <f>100*(AU32-AU31)</f>
        <v/>
      </c>
      <c r="AV166" s="21">
        <f>AVERAGE(C166:AU166)</f>
        <v/>
      </c>
    </row>
    <row r="167">
      <c r="A167" s="19">
        <f>A33</f>
        <v/>
      </c>
      <c r="B167" s="20">
        <f>B33</f>
        <v/>
      </c>
      <c r="C167" s="21">
        <f>100*(C33-C32)</f>
        <v/>
      </c>
      <c r="D167" s="21">
        <f>100*(D33-D32)</f>
        <v/>
      </c>
      <c r="E167" s="21">
        <f>100*(E33-E32)</f>
        <v/>
      </c>
      <c r="F167" s="21">
        <f>100*(F33-F32)</f>
        <v/>
      </c>
      <c r="G167" s="21">
        <f>100*(G33-G32)</f>
        <v/>
      </c>
      <c r="H167" s="21">
        <f>100*(H33-H32)</f>
        <v/>
      </c>
      <c r="I167" s="21">
        <f>100*(I33-I32)</f>
        <v/>
      </c>
      <c r="J167" s="21">
        <f>100*(J33-J32)</f>
        <v/>
      </c>
      <c r="K167" s="21">
        <f>100*(K33-K32)</f>
        <v/>
      </c>
      <c r="L167" s="21">
        <f>100*(L33-L32)</f>
        <v/>
      </c>
      <c r="M167" s="21">
        <f>100*(M33-M32)</f>
        <v/>
      </c>
      <c r="N167" s="21">
        <f>100*(N33-N32)</f>
        <v/>
      </c>
      <c r="O167" s="21">
        <f>100*(O33-O32)</f>
        <v/>
      </c>
      <c r="P167" s="21">
        <f>100*(P33-P32)</f>
        <v/>
      </c>
      <c r="Q167" s="21">
        <f>100*(Q33-Q32)</f>
        <v/>
      </c>
      <c r="R167" s="21">
        <f>100*(R33-R32)</f>
        <v/>
      </c>
      <c r="S167" s="21">
        <f>100*(S33-S32)</f>
        <v/>
      </c>
      <c r="T167" s="21">
        <f>100*(T33-T32)</f>
        <v/>
      </c>
      <c r="U167" s="21">
        <f>100*(U33-U32)</f>
        <v/>
      </c>
      <c r="V167" s="21">
        <f>100*(V33-V32)</f>
        <v/>
      </c>
      <c r="W167" s="21">
        <f>100*(W33-W32)</f>
        <v/>
      </c>
      <c r="X167" s="21">
        <f>100*(X33-X32)</f>
        <v/>
      </c>
      <c r="Y167" s="21">
        <f>100*(Y33-Y32)</f>
        <v/>
      </c>
      <c r="Z167" s="21">
        <f>100*(Z33-Z32)</f>
        <v/>
      </c>
      <c r="AA167" s="21">
        <f>100*(AA33-AA32)</f>
        <v/>
      </c>
      <c r="AB167" s="21">
        <f>100*(AB33-AB32)</f>
        <v/>
      </c>
      <c r="AC167" s="21">
        <f>100*(AC33-AC32)</f>
        <v/>
      </c>
      <c r="AD167" s="21">
        <f>100*(AD33-AD32)</f>
        <v/>
      </c>
      <c r="AE167" s="21">
        <f>100*(AE33-AE32)</f>
        <v/>
      </c>
      <c r="AF167" s="21">
        <f>100*(AF33-AF32)</f>
        <v/>
      </c>
      <c r="AG167" s="21">
        <f>100*(AG33-AG32)</f>
        <v/>
      </c>
      <c r="AH167" s="21">
        <f>100*(AH33-AH32)</f>
        <v/>
      </c>
      <c r="AI167" s="21">
        <f>100*(AI33-AI32)</f>
        <v/>
      </c>
      <c r="AJ167" s="21">
        <f>100*(AJ33-AJ32)</f>
        <v/>
      </c>
      <c r="AK167" s="21">
        <f>100*(AK33-AK32)</f>
        <v/>
      </c>
      <c r="AL167" s="21">
        <f>100*(AL33-AL32)</f>
        <v/>
      </c>
      <c r="AM167" s="21">
        <f>100*(AM33-AM32)</f>
        <v/>
      </c>
      <c r="AN167" s="21">
        <f>100*(AN33-AN32)</f>
        <v/>
      </c>
      <c r="AO167" s="21">
        <f>100*(AO33-AO32)</f>
        <v/>
      </c>
      <c r="AP167" s="21">
        <f>100*(AP33-AP32)</f>
        <v/>
      </c>
      <c r="AQ167" s="21">
        <f>100*(AQ33-AQ32)</f>
        <v/>
      </c>
      <c r="AR167" s="21">
        <f>100*(AR33-AR32)</f>
        <v/>
      </c>
      <c r="AS167" s="21">
        <f>100*(AS33-AS32)</f>
        <v/>
      </c>
      <c r="AT167" s="21">
        <f>100*(AT33-AT32)</f>
        <v/>
      </c>
      <c r="AU167" s="21">
        <f>100*(AU33-AU32)</f>
        <v/>
      </c>
      <c r="AV167" s="21">
        <f>AVERAGE(C167:AU167)</f>
        <v/>
      </c>
    </row>
    <row r="168">
      <c r="A168" s="19">
        <f>A34</f>
        <v/>
      </c>
      <c r="B168" s="20">
        <f>B34</f>
        <v/>
      </c>
      <c r="C168" s="21">
        <f>100*(C34-C33)</f>
        <v/>
      </c>
      <c r="D168" s="21">
        <f>100*(D34-D33)</f>
        <v/>
      </c>
      <c r="E168" s="21">
        <f>100*(E34-E33)</f>
        <v/>
      </c>
      <c r="F168" s="21">
        <f>100*(F34-F33)</f>
        <v/>
      </c>
      <c r="G168" s="21">
        <f>100*(G34-G33)</f>
        <v/>
      </c>
      <c r="H168" s="21">
        <f>100*(H34-H33)</f>
        <v/>
      </c>
      <c r="I168" s="21">
        <f>100*(I34-I33)</f>
        <v/>
      </c>
      <c r="J168" s="21">
        <f>100*(J34-J33)</f>
        <v/>
      </c>
      <c r="K168" s="21">
        <f>100*(K34-K33)</f>
        <v/>
      </c>
      <c r="L168" s="21">
        <f>100*(L34-L33)</f>
        <v/>
      </c>
      <c r="M168" s="21">
        <f>100*(M34-M33)</f>
        <v/>
      </c>
      <c r="N168" s="21">
        <f>100*(N34-N33)</f>
        <v/>
      </c>
      <c r="O168" s="21">
        <f>100*(O34-O33)</f>
        <v/>
      </c>
      <c r="P168" s="21">
        <f>100*(P34-P33)</f>
        <v/>
      </c>
      <c r="Q168" s="21">
        <f>100*(Q34-Q33)</f>
        <v/>
      </c>
      <c r="R168" s="21">
        <f>100*(R34-R33)</f>
        <v/>
      </c>
      <c r="S168" s="21">
        <f>100*(S34-S33)</f>
        <v/>
      </c>
      <c r="T168" s="21">
        <f>100*(T34-T33)</f>
        <v/>
      </c>
      <c r="U168" s="21">
        <f>100*(U34-U33)</f>
        <v/>
      </c>
      <c r="V168" s="21">
        <f>100*(V34-V33)</f>
        <v/>
      </c>
      <c r="W168" s="21">
        <f>100*(W34-W33)</f>
        <v/>
      </c>
      <c r="X168" s="21">
        <f>100*(X34-X33)</f>
        <v/>
      </c>
      <c r="Y168" s="21">
        <f>100*(Y34-Y33)</f>
        <v/>
      </c>
      <c r="Z168" s="21">
        <f>100*(Z34-Z33)</f>
        <v/>
      </c>
      <c r="AA168" s="21">
        <f>100*(AA34-AA33)</f>
        <v/>
      </c>
      <c r="AB168" s="21">
        <f>100*(AB34-AB33)</f>
        <v/>
      </c>
      <c r="AC168" s="21">
        <f>100*(AC34-AC33)</f>
        <v/>
      </c>
      <c r="AD168" s="21">
        <f>100*(AD34-AD33)</f>
        <v/>
      </c>
      <c r="AE168" s="21">
        <f>100*(AE34-AE33)</f>
        <v/>
      </c>
      <c r="AF168" s="21">
        <f>100*(AF34-AF33)</f>
        <v/>
      </c>
      <c r="AG168" s="21">
        <f>100*(AG34-AG33)</f>
        <v/>
      </c>
      <c r="AH168" s="21">
        <f>100*(AH34-AH33)</f>
        <v/>
      </c>
      <c r="AI168" s="21">
        <f>100*(AI34-AI33)</f>
        <v/>
      </c>
      <c r="AJ168" s="21">
        <f>100*(AJ34-AJ33)</f>
        <v/>
      </c>
      <c r="AK168" s="21">
        <f>100*(AK34-AK33)</f>
        <v/>
      </c>
      <c r="AL168" s="21">
        <f>100*(AL34-AL33)</f>
        <v/>
      </c>
      <c r="AM168" s="21">
        <f>100*(AM34-AM33)</f>
        <v/>
      </c>
      <c r="AN168" s="21">
        <f>100*(AN34-AN33)</f>
        <v/>
      </c>
      <c r="AO168" s="21">
        <f>100*(AO34-AO33)</f>
        <v/>
      </c>
      <c r="AP168" s="21">
        <f>100*(AP34-AP33)</f>
        <v/>
      </c>
      <c r="AQ168" s="21">
        <f>100*(AQ34-AQ33)</f>
        <v/>
      </c>
      <c r="AR168" s="21">
        <f>100*(AR34-AR33)</f>
        <v/>
      </c>
      <c r="AS168" s="21">
        <f>100*(AS34-AS33)</f>
        <v/>
      </c>
      <c r="AT168" s="21">
        <f>100*(AT34-AT33)</f>
        <v/>
      </c>
      <c r="AU168" s="21">
        <f>100*(AU34-AU33)</f>
        <v/>
      </c>
      <c r="AV168" s="21">
        <f>AVERAGE(C168:AU168)</f>
        <v/>
      </c>
    </row>
    <row r="169">
      <c r="A169" s="19">
        <f>A35</f>
        <v/>
      </c>
      <c r="B169" s="20">
        <f>B35</f>
        <v/>
      </c>
      <c r="C169" s="21">
        <f>100*(C35-C34)</f>
        <v/>
      </c>
      <c r="D169" s="21">
        <f>100*(D35-D34)</f>
        <v/>
      </c>
      <c r="E169" s="21">
        <f>100*(E35-E34)</f>
        <v/>
      </c>
      <c r="F169" s="21">
        <f>100*(F35-F34)</f>
        <v/>
      </c>
      <c r="G169" s="21">
        <f>100*(G35-G34)</f>
        <v/>
      </c>
      <c r="H169" s="21">
        <f>100*(H35-H34)</f>
        <v/>
      </c>
      <c r="I169" s="21">
        <f>100*(I35-I34)</f>
        <v/>
      </c>
      <c r="J169" s="21">
        <f>100*(J35-J34)</f>
        <v/>
      </c>
      <c r="K169" s="21">
        <f>100*(K35-K34)</f>
        <v/>
      </c>
      <c r="L169" s="21">
        <f>100*(L35-L34)</f>
        <v/>
      </c>
      <c r="M169" s="21">
        <f>100*(M35-M34)</f>
        <v/>
      </c>
      <c r="N169" s="21">
        <f>100*(N35-N34)</f>
        <v/>
      </c>
      <c r="O169" s="21">
        <f>100*(O35-O34)</f>
        <v/>
      </c>
      <c r="P169" s="21">
        <f>100*(P35-P34)</f>
        <v/>
      </c>
      <c r="Q169" s="21">
        <f>100*(Q35-Q34)</f>
        <v/>
      </c>
      <c r="R169" s="21">
        <f>100*(R35-R34)</f>
        <v/>
      </c>
      <c r="S169" s="21">
        <f>100*(S35-S34)</f>
        <v/>
      </c>
      <c r="T169" s="21">
        <f>100*(T35-T34)</f>
        <v/>
      </c>
      <c r="U169" s="21">
        <f>100*(U35-U34)</f>
        <v/>
      </c>
      <c r="V169" s="21">
        <f>100*(V35-V34)</f>
        <v/>
      </c>
      <c r="W169" s="21">
        <f>100*(W35-W34)</f>
        <v/>
      </c>
      <c r="X169" s="21">
        <f>100*(X35-X34)</f>
        <v/>
      </c>
      <c r="Y169" s="21">
        <f>100*(Y35-Y34)</f>
        <v/>
      </c>
      <c r="Z169" s="21">
        <f>100*(Z35-Z34)</f>
        <v/>
      </c>
      <c r="AA169" s="21">
        <f>100*(AA35-AA34)</f>
        <v/>
      </c>
      <c r="AB169" s="21">
        <f>100*(AB35-AB34)</f>
        <v/>
      </c>
      <c r="AC169" s="21">
        <f>100*(AC35-AC34)</f>
        <v/>
      </c>
      <c r="AD169" s="21">
        <f>100*(AD35-AD34)</f>
        <v/>
      </c>
      <c r="AE169" s="21">
        <f>100*(AE35-AE34)</f>
        <v/>
      </c>
      <c r="AF169" s="21">
        <f>100*(AF35-AF34)</f>
        <v/>
      </c>
      <c r="AG169" s="21">
        <f>100*(AG35-AG34)</f>
        <v/>
      </c>
      <c r="AH169" s="21">
        <f>100*(AH35-AH34)</f>
        <v/>
      </c>
      <c r="AI169" s="21">
        <f>100*(AI35-AI34)</f>
        <v/>
      </c>
      <c r="AJ169" s="21">
        <f>100*(AJ35-AJ34)</f>
        <v/>
      </c>
      <c r="AK169" s="21">
        <f>100*(AK35-AK34)</f>
        <v/>
      </c>
      <c r="AL169" s="21">
        <f>100*(AL35-AL34)</f>
        <v/>
      </c>
      <c r="AM169" s="21">
        <f>100*(AM35-AM34)</f>
        <v/>
      </c>
      <c r="AN169" s="21">
        <f>100*(AN35-AN34)</f>
        <v/>
      </c>
      <c r="AO169" s="21">
        <f>100*(AO35-AO34)</f>
        <v/>
      </c>
      <c r="AP169" s="21">
        <f>100*(AP35-AP34)</f>
        <v/>
      </c>
      <c r="AQ169" s="21">
        <f>100*(AQ35-AQ34)</f>
        <v/>
      </c>
      <c r="AR169" s="21">
        <f>100*(AR35-AR34)</f>
        <v/>
      </c>
      <c r="AS169" s="21">
        <f>100*(AS35-AS34)</f>
        <v/>
      </c>
      <c r="AT169" s="21">
        <f>100*(AT35-AT34)</f>
        <v/>
      </c>
      <c r="AU169" s="21">
        <f>100*(AU35-AU34)</f>
        <v/>
      </c>
      <c r="AV169" s="21">
        <f>AVERAGE(C169:AU169)</f>
        <v/>
      </c>
    </row>
    <row r="170">
      <c r="A170" s="19">
        <f>A36</f>
        <v/>
      </c>
      <c r="B170" s="20">
        <f>B36</f>
        <v/>
      </c>
      <c r="C170" s="21">
        <f>100*(C36-C35)</f>
        <v/>
      </c>
      <c r="D170" s="21">
        <f>100*(D36-D35)</f>
        <v/>
      </c>
      <c r="E170" s="21">
        <f>100*(E36-E35)</f>
        <v/>
      </c>
      <c r="F170" s="21">
        <f>100*(F36-F35)</f>
        <v/>
      </c>
      <c r="G170" s="21">
        <f>100*(G36-G35)</f>
        <v/>
      </c>
      <c r="H170" s="21">
        <f>100*(H36-H35)</f>
        <v/>
      </c>
      <c r="I170" s="21">
        <f>100*(I36-I35)</f>
        <v/>
      </c>
      <c r="J170" s="21">
        <f>100*(J36-J35)</f>
        <v/>
      </c>
      <c r="K170" s="21">
        <f>100*(K36-K35)</f>
        <v/>
      </c>
      <c r="L170" s="21">
        <f>100*(L36-L35)</f>
        <v/>
      </c>
      <c r="M170" s="21">
        <f>100*(M36-M35)</f>
        <v/>
      </c>
      <c r="N170" s="21">
        <f>100*(N36-N35)</f>
        <v/>
      </c>
      <c r="O170" s="21">
        <f>100*(O36-O35)</f>
        <v/>
      </c>
      <c r="P170" s="21">
        <f>100*(P36-P35)</f>
        <v/>
      </c>
      <c r="Q170" s="21">
        <f>100*(Q36-Q35)</f>
        <v/>
      </c>
      <c r="R170" s="21">
        <f>100*(R36-R35)</f>
        <v/>
      </c>
      <c r="S170" s="21">
        <f>100*(S36-S35)</f>
        <v/>
      </c>
      <c r="T170" s="21">
        <f>100*(T36-T35)</f>
        <v/>
      </c>
      <c r="U170" s="21">
        <f>100*(U36-U35)</f>
        <v/>
      </c>
      <c r="V170" s="21">
        <f>100*(V36-V35)</f>
        <v/>
      </c>
      <c r="W170" s="21">
        <f>100*(W36-W35)</f>
        <v/>
      </c>
      <c r="X170" s="21">
        <f>100*(X36-X35)</f>
        <v/>
      </c>
      <c r="Y170" s="21">
        <f>100*(Y36-Y35)</f>
        <v/>
      </c>
      <c r="Z170" s="21">
        <f>100*(Z36-Z35)</f>
        <v/>
      </c>
      <c r="AA170" s="21">
        <f>100*(AA36-AA35)</f>
        <v/>
      </c>
      <c r="AB170" s="21">
        <f>100*(AB36-AB35)</f>
        <v/>
      </c>
      <c r="AC170" s="21">
        <f>100*(AC36-AC35)</f>
        <v/>
      </c>
      <c r="AD170" s="21">
        <f>100*(AD36-AD35)</f>
        <v/>
      </c>
      <c r="AE170" s="21">
        <f>100*(AE36-AE35)</f>
        <v/>
      </c>
      <c r="AF170" s="21">
        <f>100*(AF36-AF35)</f>
        <v/>
      </c>
      <c r="AG170" s="21">
        <f>100*(AG36-AG35)</f>
        <v/>
      </c>
      <c r="AH170" s="21">
        <f>100*(AH36-AH35)</f>
        <v/>
      </c>
      <c r="AI170" s="21">
        <f>100*(AI36-AI35)</f>
        <v/>
      </c>
      <c r="AJ170" s="21">
        <f>100*(AJ36-AJ35)</f>
        <v/>
      </c>
      <c r="AK170" s="21">
        <f>100*(AK36-AK35)</f>
        <v/>
      </c>
      <c r="AL170" s="21">
        <f>100*(AL36-AL35)</f>
        <v/>
      </c>
      <c r="AM170" s="21">
        <f>100*(AM36-AM35)</f>
        <v/>
      </c>
      <c r="AN170" s="21">
        <f>100*(AN36-AN35)</f>
        <v/>
      </c>
      <c r="AO170" s="21">
        <f>100*(AO36-AO35)</f>
        <v/>
      </c>
      <c r="AP170" s="21">
        <f>100*(AP36-AP35)</f>
        <v/>
      </c>
      <c r="AQ170" s="21">
        <f>100*(AQ36-AQ35)</f>
        <v/>
      </c>
      <c r="AR170" s="21">
        <f>100*(AR36-AR35)</f>
        <v/>
      </c>
      <c r="AS170" s="21">
        <f>100*(AS36-AS35)</f>
        <v/>
      </c>
      <c r="AT170" s="21">
        <f>100*(AT36-AT35)</f>
        <v/>
      </c>
      <c r="AU170" s="21">
        <f>100*(AU36-AU35)</f>
        <v/>
      </c>
      <c r="AV170" s="21">
        <f>AVERAGE(C170:AU170)</f>
        <v/>
      </c>
    </row>
    <row r="171">
      <c r="A171" s="19">
        <f>A37</f>
        <v/>
      </c>
      <c r="B171" s="20">
        <f>B37</f>
        <v/>
      </c>
      <c r="C171" s="21">
        <f>100*(C37-C36)</f>
        <v/>
      </c>
      <c r="D171" s="21">
        <f>100*(D37-D36)</f>
        <v/>
      </c>
      <c r="E171" s="21">
        <f>100*(E37-E36)</f>
        <v/>
      </c>
      <c r="F171" s="21">
        <f>100*(F37-F36)</f>
        <v/>
      </c>
      <c r="G171" s="21">
        <f>100*(G37-G36)</f>
        <v/>
      </c>
      <c r="H171" s="21">
        <f>100*(H37-H36)</f>
        <v/>
      </c>
      <c r="I171" s="21">
        <f>100*(I37-I36)</f>
        <v/>
      </c>
      <c r="J171" s="21">
        <f>100*(J37-J36)</f>
        <v/>
      </c>
      <c r="K171" s="21">
        <f>100*(K37-K36)</f>
        <v/>
      </c>
      <c r="L171" s="21">
        <f>100*(L37-L36)</f>
        <v/>
      </c>
      <c r="M171" s="21">
        <f>100*(M37-M36)</f>
        <v/>
      </c>
      <c r="N171" s="21">
        <f>100*(N37-N36)</f>
        <v/>
      </c>
      <c r="O171" s="21">
        <f>100*(O37-O36)</f>
        <v/>
      </c>
      <c r="P171" s="21">
        <f>100*(P37-P36)</f>
        <v/>
      </c>
      <c r="Q171" s="21">
        <f>100*(Q37-Q36)</f>
        <v/>
      </c>
      <c r="R171" s="21">
        <f>100*(R37-R36)</f>
        <v/>
      </c>
      <c r="S171" s="21">
        <f>100*(S37-S36)</f>
        <v/>
      </c>
      <c r="T171" s="21">
        <f>100*(T37-T36)</f>
        <v/>
      </c>
      <c r="U171" s="21">
        <f>100*(U37-U36)</f>
        <v/>
      </c>
      <c r="V171" s="21">
        <f>100*(V37-V36)</f>
        <v/>
      </c>
      <c r="W171" s="21">
        <f>100*(W37-W36)</f>
        <v/>
      </c>
      <c r="X171" s="21">
        <f>100*(X37-X36)</f>
        <v/>
      </c>
      <c r="Y171" s="21">
        <f>100*(Y37-Y36)</f>
        <v/>
      </c>
      <c r="Z171" s="21">
        <f>100*(Z37-Z36)</f>
        <v/>
      </c>
      <c r="AA171" s="21">
        <f>100*(AA37-AA36)</f>
        <v/>
      </c>
      <c r="AB171" s="21">
        <f>100*(AB37-AB36)</f>
        <v/>
      </c>
      <c r="AC171" s="21">
        <f>100*(AC37-AC36)</f>
        <v/>
      </c>
      <c r="AD171" s="21">
        <f>100*(AD37-AD36)</f>
        <v/>
      </c>
      <c r="AE171" s="21">
        <f>100*(AE37-AE36)</f>
        <v/>
      </c>
      <c r="AF171" s="21">
        <f>100*(AF37-AF36)</f>
        <v/>
      </c>
      <c r="AG171" s="21">
        <f>100*(AG37-AG36)</f>
        <v/>
      </c>
      <c r="AH171" s="21">
        <f>100*(AH37-AH36)</f>
        <v/>
      </c>
      <c r="AI171" s="21">
        <f>100*(AI37-AI36)</f>
        <v/>
      </c>
      <c r="AJ171" s="21">
        <f>100*(AJ37-AJ36)</f>
        <v/>
      </c>
      <c r="AK171" s="21">
        <f>100*(AK37-AK36)</f>
        <v/>
      </c>
      <c r="AL171" s="21">
        <f>100*(AL37-AL36)</f>
        <v/>
      </c>
      <c r="AM171" s="21">
        <f>100*(AM37-AM36)</f>
        <v/>
      </c>
      <c r="AN171" s="21">
        <f>100*(AN37-AN36)</f>
        <v/>
      </c>
      <c r="AO171" s="21">
        <f>100*(AO37-AO36)</f>
        <v/>
      </c>
      <c r="AP171" s="21">
        <f>100*(AP37-AP36)</f>
        <v/>
      </c>
      <c r="AQ171" s="21">
        <f>100*(AQ37-AQ36)</f>
        <v/>
      </c>
      <c r="AR171" s="21">
        <f>100*(AR37-AR36)</f>
        <v/>
      </c>
      <c r="AS171" s="21">
        <f>100*(AS37-AS36)</f>
        <v/>
      </c>
      <c r="AT171" s="21">
        <f>100*(AT37-AT36)</f>
        <v/>
      </c>
      <c r="AU171" s="21">
        <f>100*(AU37-AU36)</f>
        <v/>
      </c>
      <c r="AV171" s="21">
        <f>AVERAGE(C171:AU171)</f>
        <v/>
      </c>
    </row>
    <row r="172">
      <c r="A172" s="19">
        <f>A38</f>
        <v/>
      </c>
      <c r="B172" s="20">
        <f>B38</f>
        <v/>
      </c>
      <c r="C172" s="21">
        <f>100*(C38-C37)</f>
        <v/>
      </c>
      <c r="D172" s="21">
        <f>100*(D38-D37)</f>
        <v/>
      </c>
      <c r="E172" s="21">
        <f>100*(E38-E37)</f>
        <v/>
      </c>
      <c r="F172" s="21">
        <f>100*(F38-F37)</f>
        <v/>
      </c>
      <c r="G172" s="21">
        <f>100*(G38-G37)</f>
        <v/>
      </c>
      <c r="H172" s="21">
        <f>100*(H38-H37)</f>
        <v/>
      </c>
      <c r="I172" s="21">
        <f>100*(I38-I37)</f>
        <v/>
      </c>
      <c r="J172" s="21">
        <f>100*(J38-J37)</f>
        <v/>
      </c>
      <c r="K172" s="21">
        <f>100*(K38-K37)</f>
        <v/>
      </c>
      <c r="L172" s="21">
        <f>100*(L38-L37)</f>
        <v/>
      </c>
      <c r="M172" s="21">
        <f>100*(M38-M37)</f>
        <v/>
      </c>
      <c r="N172" s="21">
        <f>100*(N38-N37)</f>
        <v/>
      </c>
      <c r="O172" s="21">
        <f>100*(O38-O37)</f>
        <v/>
      </c>
      <c r="P172" s="21">
        <f>100*(P38-P37)</f>
        <v/>
      </c>
      <c r="Q172" s="21">
        <f>100*(Q38-Q37)</f>
        <v/>
      </c>
      <c r="R172" s="21">
        <f>100*(R38-R37)</f>
        <v/>
      </c>
      <c r="S172" s="21">
        <f>100*(S38-S37)</f>
        <v/>
      </c>
      <c r="T172" s="21">
        <f>100*(T38-T37)</f>
        <v/>
      </c>
      <c r="U172" s="21">
        <f>100*(U38-U37)</f>
        <v/>
      </c>
      <c r="V172" s="21">
        <f>100*(V38-V37)</f>
        <v/>
      </c>
      <c r="W172" s="21">
        <f>100*(W38-W37)</f>
        <v/>
      </c>
      <c r="X172" s="21">
        <f>100*(X38-X37)</f>
        <v/>
      </c>
      <c r="Y172" s="21">
        <f>100*(Y38-Y37)</f>
        <v/>
      </c>
      <c r="Z172" s="21">
        <f>100*(Z38-Z37)</f>
        <v/>
      </c>
      <c r="AA172" s="21">
        <f>100*(AA38-AA37)</f>
        <v/>
      </c>
      <c r="AB172" s="21">
        <f>100*(AB38-AB37)</f>
        <v/>
      </c>
      <c r="AC172" s="21">
        <f>100*(AC38-AC37)</f>
        <v/>
      </c>
      <c r="AD172" s="21">
        <f>100*(AD38-AD37)</f>
        <v/>
      </c>
      <c r="AE172" s="21">
        <f>100*(AE38-AE37)</f>
        <v/>
      </c>
      <c r="AF172" s="21">
        <f>100*(AF38-AF37)</f>
        <v/>
      </c>
      <c r="AG172" s="21">
        <f>100*(AG38-AG37)</f>
        <v/>
      </c>
      <c r="AH172" s="21">
        <f>100*(AH38-AH37)</f>
        <v/>
      </c>
      <c r="AI172" s="21">
        <f>100*(AI38-AI37)</f>
        <v/>
      </c>
      <c r="AJ172" s="21">
        <f>100*(AJ38-AJ37)</f>
        <v/>
      </c>
      <c r="AK172" s="21">
        <f>100*(AK38-AK37)</f>
        <v/>
      </c>
      <c r="AL172" s="21">
        <f>100*(AL38-AL37)</f>
        <v/>
      </c>
      <c r="AM172" s="21">
        <f>100*(AM38-AM37)</f>
        <v/>
      </c>
      <c r="AN172" s="21">
        <f>100*(AN38-AN37)</f>
        <v/>
      </c>
      <c r="AO172" s="21">
        <f>100*(AO38-AO37)</f>
        <v/>
      </c>
      <c r="AP172" s="21">
        <f>100*(AP38-AP37)</f>
        <v/>
      </c>
      <c r="AQ172" s="21">
        <f>100*(AQ38-AQ37)</f>
        <v/>
      </c>
      <c r="AR172" s="21">
        <f>100*(AR38-AR37)</f>
        <v/>
      </c>
      <c r="AS172" s="21">
        <f>100*(AS38-AS37)</f>
        <v/>
      </c>
      <c r="AT172" s="21">
        <f>100*(AT38-AT37)</f>
        <v/>
      </c>
      <c r="AU172" s="21">
        <f>100*(AU38-AU37)</f>
        <v/>
      </c>
      <c r="AV172" s="21">
        <f>AVERAGE(C172:AU172)</f>
        <v/>
      </c>
    </row>
    <row r="173">
      <c r="A173" s="19">
        <f>A39</f>
        <v/>
      </c>
      <c r="B173" s="20">
        <f>B39</f>
        <v/>
      </c>
      <c r="C173" s="21">
        <f>100*(C39-C38)</f>
        <v/>
      </c>
      <c r="D173" s="21">
        <f>100*(D39-D38)</f>
        <v/>
      </c>
      <c r="E173" s="21">
        <f>100*(E39-E38)</f>
        <v/>
      </c>
      <c r="F173" s="21">
        <f>100*(F39-F38)</f>
        <v/>
      </c>
      <c r="G173" s="21">
        <f>100*(G39-G38)</f>
        <v/>
      </c>
      <c r="H173" s="21">
        <f>100*(H39-H38)</f>
        <v/>
      </c>
      <c r="I173" s="21">
        <f>100*(I39-I38)</f>
        <v/>
      </c>
      <c r="J173" s="21">
        <f>100*(J39-J38)</f>
        <v/>
      </c>
      <c r="K173" s="21">
        <f>100*(K39-K38)</f>
        <v/>
      </c>
      <c r="L173" s="21">
        <f>100*(L39-L38)</f>
        <v/>
      </c>
      <c r="M173" s="21">
        <f>100*(M39-M38)</f>
        <v/>
      </c>
      <c r="N173" s="21">
        <f>100*(N39-N38)</f>
        <v/>
      </c>
      <c r="O173" s="21">
        <f>100*(O39-O38)</f>
        <v/>
      </c>
      <c r="P173" s="21">
        <f>100*(P39-P38)</f>
        <v/>
      </c>
      <c r="Q173" s="21">
        <f>100*(Q39-Q38)</f>
        <v/>
      </c>
      <c r="R173" s="21">
        <f>100*(R39-R38)</f>
        <v/>
      </c>
      <c r="S173" s="21">
        <f>100*(S39-S38)</f>
        <v/>
      </c>
      <c r="T173" s="21">
        <f>100*(T39-T38)</f>
        <v/>
      </c>
      <c r="U173" s="21">
        <f>100*(U39-U38)</f>
        <v/>
      </c>
      <c r="V173" s="21">
        <f>100*(V39-V38)</f>
        <v/>
      </c>
      <c r="W173" s="21">
        <f>100*(W39-W38)</f>
        <v/>
      </c>
      <c r="X173" s="21">
        <f>100*(X39-X38)</f>
        <v/>
      </c>
      <c r="Y173" s="21">
        <f>100*(Y39-Y38)</f>
        <v/>
      </c>
      <c r="Z173" s="21">
        <f>100*(Z39-Z38)</f>
        <v/>
      </c>
      <c r="AA173" s="21">
        <f>100*(AA39-AA38)</f>
        <v/>
      </c>
      <c r="AB173" s="21">
        <f>100*(AB39-AB38)</f>
        <v/>
      </c>
      <c r="AC173" s="21">
        <f>100*(AC39-AC38)</f>
        <v/>
      </c>
      <c r="AD173" s="21">
        <f>100*(AD39-AD38)</f>
        <v/>
      </c>
      <c r="AE173" s="21">
        <f>100*(AE39-AE38)</f>
        <v/>
      </c>
      <c r="AF173" s="21">
        <f>100*(AF39-AF38)</f>
        <v/>
      </c>
      <c r="AG173" s="21">
        <f>100*(AG39-AG38)</f>
        <v/>
      </c>
      <c r="AH173" s="21">
        <f>100*(AH39-AH38)</f>
        <v/>
      </c>
      <c r="AI173" s="21">
        <f>100*(AI39-AI38)</f>
        <v/>
      </c>
      <c r="AJ173" s="21">
        <f>100*(AJ39-AJ38)</f>
        <v/>
      </c>
      <c r="AK173" s="21">
        <f>100*(AK39-AK38)</f>
        <v/>
      </c>
      <c r="AL173" s="21">
        <f>100*(AL39-AL38)</f>
        <v/>
      </c>
      <c r="AM173" s="21">
        <f>100*(AM39-AM38)</f>
        <v/>
      </c>
      <c r="AN173" s="21">
        <f>100*(AN39-AN38)</f>
        <v/>
      </c>
      <c r="AO173" s="21">
        <f>100*(AO39-AO38)</f>
        <v/>
      </c>
      <c r="AP173" s="21">
        <f>100*(AP39-AP38)</f>
        <v/>
      </c>
      <c r="AQ173" s="21">
        <f>100*(AQ39-AQ38)</f>
        <v/>
      </c>
      <c r="AR173" s="21">
        <f>100*(AR39-AR38)</f>
        <v/>
      </c>
      <c r="AS173" s="21">
        <f>100*(AS39-AS38)</f>
        <v/>
      </c>
      <c r="AT173" s="21">
        <f>100*(AT39-AT38)</f>
        <v/>
      </c>
      <c r="AU173" s="21">
        <f>100*(AU39-AU38)</f>
        <v/>
      </c>
      <c r="AV173" s="21">
        <f>AVERAGE(C173:AU173)</f>
        <v/>
      </c>
    </row>
    <row r="174">
      <c r="A174" s="19">
        <f>A40</f>
        <v/>
      </c>
      <c r="B174" s="20">
        <f>B40</f>
        <v/>
      </c>
      <c r="C174" s="21">
        <f>100*(C40-C39)</f>
        <v/>
      </c>
      <c r="D174" s="21">
        <f>100*(D40-D39)</f>
        <v/>
      </c>
      <c r="E174" s="21">
        <f>100*(E40-E39)</f>
        <v/>
      </c>
      <c r="F174" s="21">
        <f>100*(F40-F39)</f>
        <v/>
      </c>
      <c r="G174" s="21">
        <f>100*(G40-G39)</f>
        <v/>
      </c>
      <c r="H174" s="21">
        <f>100*(H40-H39)</f>
        <v/>
      </c>
      <c r="I174" s="21">
        <f>100*(I40-I39)</f>
        <v/>
      </c>
      <c r="J174" s="21">
        <f>100*(J40-J39)</f>
        <v/>
      </c>
      <c r="K174" s="21">
        <f>100*(K40-K39)</f>
        <v/>
      </c>
      <c r="L174" s="21">
        <f>100*(L40-L39)</f>
        <v/>
      </c>
      <c r="M174" s="21">
        <f>100*(M40-M39)</f>
        <v/>
      </c>
      <c r="N174" s="21">
        <f>100*(N40-N39)</f>
        <v/>
      </c>
      <c r="O174" s="21">
        <f>100*(O40-O39)</f>
        <v/>
      </c>
      <c r="P174" s="21">
        <f>100*(P40-P39)</f>
        <v/>
      </c>
      <c r="Q174" s="21">
        <f>100*(Q40-Q39)</f>
        <v/>
      </c>
      <c r="R174" s="21">
        <f>100*(R40-R39)</f>
        <v/>
      </c>
      <c r="S174" s="21">
        <f>100*(S40-S39)</f>
        <v/>
      </c>
      <c r="T174" s="21">
        <f>100*(T40-T39)</f>
        <v/>
      </c>
      <c r="U174" s="21">
        <f>100*(U40-U39)</f>
        <v/>
      </c>
      <c r="V174" s="21">
        <f>100*(V40-V39)</f>
        <v/>
      </c>
      <c r="W174" s="21">
        <f>100*(W40-W39)</f>
        <v/>
      </c>
      <c r="X174" s="21">
        <f>100*(X40-X39)</f>
        <v/>
      </c>
      <c r="Y174" s="21">
        <f>100*(Y40-Y39)</f>
        <v/>
      </c>
      <c r="Z174" s="21">
        <f>100*(Z40-Z39)</f>
        <v/>
      </c>
      <c r="AA174" s="21">
        <f>100*(AA40-AA39)</f>
        <v/>
      </c>
      <c r="AB174" s="21">
        <f>100*(AB40-AB39)</f>
        <v/>
      </c>
      <c r="AC174" s="21">
        <f>100*(AC40-AC39)</f>
        <v/>
      </c>
      <c r="AD174" s="21">
        <f>100*(AD40-AD39)</f>
        <v/>
      </c>
      <c r="AE174" s="21">
        <f>100*(AE40-AE39)</f>
        <v/>
      </c>
      <c r="AF174" s="21">
        <f>100*(AF40-AF39)</f>
        <v/>
      </c>
      <c r="AG174" s="21">
        <f>100*(AG40-AG39)</f>
        <v/>
      </c>
      <c r="AH174" s="21">
        <f>100*(AH40-AH39)</f>
        <v/>
      </c>
      <c r="AI174" s="21">
        <f>100*(AI40-AI39)</f>
        <v/>
      </c>
      <c r="AJ174" s="21">
        <f>100*(AJ40-AJ39)</f>
        <v/>
      </c>
      <c r="AK174" s="21">
        <f>100*(AK40-AK39)</f>
        <v/>
      </c>
      <c r="AL174" s="21">
        <f>100*(AL40-AL39)</f>
        <v/>
      </c>
      <c r="AM174" s="21">
        <f>100*(AM40-AM39)</f>
        <v/>
      </c>
      <c r="AN174" s="21">
        <f>100*(AN40-AN39)</f>
        <v/>
      </c>
      <c r="AO174" s="21">
        <f>100*(AO40-AO39)</f>
        <v/>
      </c>
      <c r="AP174" s="21">
        <f>100*(AP40-AP39)</f>
        <v/>
      </c>
      <c r="AQ174" s="21">
        <f>100*(AQ40-AQ39)</f>
        <v/>
      </c>
      <c r="AR174" s="21">
        <f>100*(AR40-AR39)</f>
        <v/>
      </c>
      <c r="AS174" s="21">
        <f>100*(AS40-AS39)</f>
        <v/>
      </c>
      <c r="AT174" s="21">
        <f>100*(AT40-AT39)</f>
        <v/>
      </c>
      <c r="AU174" s="21">
        <f>100*(AU40-AU39)</f>
        <v/>
      </c>
      <c r="AV174" s="21">
        <f>AVERAGE(C174:AU174)</f>
        <v/>
      </c>
    </row>
    <row r="175">
      <c r="A175" s="19">
        <f>A41</f>
        <v/>
      </c>
      <c r="B175" s="20">
        <f>B41</f>
        <v/>
      </c>
      <c r="C175" s="21">
        <f>100*(C41-C40)</f>
        <v/>
      </c>
      <c r="D175" s="21">
        <f>100*(D41-D40)</f>
        <v/>
      </c>
      <c r="E175" s="21">
        <f>100*(E41-E40)</f>
        <v/>
      </c>
      <c r="F175" s="21">
        <f>100*(F41-F40)</f>
        <v/>
      </c>
      <c r="G175" s="21">
        <f>100*(G41-G40)</f>
        <v/>
      </c>
      <c r="H175" s="21">
        <f>100*(H41-H40)</f>
        <v/>
      </c>
      <c r="I175" s="21">
        <f>100*(I41-I40)</f>
        <v/>
      </c>
      <c r="J175" s="21">
        <f>100*(J41-J40)</f>
        <v/>
      </c>
      <c r="K175" s="21">
        <f>100*(K41-K40)</f>
        <v/>
      </c>
      <c r="L175" s="21">
        <f>100*(L41-L40)</f>
        <v/>
      </c>
      <c r="M175" s="21">
        <f>100*(M41-M40)</f>
        <v/>
      </c>
      <c r="N175" s="21">
        <f>100*(N41-N40)</f>
        <v/>
      </c>
      <c r="O175" s="21">
        <f>100*(O41-O40)</f>
        <v/>
      </c>
      <c r="P175" s="21">
        <f>100*(P41-P40)</f>
        <v/>
      </c>
      <c r="Q175" s="21">
        <f>100*(Q41-Q40)</f>
        <v/>
      </c>
      <c r="R175" s="21">
        <f>100*(R41-R40)</f>
        <v/>
      </c>
      <c r="S175" s="21">
        <f>100*(S41-S40)</f>
        <v/>
      </c>
      <c r="T175" s="21">
        <f>100*(T41-T40)</f>
        <v/>
      </c>
      <c r="U175" s="21">
        <f>100*(U41-U40)</f>
        <v/>
      </c>
      <c r="V175" s="21">
        <f>100*(V41-V40)</f>
        <v/>
      </c>
      <c r="W175" s="21">
        <f>100*(W41-W40)</f>
        <v/>
      </c>
      <c r="X175" s="21">
        <f>100*(X41-X40)</f>
        <v/>
      </c>
      <c r="Y175" s="21">
        <f>100*(Y41-Y40)</f>
        <v/>
      </c>
      <c r="Z175" s="21">
        <f>100*(Z41-Z40)</f>
        <v/>
      </c>
      <c r="AA175" s="21">
        <f>100*(AA41-AA40)</f>
        <v/>
      </c>
      <c r="AB175" s="21">
        <f>100*(AB41-AB40)</f>
        <v/>
      </c>
      <c r="AC175" s="21">
        <f>100*(AC41-AC40)</f>
        <v/>
      </c>
      <c r="AD175" s="21">
        <f>100*(AD41-AD40)</f>
        <v/>
      </c>
      <c r="AE175" s="21">
        <f>100*(AE41-AE40)</f>
        <v/>
      </c>
      <c r="AF175" s="21">
        <f>100*(AF41-AF40)</f>
        <v/>
      </c>
      <c r="AG175" s="21">
        <f>100*(AG41-AG40)</f>
        <v/>
      </c>
      <c r="AH175" s="21">
        <f>100*(AH41-AH40)</f>
        <v/>
      </c>
      <c r="AI175" s="21">
        <f>100*(AI41-AI40)</f>
        <v/>
      </c>
      <c r="AJ175" s="21">
        <f>100*(AJ41-AJ40)</f>
        <v/>
      </c>
      <c r="AK175" s="21">
        <f>100*(AK41-AK40)</f>
        <v/>
      </c>
      <c r="AL175" s="21">
        <f>100*(AL41-AL40)</f>
        <v/>
      </c>
      <c r="AM175" s="21">
        <f>100*(AM41-AM40)</f>
        <v/>
      </c>
      <c r="AN175" s="21">
        <f>100*(AN41-AN40)</f>
        <v/>
      </c>
      <c r="AO175" s="21">
        <f>100*(AO41-AO40)</f>
        <v/>
      </c>
      <c r="AP175" s="21">
        <f>100*(AP41-AP40)</f>
        <v/>
      </c>
      <c r="AQ175" s="21">
        <f>100*(AQ41-AQ40)</f>
        <v/>
      </c>
      <c r="AR175" s="21">
        <f>100*(AR41-AR40)</f>
        <v/>
      </c>
      <c r="AS175" s="21">
        <f>100*(AS41-AS40)</f>
        <v/>
      </c>
      <c r="AT175" s="21">
        <f>100*(AT41-AT40)</f>
        <v/>
      </c>
      <c r="AU175" s="21">
        <f>100*(AU41-AU40)</f>
        <v/>
      </c>
      <c r="AV175" s="21">
        <f>AVERAGE(C175:AU175)</f>
        <v/>
      </c>
    </row>
    <row r="176">
      <c r="A176" s="19">
        <f>A42</f>
        <v/>
      </c>
      <c r="B176" s="20">
        <f>B42</f>
        <v/>
      </c>
      <c r="C176" s="21">
        <f>100*(C42-C41)</f>
        <v/>
      </c>
      <c r="D176" s="21">
        <f>100*(D42-D41)</f>
        <v/>
      </c>
      <c r="E176" s="21">
        <f>100*(E42-E41)</f>
        <v/>
      </c>
      <c r="F176" s="21">
        <f>100*(F42-F41)</f>
        <v/>
      </c>
      <c r="G176" s="21">
        <f>100*(G42-G41)</f>
        <v/>
      </c>
      <c r="H176" s="21">
        <f>100*(H42-H41)</f>
        <v/>
      </c>
      <c r="I176" s="21">
        <f>100*(I42-I41)</f>
        <v/>
      </c>
      <c r="J176" s="21">
        <f>100*(J42-J41)</f>
        <v/>
      </c>
      <c r="K176" s="21">
        <f>100*(K42-K41)</f>
        <v/>
      </c>
      <c r="L176" s="21">
        <f>100*(L42-L41)</f>
        <v/>
      </c>
      <c r="M176" s="21">
        <f>100*(M42-M41)</f>
        <v/>
      </c>
      <c r="N176" s="21">
        <f>100*(N42-N41)</f>
        <v/>
      </c>
      <c r="O176" s="21">
        <f>100*(O42-O41)</f>
        <v/>
      </c>
      <c r="P176" s="21">
        <f>100*(P42-P41)</f>
        <v/>
      </c>
      <c r="Q176" s="21">
        <f>100*(Q42-Q41)</f>
        <v/>
      </c>
      <c r="R176" s="21">
        <f>100*(R42-R41)</f>
        <v/>
      </c>
      <c r="S176" s="21">
        <f>100*(S42-S41)</f>
        <v/>
      </c>
      <c r="T176" s="21">
        <f>100*(T42-T41)</f>
        <v/>
      </c>
      <c r="U176" s="21">
        <f>100*(U42-U41)</f>
        <v/>
      </c>
      <c r="V176" s="21">
        <f>100*(V42-V41)</f>
        <v/>
      </c>
      <c r="W176" s="21">
        <f>100*(W42-W41)</f>
        <v/>
      </c>
      <c r="X176" s="21">
        <f>100*(X42-X41)</f>
        <v/>
      </c>
      <c r="Y176" s="21">
        <f>100*(Y42-Y41)</f>
        <v/>
      </c>
      <c r="Z176" s="21">
        <f>100*(Z42-Z41)</f>
        <v/>
      </c>
      <c r="AA176" s="21">
        <f>100*(AA42-AA41)</f>
        <v/>
      </c>
      <c r="AB176" s="21">
        <f>100*(AB42-AB41)</f>
        <v/>
      </c>
      <c r="AC176" s="21">
        <f>100*(AC42-AC41)</f>
        <v/>
      </c>
      <c r="AD176" s="21">
        <f>100*(AD42-AD41)</f>
        <v/>
      </c>
      <c r="AE176" s="21">
        <f>100*(AE42-AE41)</f>
        <v/>
      </c>
      <c r="AF176" s="21">
        <f>100*(AF42-AF41)</f>
        <v/>
      </c>
      <c r="AG176" s="21">
        <f>100*(AG42-AG41)</f>
        <v/>
      </c>
      <c r="AH176" s="21">
        <f>100*(AH42-AH41)</f>
        <v/>
      </c>
      <c r="AI176" s="21">
        <f>100*(AI42-AI41)</f>
        <v/>
      </c>
      <c r="AJ176" s="21">
        <f>100*(AJ42-AJ41)</f>
        <v/>
      </c>
      <c r="AK176" s="21">
        <f>100*(AK42-AK41)</f>
        <v/>
      </c>
      <c r="AL176" s="21">
        <f>100*(AL42-AL41)</f>
        <v/>
      </c>
      <c r="AM176" s="21">
        <f>100*(AM42-AM41)</f>
        <v/>
      </c>
      <c r="AN176" s="21">
        <f>100*(AN42-AN41)</f>
        <v/>
      </c>
      <c r="AO176" s="21">
        <f>100*(AO42-AO41)</f>
        <v/>
      </c>
      <c r="AP176" s="21">
        <f>100*(AP42-AP41)</f>
        <v/>
      </c>
      <c r="AQ176" s="21">
        <f>100*(AQ42-AQ41)</f>
        <v/>
      </c>
      <c r="AR176" s="21">
        <f>100*(AR42-AR41)</f>
        <v/>
      </c>
      <c r="AS176" s="21">
        <f>100*(AS42-AS41)</f>
        <v/>
      </c>
      <c r="AT176" s="21">
        <f>100*(AT42-AT41)</f>
        <v/>
      </c>
      <c r="AU176" s="21">
        <f>100*(AU42-AU41)</f>
        <v/>
      </c>
      <c r="AV176" s="21">
        <f>AVERAGE(C176:AU176)</f>
        <v/>
      </c>
    </row>
    <row r="177">
      <c r="A177" s="19">
        <f>A43</f>
        <v/>
      </c>
      <c r="B177" s="20">
        <f>B43</f>
        <v/>
      </c>
      <c r="C177" s="21">
        <f>100*(C43-C42)</f>
        <v/>
      </c>
      <c r="D177" s="21">
        <f>100*(D43-D42)</f>
        <v/>
      </c>
      <c r="E177" s="21">
        <f>100*(E43-E42)</f>
        <v/>
      </c>
      <c r="F177" s="21">
        <f>100*(F43-F42)</f>
        <v/>
      </c>
      <c r="G177" s="21">
        <f>100*(G43-G42)</f>
        <v/>
      </c>
      <c r="H177" s="21">
        <f>100*(H43-H42)</f>
        <v/>
      </c>
      <c r="I177" s="21">
        <f>100*(I43-I42)</f>
        <v/>
      </c>
      <c r="J177" s="21">
        <f>100*(J43-J42)</f>
        <v/>
      </c>
      <c r="K177" s="21">
        <f>100*(K43-K42)</f>
        <v/>
      </c>
      <c r="L177" s="21">
        <f>100*(L43-L42)</f>
        <v/>
      </c>
      <c r="M177" s="21">
        <f>100*(M43-M42)</f>
        <v/>
      </c>
      <c r="N177" s="21">
        <f>100*(N43-N42)</f>
        <v/>
      </c>
      <c r="O177" s="21">
        <f>100*(O43-O42)</f>
        <v/>
      </c>
      <c r="P177" s="21">
        <f>100*(P43-P42)</f>
        <v/>
      </c>
      <c r="Q177" s="21">
        <f>100*(Q43-Q42)</f>
        <v/>
      </c>
      <c r="R177" s="21">
        <f>100*(R43-R42)</f>
        <v/>
      </c>
      <c r="S177" s="21">
        <f>100*(S43-S42)</f>
        <v/>
      </c>
      <c r="T177" s="21">
        <f>100*(T43-T42)</f>
        <v/>
      </c>
      <c r="U177" s="21">
        <f>100*(U43-U42)</f>
        <v/>
      </c>
      <c r="V177" s="21">
        <f>100*(V43-V42)</f>
        <v/>
      </c>
      <c r="W177" s="21">
        <f>100*(W43-W42)</f>
        <v/>
      </c>
      <c r="X177" s="21">
        <f>100*(X43-X42)</f>
        <v/>
      </c>
      <c r="Y177" s="21">
        <f>100*(Y43-Y42)</f>
        <v/>
      </c>
      <c r="Z177" s="21">
        <f>100*(Z43-Z42)</f>
        <v/>
      </c>
      <c r="AA177" s="21">
        <f>100*(AA43-AA42)</f>
        <v/>
      </c>
      <c r="AB177" s="21">
        <f>100*(AB43-AB42)</f>
        <v/>
      </c>
      <c r="AC177" s="21">
        <f>100*(AC43-AC42)</f>
        <v/>
      </c>
      <c r="AD177" s="21">
        <f>100*(AD43-AD42)</f>
        <v/>
      </c>
      <c r="AE177" s="21">
        <f>100*(AE43-AE42)</f>
        <v/>
      </c>
      <c r="AF177" s="21">
        <f>100*(AF43-AF42)</f>
        <v/>
      </c>
      <c r="AG177" s="21">
        <f>100*(AG43-AG42)</f>
        <v/>
      </c>
      <c r="AH177" s="21">
        <f>100*(AH43-AH42)</f>
        <v/>
      </c>
      <c r="AI177" s="21">
        <f>100*(AI43-AI42)</f>
        <v/>
      </c>
      <c r="AJ177" s="21">
        <f>100*(AJ43-AJ42)</f>
        <v/>
      </c>
      <c r="AK177" s="21">
        <f>100*(AK43-AK42)</f>
        <v/>
      </c>
      <c r="AL177" s="21">
        <f>100*(AL43-AL42)</f>
        <v/>
      </c>
      <c r="AM177" s="21">
        <f>100*(AM43-AM42)</f>
        <v/>
      </c>
      <c r="AN177" s="21">
        <f>100*(AN43-AN42)</f>
        <v/>
      </c>
      <c r="AO177" s="21">
        <f>100*(AO43-AO42)</f>
        <v/>
      </c>
      <c r="AP177" s="21">
        <f>100*(AP43-AP42)</f>
        <v/>
      </c>
      <c r="AQ177" s="21">
        <f>100*(AQ43-AQ42)</f>
        <v/>
      </c>
      <c r="AR177" s="21">
        <f>100*(AR43-AR42)</f>
        <v/>
      </c>
      <c r="AS177" s="21">
        <f>100*(AS43-AS42)</f>
        <v/>
      </c>
      <c r="AT177" s="21">
        <f>100*(AT43-AT42)</f>
        <v/>
      </c>
      <c r="AU177" s="21">
        <f>100*(AU43-AU42)</f>
        <v/>
      </c>
      <c r="AV177" s="21">
        <f>AVERAGE(C177:AU177)</f>
        <v/>
      </c>
    </row>
    <row r="178">
      <c r="A178" s="19">
        <f>A44</f>
        <v/>
      </c>
      <c r="B178" s="20">
        <f>B44</f>
        <v/>
      </c>
      <c r="C178" s="21">
        <f>100*(C44-C43)</f>
        <v/>
      </c>
      <c r="D178" s="21">
        <f>100*(D44-D43)</f>
        <v/>
      </c>
      <c r="E178" s="21">
        <f>100*(E44-E43)</f>
        <v/>
      </c>
      <c r="F178" s="21">
        <f>100*(F44-F43)</f>
        <v/>
      </c>
      <c r="G178" s="21">
        <f>100*(G44-G43)</f>
        <v/>
      </c>
      <c r="H178" s="21">
        <f>100*(H44-H43)</f>
        <v/>
      </c>
      <c r="I178" s="21">
        <f>100*(I44-I43)</f>
        <v/>
      </c>
      <c r="J178" s="21">
        <f>100*(J44-J43)</f>
        <v/>
      </c>
      <c r="K178" s="21">
        <f>100*(K44-K43)</f>
        <v/>
      </c>
      <c r="L178" s="21">
        <f>100*(L44-L43)</f>
        <v/>
      </c>
      <c r="M178" s="21">
        <f>100*(M44-M43)</f>
        <v/>
      </c>
      <c r="N178" s="21">
        <f>100*(N44-N43)</f>
        <v/>
      </c>
      <c r="O178" s="21">
        <f>100*(O44-O43)</f>
        <v/>
      </c>
      <c r="P178" s="21">
        <f>100*(P44-P43)</f>
        <v/>
      </c>
      <c r="Q178" s="21">
        <f>100*(Q44-Q43)</f>
        <v/>
      </c>
      <c r="R178" s="21">
        <f>100*(R44-R43)</f>
        <v/>
      </c>
      <c r="S178" s="21">
        <f>100*(S44-S43)</f>
        <v/>
      </c>
      <c r="T178" s="21">
        <f>100*(T44-T43)</f>
        <v/>
      </c>
      <c r="U178" s="21">
        <f>100*(U44-U43)</f>
        <v/>
      </c>
      <c r="V178" s="21">
        <f>100*(V44-V43)</f>
        <v/>
      </c>
      <c r="W178" s="21">
        <f>100*(W44-W43)</f>
        <v/>
      </c>
      <c r="X178" s="21">
        <f>100*(X44-X43)</f>
        <v/>
      </c>
      <c r="Y178" s="21">
        <f>100*(Y44-Y43)</f>
        <v/>
      </c>
      <c r="Z178" s="21">
        <f>100*(Z44-Z43)</f>
        <v/>
      </c>
      <c r="AA178" s="21">
        <f>100*(AA44-AA43)</f>
        <v/>
      </c>
      <c r="AB178" s="21">
        <f>100*(AB44-AB43)</f>
        <v/>
      </c>
      <c r="AC178" s="21">
        <f>100*(AC44-AC43)</f>
        <v/>
      </c>
      <c r="AD178" s="21">
        <f>100*(AD44-AD43)</f>
        <v/>
      </c>
      <c r="AE178" s="21">
        <f>100*(AE44-AE43)</f>
        <v/>
      </c>
      <c r="AF178" s="21">
        <f>100*(AF44-AF43)</f>
        <v/>
      </c>
      <c r="AG178" s="21">
        <f>100*(AG44-AG43)</f>
        <v/>
      </c>
      <c r="AH178" s="21">
        <f>100*(AH44-AH43)</f>
        <v/>
      </c>
      <c r="AI178" s="21">
        <f>100*(AI44-AI43)</f>
        <v/>
      </c>
      <c r="AJ178" s="21">
        <f>100*(AJ44-AJ43)</f>
        <v/>
      </c>
      <c r="AK178" s="21">
        <f>100*(AK44-AK43)</f>
        <v/>
      </c>
      <c r="AL178" s="21">
        <f>100*(AL44-AL43)</f>
        <v/>
      </c>
      <c r="AM178" s="21">
        <f>100*(AM44-AM43)</f>
        <v/>
      </c>
      <c r="AN178" s="21">
        <f>100*(AN44-AN43)</f>
        <v/>
      </c>
      <c r="AO178" s="21">
        <f>100*(AO44-AO43)</f>
        <v/>
      </c>
      <c r="AP178" s="21">
        <f>100*(AP44-AP43)</f>
        <v/>
      </c>
      <c r="AQ178" s="21">
        <f>100*(AQ44-AQ43)</f>
        <v/>
      </c>
      <c r="AR178" s="21">
        <f>100*(AR44-AR43)</f>
        <v/>
      </c>
      <c r="AS178" s="21">
        <f>100*(AS44-AS43)</f>
        <v/>
      </c>
      <c r="AT178" s="21">
        <f>100*(AT44-AT43)</f>
        <v/>
      </c>
      <c r="AU178" s="21">
        <f>100*(AU44-AU43)</f>
        <v/>
      </c>
      <c r="AV178" s="21">
        <f>AVERAGE(C178:AU178)</f>
        <v/>
      </c>
    </row>
    <row r="179">
      <c r="A179" s="19">
        <f>A45</f>
        <v/>
      </c>
      <c r="B179" s="20">
        <f>B45</f>
        <v/>
      </c>
      <c r="C179" s="21">
        <f>100*(C45-C44)</f>
        <v/>
      </c>
      <c r="D179" s="21">
        <f>100*(D45-D44)</f>
        <v/>
      </c>
      <c r="E179" s="21">
        <f>100*(E45-E44)</f>
        <v/>
      </c>
      <c r="F179" s="21">
        <f>100*(F45-F44)</f>
        <v/>
      </c>
      <c r="G179" s="21">
        <f>100*(G45-G44)</f>
        <v/>
      </c>
      <c r="H179" s="21">
        <f>100*(H45-H44)</f>
        <v/>
      </c>
      <c r="I179" s="21">
        <f>100*(I45-I44)</f>
        <v/>
      </c>
      <c r="J179" s="21">
        <f>100*(J45-J44)</f>
        <v/>
      </c>
      <c r="K179" s="21">
        <f>100*(K45-K44)</f>
        <v/>
      </c>
      <c r="L179" s="21">
        <f>100*(L45-L44)</f>
        <v/>
      </c>
      <c r="M179" s="21">
        <f>100*(M45-M44)</f>
        <v/>
      </c>
      <c r="N179" s="21">
        <f>100*(N45-N44)</f>
        <v/>
      </c>
      <c r="O179" s="21">
        <f>100*(O45-O44)</f>
        <v/>
      </c>
      <c r="P179" s="21">
        <f>100*(P45-P44)</f>
        <v/>
      </c>
      <c r="Q179" s="21">
        <f>100*(Q45-Q44)</f>
        <v/>
      </c>
      <c r="R179" s="21">
        <f>100*(R45-R44)</f>
        <v/>
      </c>
      <c r="S179" s="21">
        <f>100*(S45-S44)</f>
        <v/>
      </c>
      <c r="T179" s="21">
        <f>100*(T45-T44)</f>
        <v/>
      </c>
      <c r="U179" s="21">
        <f>100*(U45-U44)</f>
        <v/>
      </c>
      <c r="V179" s="21">
        <f>100*(V45-V44)</f>
        <v/>
      </c>
      <c r="W179" s="21">
        <f>100*(W45-W44)</f>
        <v/>
      </c>
      <c r="X179" s="21">
        <f>100*(X45-X44)</f>
        <v/>
      </c>
      <c r="Y179" s="21">
        <f>100*(Y45-Y44)</f>
        <v/>
      </c>
      <c r="Z179" s="21">
        <f>100*(Z45-Z44)</f>
        <v/>
      </c>
      <c r="AA179" s="21">
        <f>100*(AA45-AA44)</f>
        <v/>
      </c>
      <c r="AB179" s="21">
        <f>100*(AB45-AB44)</f>
        <v/>
      </c>
      <c r="AC179" s="21">
        <f>100*(AC45-AC44)</f>
        <v/>
      </c>
      <c r="AD179" s="21">
        <f>100*(AD45-AD44)</f>
        <v/>
      </c>
      <c r="AE179" s="21">
        <f>100*(AE45-AE44)</f>
        <v/>
      </c>
      <c r="AF179" s="21">
        <f>100*(AF45-AF44)</f>
        <v/>
      </c>
      <c r="AG179" s="21">
        <f>100*(AG45-AG44)</f>
        <v/>
      </c>
      <c r="AH179" s="21">
        <f>100*(AH45-AH44)</f>
        <v/>
      </c>
      <c r="AI179" s="21">
        <f>100*(AI45-AI44)</f>
        <v/>
      </c>
      <c r="AJ179" s="21">
        <f>100*(AJ45-AJ44)</f>
        <v/>
      </c>
      <c r="AK179" s="21">
        <f>100*(AK45-AK44)</f>
        <v/>
      </c>
      <c r="AL179" s="21">
        <f>100*(AL45-AL44)</f>
        <v/>
      </c>
      <c r="AM179" s="21">
        <f>100*(AM45-AM44)</f>
        <v/>
      </c>
      <c r="AN179" s="21">
        <f>100*(AN45-AN44)</f>
        <v/>
      </c>
      <c r="AO179" s="21">
        <f>100*(AO45-AO44)</f>
        <v/>
      </c>
      <c r="AP179" s="21">
        <f>100*(AP45-AP44)</f>
        <v/>
      </c>
      <c r="AQ179" s="21">
        <f>100*(AQ45-AQ44)</f>
        <v/>
      </c>
      <c r="AR179" s="21">
        <f>100*(AR45-AR44)</f>
        <v/>
      </c>
      <c r="AS179" s="21">
        <f>100*(AS45-AS44)</f>
        <v/>
      </c>
      <c r="AT179" s="21">
        <f>100*(AT45-AT44)</f>
        <v/>
      </c>
      <c r="AU179" s="21">
        <f>100*(AU45-AU44)</f>
        <v/>
      </c>
      <c r="AV179" s="21">
        <f>AVERAGE(C179:AU179)</f>
        <v/>
      </c>
    </row>
    <row r="180">
      <c r="A180" s="19">
        <f>A46</f>
        <v/>
      </c>
      <c r="B180" s="20">
        <f>B46</f>
        <v/>
      </c>
      <c r="C180" s="21">
        <f>100*(C46-C45)</f>
        <v/>
      </c>
      <c r="D180" s="21">
        <f>100*(D46-D45)</f>
        <v/>
      </c>
      <c r="E180" s="21">
        <f>100*(E46-E45)</f>
        <v/>
      </c>
      <c r="F180" s="21">
        <f>100*(F46-F45)</f>
        <v/>
      </c>
      <c r="G180" s="21">
        <f>100*(G46-G45)</f>
        <v/>
      </c>
      <c r="H180" s="21">
        <f>100*(H46-H45)</f>
        <v/>
      </c>
      <c r="I180" s="21">
        <f>100*(I46-I45)</f>
        <v/>
      </c>
      <c r="J180" s="21">
        <f>100*(J46-J45)</f>
        <v/>
      </c>
      <c r="K180" s="21">
        <f>100*(K46-K45)</f>
        <v/>
      </c>
      <c r="L180" s="21">
        <f>100*(L46-L45)</f>
        <v/>
      </c>
      <c r="M180" s="21">
        <f>100*(M46-M45)</f>
        <v/>
      </c>
      <c r="N180" s="21">
        <f>100*(N46-N45)</f>
        <v/>
      </c>
      <c r="O180" s="21">
        <f>100*(O46-O45)</f>
        <v/>
      </c>
      <c r="P180" s="21">
        <f>100*(P46-P45)</f>
        <v/>
      </c>
      <c r="Q180" s="21">
        <f>100*(Q46-Q45)</f>
        <v/>
      </c>
      <c r="R180" s="21">
        <f>100*(R46-R45)</f>
        <v/>
      </c>
      <c r="S180" s="21">
        <f>100*(S46-S45)</f>
        <v/>
      </c>
      <c r="T180" s="21">
        <f>100*(T46-T45)</f>
        <v/>
      </c>
      <c r="U180" s="21">
        <f>100*(U46-U45)</f>
        <v/>
      </c>
      <c r="V180" s="21">
        <f>100*(V46-V45)</f>
        <v/>
      </c>
      <c r="W180" s="21">
        <f>100*(W46-W45)</f>
        <v/>
      </c>
      <c r="X180" s="21">
        <f>100*(X46-X45)</f>
        <v/>
      </c>
      <c r="Y180" s="21">
        <f>100*(Y46-Y45)</f>
        <v/>
      </c>
      <c r="Z180" s="21">
        <f>100*(Z46-Z45)</f>
        <v/>
      </c>
      <c r="AA180" s="21">
        <f>100*(AA46-AA45)</f>
        <v/>
      </c>
      <c r="AB180" s="21">
        <f>100*(AB46-AB45)</f>
        <v/>
      </c>
      <c r="AC180" s="21">
        <f>100*(AC46-AC45)</f>
        <v/>
      </c>
      <c r="AD180" s="21">
        <f>100*(AD46-AD45)</f>
        <v/>
      </c>
      <c r="AE180" s="21">
        <f>100*(AE46-AE45)</f>
        <v/>
      </c>
      <c r="AF180" s="21">
        <f>100*(AF46-AF45)</f>
        <v/>
      </c>
      <c r="AG180" s="21">
        <f>100*(AG46-AG45)</f>
        <v/>
      </c>
      <c r="AH180" s="21">
        <f>100*(AH46-AH45)</f>
        <v/>
      </c>
      <c r="AI180" s="21">
        <f>100*(AI46-AI45)</f>
        <v/>
      </c>
      <c r="AJ180" s="21">
        <f>100*(AJ46-AJ45)</f>
        <v/>
      </c>
      <c r="AK180" s="21">
        <f>100*(AK46-AK45)</f>
        <v/>
      </c>
      <c r="AL180" s="21">
        <f>100*(AL46-AL45)</f>
        <v/>
      </c>
      <c r="AM180" s="21">
        <f>100*(AM46-AM45)</f>
        <v/>
      </c>
      <c r="AN180" s="21">
        <f>100*(AN46-AN45)</f>
        <v/>
      </c>
      <c r="AO180" s="21">
        <f>100*(AO46-AO45)</f>
        <v/>
      </c>
      <c r="AP180" s="21">
        <f>100*(AP46-AP45)</f>
        <v/>
      </c>
      <c r="AQ180" s="21">
        <f>100*(AQ46-AQ45)</f>
        <v/>
      </c>
      <c r="AR180" s="21">
        <f>100*(AR46-AR45)</f>
        <v/>
      </c>
      <c r="AS180" s="21">
        <f>100*(AS46-AS45)</f>
        <v/>
      </c>
      <c r="AT180" s="21">
        <f>100*(AT46-AT45)</f>
        <v/>
      </c>
      <c r="AU180" s="21">
        <f>100*(AU46-AU45)</f>
        <v/>
      </c>
      <c r="AV180" s="21">
        <f>AVERAGE(C180:AU180)</f>
        <v/>
      </c>
    </row>
    <row r="181">
      <c r="A181" s="19">
        <f>A47</f>
        <v/>
      </c>
      <c r="B181" s="20">
        <f>B47</f>
        <v/>
      </c>
      <c r="C181" s="21">
        <f>100*(C47-C46)</f>
        <v/>
      </c>
      <c r="D181" s="21">
        <f>100*(D47-D46)</f>
        <v/>
      </c>
      <c r="E181" s="21">
        <f>100*(E47-E46)</f>
        <v/>
      </c>
      <c r="F181" s="21">
        <f>100*(F47-F46)</f>
        <v/>
      </c>
      <c r="G181" s="21">
        <f>100*(G47-G46)</f>
        <v/>
      </c>
      <c r="H181" s="21">
        <f>100*(H47-H46)</f>
        <v/>
      </c>
      <c r="I181" s="21">
        <f>100*(I47-I46)</f>
        <v/>
      </c>
      <c r="J181" s="21">
        <f>100*(J47-J46)</f>
        <v/>
      </c>
      <c r="K181" s="21">
        <f>100*(K47-K46)</f>
        <v/>
      </c>
      <c r="L181" s="21">
        <f>100*(L47-L46)</f>
        <v/>
      </c>
      <c r="M181" s="21">
        <f>100*(M47-M46)</f>
        <v/>
      </c>
      <c r="N181" s="21">
        <f>100*(N47-N46)</f>
        <v/>
      </c>
      <c r="O181" s="21">
        <f>100*(O47-O46)</f>
        <v/>
      </c>
      <c r="P181" s="21">
        <f>100*(P47-P46)</f>
        <v/>
      </c>
      <c r="Q181" s="21">
        <f>100*(Q47-Q46)</f>
        <v/>
      </c>
      <c r="R181" s="21">
        <f>100*(R47-R46)</f>
        <v/>
      </c>
      <c r="S181" s="21">
        <f>100*(S47-S46)</f>
        <v/>
      </c>
      <c r="T181" s="21">
        <f>100*(T47-T46)</f>
        <v/>
      </c>
      <c r="U181" s="21">
        <f>100*(U47-U46)</f>
        <v/>
      </c>
      <c r="V181" s="21">
        <f>100*(V47-V46)</f>
        <v/>
      </c>
      <c r="W181" s="21">
        <f>100*(W47-W46)</f>
        <v/>
      </c>
      <c r="X181" s="21">
        <f>100*(X47-X46)</f>
        <v/>
      </c>
      <c r="Y181" s="21">
        <f>100*(Y47-Y46)</f>
        <v/>
      </c>
      <c r="Z181" s="21">
        <f>100*(Z47-Z46)</f>
        <v/>
      </c>
      <c r="AA181" s="21">
        <f>100*(AA47-AA46)</f>
        <v/>
      </c>
      <c r="AB181" s="21">
        <f>100*(AB47-AB46)</f>
        <v/>
      </c>
      <c r="AC181" s="21">
        <f>100*(AC47-AC46)</f>
        <v/>
      </c>
      <c r="AD181" s="21">
        <f>100*(AD47-AD46)</f>
        <v/>
      </c>
      <c r="AE181" s="21">
        <f>100*(AE47-AE46)</f>
        <v/>
      </c>
      <c r="AF181" s="21">
        <f>100*(AF47-AF46)</f>
        <v/>
      </c>
      <c r="AG181" s="21">
        <f>100*(AG47-AG46)</f>
        <v/>
      </c>
      <c r="AH181" s="21">
        <f>100*(AH47-AH46)</f>
        <v/>
      </c>
      <c r="AI181" s="21">
        <f>100*(AI47-AI46)</f>
        <v/>
      </c>
      <c r="AJ181" s="21">
        <f>100*(AJ47-AJ46)</f>
        <v/>
      </c>
      <c r="AK181" s="21">
        <f>100*(AK47-AK46)</f>
        <v/>
      </c>
      <c r="AL181" s="21">
        <f>100*(AL47-AL46)</f>
        <v/>
      </c>
      <c r="AM181" s="21">
        <f>100*(AM47-AM46)</f>
        <v/>
      </c>
      <c r="AN181" s="21">
        <f>100*(AN47-AN46)</f>
        <v/>
      </c>
      <c r="AO181" s="21">
        <f>100*(AO47-AO46)</f>
        <v/>
      </c>
      <c r="AP181" s="21">
        <f>100*(AP47-AP46)</f>
        <v/>
      </c>
      <c r="AQ181" s="21">
        <f>100*(AQ47-AQ46)</f>
        <v/>
      </c>
      <c r="AR181" s="21">
        <f>100*(AR47-AR46)</f>
        <v/>
      </c>
      <c r="AS181" s="21">
        <f>100*(AS47-AS46)</f>
        <v/>
      </c>
      <c r="AT181" s="21">
        <f>100*(AT47-AT46)</f>
        <v/>
      </c>
      <c r="AU181" s="21">
        <f>100*(AU47-AU46)</f>
        <v/>
      </c>
      <c r="AV181" s="21">
        <f>AVERAGE(C181:AU181)</f>
        <v/>
      </c>
    </row>
    <row r="182">
      <c r="A182" s="19">
        <f>A48</f>
        <v/>
      </c>
      <c r="B182" s="20">
        <f>B48</f>
        <v/>
      </c>
      <c r="C182" s="21">
        <f>100*(C48-C47)</f>
        <v/>
      </c>
      <c r="D182" s="21">
        <f>100*(D48-D47)</f>
        <v/>
      </c>
      <c r="E182" s="21">
        <f>100*(E48-E47)</f>
        <v/>
      </c>
      <c r="F182" s="21">
        <f>100*(F48-F47)</f>
        <v/>
      </c>
      <c r="G182" s="21">
        <f>100*(G48-G47)</f>
        <v/>
      </c>
      <c r="H182" s="21">
        <f>100*(H48-H47)</f>
        <v/>
      </c>
      <c r="I182" s="21">
        <f>100*(I48-I47)</f>
        <v/>
      </c>
      <c r="J182" s="21">
        <f>100*(J48-J47)</f>
        <v/>
      </c>
      <c r="K182" s="21">
        <f>100*(K48-K47)</f>
        <v/>
      </c>
      <c r="L182" s="21">
        <f>100*(L48-L47)</f>
        <v/>
      </c>
      <c r="M182" s="21">
        <f>100*(M48-M47)</f>
        <v/>
      </c>
      <c r="N182" s="21">
        <f>100*(N48-N47)</f>
        <v/>
      </c>
      <c r="O182" s="21">
        <f>100*(O48-O47)</f>
        <v/>
      </c>
      <c r="P182" s="21">
        <f>100*(P48-P47)</f>
        <v/>
      </c>
      <c r="Q182" s="21">
        <f>100*(Q48-Q47)</f>
        <v/>
      </c>
      <c r="R182" s="21">
        <f>100*(R48-R47)</f>
        <v/>
      </c>
      <c r="S182" s="21">
        <f>100*(S48-S47)</f>
        <v/>
      </c>
      <c r="T182" s="21">
        <f>100*(T48-T47)</f>
        <v/>
      </c>
      <c r="U182" s="21">
        <f>100*(U48-U47)</f>
        <v/>
      </c>
      <c r="V182" s="21">
        <f>100*(V48-V47)</f>
        <v/>
      </c>
      <c r="W182" s="21">
        <f>100*(W48-W47)</f>
        <v/>
      </c>
      <c r="X182" s="21">
        <f>100*(X48-X47)</f>
        <v/>
      </c>
      <c r="Y182" s="21">
        <f>100*(Y48-Y47)</f>
        <v/>
      </c>
      <c r="Z182" s="21">
        <f>100*(Z48-Z47)</f>
        <v/>
      </c>
      <c r="AA182" s="21">
        <f>100*(AA48-AA47)</f>
        <v/>
      </c>
      <c r="AB182" s="21">
        <f>100*(AB48-AB47)</f>
        <v/>
      </c>
      <c r="AC182" s="21">
        <f>100*(AC48-AC47)</f>
        <v/>
      </c>
      <c r="AD182" s="21">
        <f>100*(AD48-AD47)</f>
        <v/>
      </c>
      <c r="AE182" s="21">
        <f>100*(AE48-AE47)</f>
        <v/>
      </c>
      <c r="AF182" s="21">
        <f>100*(AF48-AF47)</f>
        <v/>
      </c>
      <c r="AG182" s="21">
        <f>100*(AG48-AG47)</f>
        <v/>
      </c>
      <c r="AH182" s="21">
        <f>100*(AH48-AH47)</f>
        <v/>
      </c>
      <c r="AI182" s="21">
        <f>100*(AI48-AI47)</f>
        <v/>
      </c>
      <c r="AJ182" s="21">
        <f>100*(AJ48-AJ47)</f>
        <v/>
      </c>
      <c r="AK182" s="21">
        <f>100*(AK48-AK47)</f>
        <v/>
      </c>
      <c r="AL182" s="21">
        <f>100*(AL48-AL47)</f>
        <v/>
      </c>
      <c r="AM182" s="21">
        <f>100*(AM48-AM47)</f>
        <v/>
      </c>
      <c r="AN182" s="21">
        <f>100*(AN48-AN47)</f>
        <v/>
      </c>
      <c r="AO182" s="21">
        <f>100*(AO48-AO47)</f>
        <v/>
      </c>
      <c r="AP182" s="21">
        <f>100*(AP48-AP47)</f>
        <v/>
      </c>
      <c r="AQ182" s="21">
        <f>100*(AQ48-AQ47)</f>
        <v/>
      </c>
      <c r="AR182" s="21">
        <f>100*(AR48-AR47)</f>
        <v/>
      </c>
      <c r="AS182" s="21">
        <f>100*(AS48-AS47)</f>
        <v/>
      </c>
      <c r="AT182" s="21">
        <f>100*(AT48-AT47)</f>
        <v/>
      </c>
      <c r="AU182" s="21">
        <f>100*(AU48-AU47)</f>
        <v/>
      </c>
      <c r="AV182" s="21">
        <f>AVERAGE(C182:AU182)</f>
        <v/>
      </c>
    </row>
    <row r="183">
      <c r="A183" s="19">
        <f>A49</f>
        <v/>
      </c>
      <c r="B183" s="20">
        <f>B49</f>
        <v/>
      </c>
      <c r="C183" s="21">
        <f>100*(C49-C48)</f>
        <v/>
      </c>
      <c r="D183" s="21">
        <f>100*(D49-D48)</f>
        <v/>
      </c>
      <c r="E183" s="21">
        <f>100*(E49-E48)</f>
        <v/>
      </c>
      <c r="F183" s="21">
        <f>100*(F49-F48)</f>
        <v/>
      </c>
      <c r="G183" s="21">
        <f>100*(G49-G48)</f>
        <v/>
      </c>
      <c r="H183" s="21">
        <f>100*(H49-H48)</f>
        <v/>
      </c>
      <c r="I183" s="21">
        <f>100*(I49-I48)</f>
        <v/>
      </c>
      <c r="J183" s="21">
        <f>100*(J49-J48)</f>
        <v/>
      </c>
      <c r="K183" s="21">
        <f>100*(K49-K48)</f>
        <v/>
      </c>
      <c r="L183" s="21">
        <f>100*(L49-L48)</f>
        <v/>
      </c>
      <c r="M183" s="21">
        <f>100*(M49-M48)</f>
        <v/>
      </c>
      <c r="N183" s="21">
        <f>100*(N49-N48)</f>
        <v/>
      </c>
      <c r="O183" s="21">
        <f>100*(O49-O48)</f>
        <v/>
      </c>
      <c r="P183" s="21">
        <f>100*(P49-P48)</f>
        <v/>
      </c>
      <c r="Q183" s="21">
        <f>100*(Q49-Q48)</f>
        <v/>
      </c>
      <c r="R183" s="21">
        <f>100*(R49-R48)</f>
        <v/>
      </c>
      <c r="S183" s="21">
        <f>100*(S49-S48)</f>
        <v/>
      </c>
      <c r="T183" s="21">
        <f>100*(T49-T48)</f>
        <v/>
      </c>
      <c r="U183" s="21">
        <f>100*(U49-U48)</f>
        <v/>
      </c>
      <c r="V183" s="21">
        <f>100*(V49-V48)</f>
        <v/>
      </c>
      <c r="W183" s="21">
        <f>100*(W49-W48)</f>
        <v/>
      </c>
      <c r="X183" s="21">
        <f>100*(X49-X48)</f>
        <v/>
      </c>
      <c r="Y183" s="21">
        <f>100*(Y49-Y48)</f>
        <v/>
      </c>
      <c r="Z183" s="21">
        <f>100*(Z49-Z48)</f>
        <v/>
      </c>
      <c r="AA183" s="21">
        <f>100*(AA49-AA48)</f>
        <v/>
      </c>
      <c r="AB183" s="21">
        <f>100*(AB49-AB48)</f>
        <v/>
      </c>
      <c r="AC183" s="21">
        <f>100*(AC49-AC48)</f>
        <v/>
      </c>
      <c r="AD183" s="21">
        <f>100*(AD49-AD48)</f>
        <v/>
      </c>
      <c r="AE183" s="21">
        <f>100*(AE49-AE48)</f>
        <v/>
      </c>
      <c r="AF183" s="21">
        <f>100*(AF49-AF48)</f>
        <v/>
      </c>
      <c r="AG183" s="21">
        <f>100*(AG49-AG48)</f>
        <v/>
      </c>
      <c r="AH183" s="21">
        <f>100*(AH49-AH48)</f>
        <v/>
      </c>
      <c r="AI183" s="21">
        <f>100*(AI49-AI48)</f>
        <v/>
      </c>
      <c r="AJ183" s="21">
        <f>100*(AJ49-AJ48)</f>
        <v/>
      </c>
      <c r="AK183" s="21">
        <f>100*(AK49-AK48)</f>
        <v/>
      </c>
      <c r="AL183" s="21">
        <f>100*(AL49-AL48)</f>
        <v/>
      </c>
      <c r="AM183" s="21">
        <f>100*(AM49-AM48)</f>
        <v/>
      </c>
      <c r="AN183" s="21">
        <f>100*(AN49-AN48)</f>
        <v/>
      </c>
      <c r="AO183" s="21">
        <f>100*(AO49-AO48)</f>
        <v/>
      </c>
      <c r="AP183" s="21">
        <f>100*(AP49-AP48)</f>
        <v/>
      </c>
      <c r="AQ183" s="21">
        <f>100*(AQ49-AQ48)</f>
        <v/>
      </c>
      <c r="AR183" s="21">
        <f>100*(AR49-AR48)</f>
        <v/>
      </c>
      <c r="AS183" s="21">
        <f>100*(AS49-AS48)</f>
        <v/>
      </c>
      <c r="AT183" s="21">
        <f>100*(AT49-AT48)</f>
        <v/>
      </c>
      <c r="AU183" s="21">
        <f>100*(AU49-AU48)</f>
        <v/>
      </c>
      <c r="AV183" s="21">
        <f>AVERAGE(C183:AU183)</f>
        <v/>
      </c>
    </row>
    <row r="184">
      <c r="A184" s="19">
        <f>A50</f>
        <v/>
      </c>
      <c r="B184" s="20">
        <f>B50</f>
        <v/>
      </c>
      <c r="C184" s="21">
        <f>100*(C50-C49)</f>
        <v/>
      </c>
      <c r="D184" s="21">
        <f>100*(D50-D49)</f>
        <v/>
      </c>
      <c r="E184" s="21">
        <f>100*(E50-E49)</f>
        <v/>
      </c>
      <c r="F184" s="21">
        <f>100*(F50-F49)</f>
        <v/>
      </c>
      <c r="G184" s="21">
        <f>100*(G50-G49)</f>
        <v/>
      </c>
      <c r="H184" s="21">
        <f>100*(H50-H49)</f>
        <v/>
      </c>
      <c r="I184" s="21">
        <f>100*(I50-I49)</f>
        <v/>
      </c>
      <c r="J184" s="21">
        <f>100*(J50-J49)</f>
        <v/>
      </c>
      <c r="K184" s="21">
        <f>100*(K50-K49)</f>
        <v/>
      </c>
      <c r="L184" s="21">
        <f>100*(L50-L49)</f>
        <v/>
      </c>
      <c r="M184" s="21">
        <f>100*(M50-M49)</f>
        <v/>
      </c>
      <c r="N184" s="21">
        <f>100*(N50-N49)</f>
        <v/>
      </c>
      <c r="O184" s="21">
        <f>100*(O50-O49)</f>
        <v/>
      </c>
      <c r="P184" s="21">
        <f>100*(P50-P49)</f>
        <v/>
      </c>
      <c r="Q184" s="21">
        <f>100*(Q50-Q49)</f>
        <v/>
      </c>
      <c r="R184" s="21">
        <f>100*(R50-R49)</f>
        <v/>
      </c>
      <c r="S184" s="21">
        <f>100*(S50-S49)</f>
        <v/>
      </c>
      <c r="T184" s="21">
        <f>100*(T50-T49)</f>
        <v/>
      </c>
      <c r="U184" s="21">
        <f>100*(U50-U49)</f>
        <v/>
      </c>
      <c r="V184" s="21">
        <f>100*(V50-V49)</f>
        <v/>
      </c>
      <c r="W184" s="21">
        <f>100*(W50-W49)</f>
        <v/>
      </c>
      <c r="X184" s="21">
        <f>100*(X50-X49)</f>
        <v/>
      </c>
      <c r="Y184" s="21">
        <f>100*(Y50-Y49)</f>
        <v/>
      </c>
      <c r="Z184" s="21">
        <f>100*(Z50-Z49)</f>
        <v/>
      </c>
      <c r="AA184" s="21">
        <f>100*(AA50-AA49)</f>
        <v/>
      </c>
      <c r="AB184" s="21">
        <f>100*(AB50-AB49)</f>
        <v/>
      </c>
      <c r="AC184" s="21">
        <f>100*(AC50-AC49)</f>
        <v/>
      </c>
      <c r="AD184" s="21">
        <f>100*(AD50-AD49)</f>
        <v/>
      </c>
      <c r="AE184" s="21">
        <f>100*(AE50-AE49)</f>
        <v/>
      </c>
      <c r="AF184" s="21">
        <f>100*(AF50-AF49)</f>
        <v/>
      </c>
      <c r="AG184" s="21">
        <f>100*(AG50-AG49)</f>
        <v/>
      </c>
      <c r="AH184" s="21">
        <f>100*(AH50-AH49)</f>
        <v/>
      </c>
      <c r="AI184" s="21">
        <f>100*(AI50-AI49)</f>
        <v/>
      </c>
      <c r="AJ184" s="21">
        <f>100*(AJ50-AJ49)</f>
        <v/>
      </c>
      <c r="AK184" s="21">
        <f>100*(AK50-AK49)</f>
        <v/>
      </c>
      <c r="AL184" s="21">
        <f>100*(AL50-AL49)</f>
        <v/>
      </c>
      <c r="AM184" s="21">
        <f>100*(AM50-AM49)</f>
        <v/>
      </c>
      <c r="AN184" s="21">
        <f>100*(AN50-AN49)</f>
        <v/>
      </c>
      <c r="AO184" s="21">
        <f>100*(AO50-AO49)</f>
        <v/>
      </c>
      <c r="AP184" s="21">
        <f>100*(AP50-AP49)</f>
        <v/>
      </c>
      <c r="AQ184" s="21">
        <f>100*(AQ50-AQ49)</f>
        <v/>
      </c>
      <c r="AR184" s="21">
        <f>100*(AR50-AR49)</f>
        <v/>
      </c>
      <c r="AS184" s="21">
        <f>100*(AS50-AS49)</f>
        <v/>
      </c>
      <c r="AT184" s="21">
        <f>100*(AT50-AT49)</f>
        <v/>
      </c>
      <c r="AU184" s="21">
        <f>100*(AU50-AU49)</f>
        <v/>
      </c>
      <c r="AV184" s="21">
        <f>AVERAGE(C184:AU184)</f>
        <v/>
      </c>
    </row>
    <row r="185">
      <c r="A185" s="19">
        <f>A51</f>
        <v/>
      </c>
      <c r="B185" s="20">
        <f>B51</f>
        <v/>
      </c>
      <c r="C185" s="21">
        <f>100*(C51-C50)</f>
        <v/>
      </c>
      <c r="D185" s="21">
        <f>100*(D51-D50)</f>
        <v/>
      </c>
      <c r="E185" s="21">
        <f>100*(E51-E50)</f>
        <v/>
      </c>
      <c r="F185" s="21">
        <f>100*(F51-F50)</f>
        <v/>
      </c>
      <c r="G185" s="21">
        <f>100*(G51-G50)</f>
        <v/>
      </c>
      <c r="H185" s="21">
        <f>100*(H51-H50)</f>
        <v/>
      </c>
      <c r="I185" s="21">
        <f>100*(I51-I50)</f>
        <v/>
      </c>
      <c r="J185" s="21">
        <f>100*(J51-J50)</f>
        <v/>
      </c>
      <c r="K185" s="21">
        <f>100*(K51-K50)</f>
        <v/>
      </c>
      <c r="L185" s="21">
        <f>100*(L51-L50)</f>
        <v/>
      </c>
      <c r="M185" s="21">
        <f>100*(M51-M50)</f>
        <v/>
      </c>
      <c r="N185" s="21">
        <f>100*(N51-N50)</f>
        <v/>
      </c>
      <c r="O185" s="21">
        <f>100*(O51-O50)</f>
        <v/>
      </c>
      <c r="P185" s="21">
        <f>100*(P51-P50)</f>
        <v/>
      </c>
      <c r="Q185" s="21">
        <f>100*(Q51-Q50)</f>
        <v/>
      </c>
      <c r="R185" s="21">
        <f>100*(R51-R50)</f>
        <v/>
      </c>
      <c r="S185" s="21">
        <f>100*(S51-S50)</f>
        <v/>
      </c>
      <c r="T185" s="21">
        <f>100*(T51-T50)</f>
        <v/>
      </c>
      <c r="U185" s="21">
        <f>100*(U51-U50)</f>
        <v/>
      </c>
      <c r="V185" s="21">
        <f>100*(V51-V50)</f>
        <v/>
      </c>
      <c r="W185" s="21">
        <f>100*(W51-W50)</f>
        <v/>
      </c>
      <c r="X185" s="21">
        <f>100*(X51-X50)</f>
        <v/>
      </c>
      <c r="Y185" s="21">
        <f>100*(Y51-Y50)</f>
        <v/>
      </c>
      <c r="Z185" s="21">
        <f>100*(Z51-Z50)</f>
        <v/>
      </c>
      <c r="AA185" s="21">
        <f>100*(AA51-AA50)</f>
        <v/>
      </c>
      <c r="AB185" s="21">
        <f>100*(AB51-AB50)</f>
        <v/>
      </c>
      <c r="AC185" s="21">
        <f>100*(AC51-AC50)</f>
        <v/>
      </c>
      <c r="AD185" s="21">
        <f>100*(AD51-AD50)</f>
        <v/>
      </c>
      <c r="AE185" s="21">
        <f>100*(AE51-AE50)</f>
        <v/>
      </c>
      <c r="AF185" s="21">
        <f>100*(AF51-AF50)</f>
        <v/>
      </c>
      <c r="AG185" s="21">
        <f>100*(AG51-AG50)</f>
        <v/>
      </c>
      <c r="AH185" s="21">
        <f>100*(AH51-AH50)</f>
        <v/>
      </c>
      <c r="AI185" s="21">
        <f>100*(AI51-AI50)</f>
        <v/>
      </c>
      <c r="AJ185" s="21">
        <f>100*(AJ51-AJ50)</f>
        <v/>
      </c>
      <c r="AK185" s="21">
        <f>100*(AK51-AK50)</f>
        <v/>
      </c>
      <c r="AL185" s="21">
        <f>100*(AL51-AL50)</f>
        <v/>
      </c>
      <c r="AM185" s="21">
        <f>100*(AM51-AM50)</f>
        <v/>
      </c>
      <c r="AN185" s="21">
        <f>100*(AN51-AN50)</f>
        <v/>
      </c>
      <c r="AO185" s="21">
        <f>100*(AO51-AO50)</f>
        <v/>
      </c>
      <c r="AP185" s="21">
        <f>100*(AP51-AP50)</f>
        <v/>
      </c>
      <c r="AQ185" s="21">
        <f>100*(AQ51-AQ50)</f>
        <v/>
      </c>
      <c r="AR185" s="21">
        <f>100*(AR51-AR50)</f>
        <v/>
      </c>
      <c r="AS185" s="21">
        <f>100*(AS51-AS50)</f>
        <v/>
      </c>
      <c r="AT185" s="21">
        <f>100*(AT51-AT50)</f>
        <v/>
      </c>
      <c r="AU185" s="21">
        <f>100*(AU51-AU50)</f>
        <v/>
      </c>
      <c r="AV185" s="21">
        <f>AVERAGE(C185:AU185)</f>
        <v/>
      </c>
    </row>
    <row r="186">
      <c r="A186" s="19">
        <f>A52</f>
        <v/>
      </c>
      <c r="B186" s="20">
        <f>B52</f>
        <v/>
      </c>
      <c r="C186" s="21">
        <f>100*(C52-C51)</f>
        <v/>
      </c>
      <c r="D186" s="21">
        <f>100*(D52-D51)</f>
        <v/>
      </c>
      <c r="E186" s="21">
        <f>100*(E52-E51)</f>
        <v/>
      </c>
      <c r="F186" s="21">
        <f>100*(F52-F51)</f>
        <v/>
      </c>
      <c r="G186" s="21">
        <f>100*(G52-G51)</f>
        <v/>
      </c>
      <c r="H186" s="21">
        <f>100*(H52-H51)</f>
        <v/>
      </c>
      <c r="I186" s="21">
        <f>100*(I52-I51)</f>
        <v/>
      </c>
      <c r="J186" s="21">
        <f>100*(J52-J51)</f>
        <v/>
      </c>
      <c r="K186" s="21">
        <f>100*(K52-K51)</f>
        <v/>
      </c>
      <c r="L186" s="21">
        <f>100*(L52-L51)</f>
        <v/>
      </c>
      <c r="M186" s="21">
        <f>100*(M52-M51)</f>
        <v/>
      </c>
      <c r="N186" s="21">
        <f>100*(N52-N51)</f>
        <v/>
      </c>
      <c r="O186" s="21">
        <f>100*(O52-O51)</f>
        <v/>
      </c>
      <c r="P186" s="21">
        <f>100*(P52-P51)</f>
        <v/>
      </c>
      <c r="Q186" s="21">
        <f>100*(Q52-Q51)</f>
        <v/>
      </c>
      <c r="R186" s="21">
        <f>100*(R52-R51)</f>
        <v/>
      </c>
      <c r="S186" s="21">
        <f>100*(S52-S51)</f>
        <v/>
      </c>
      <c r="T186" s="21">
        <f>100*(T52-T51)</f>
        <v/>
      </c>
      <c r="U186" s="21">
        <f>100*(U52-U51)</f>
        <v/>
      </c>
      <c r="V186" s="21">
        <f>100*(V52-V51)</f>
        <v/>
      </c>
      <c r="W186" s="21">
        <f>100*(W52-W51)</f>
        <v/>
      </c>
      <c r="X186" s="21">
        <f>100*(X52-X51)</f>
        <v/>
      </c>
      <c r="Y186" s="21">
        <f>100*(Y52-Y51)</f>
        <v/>
      </c>
      <c r="Z186" s="21">
        <f>100*(Z52-Z51)</f>
        <v/>
      </c>
      <c r="AA186" s="21">
        <f>100*(AA52-AA51)</f>
        <v/>
      </c>
      <c r="AB186" s="21">
        <f>100*(AB52-AB51)</f>
        <v/>
      </c>
      <c r="AC186" s="21">
        <f>100*(AC52-AC51)</f>
        <v/>
      </c>
      <c r="AD186" s="21">
        <f>100*(AD52-AD51)</f>
        <v/>
      </c>
      <c r="AE186" s="21">
        <f>100*(AE52-AE51)</f>
        <v/>
      </c>
      <c r="AF186" s="21">
        <f>100*(AF52-AF51)</f>
        <v/>
      </c>
      <c r="AG186" s="21">
        <f>100*(AG52-AG51)</f>
        <v/>
      </c>
      <c r="AH186" s="21">
        <f>100*(AH52-AH51)</f>
        <v/>
      </c>
      <c r="AI186" s="21">
        <f>100*(AI52-AI51)</f>
        <v/>
      </c>
      <c r="AJ186" s="21">
        <f>100*(AJ52-AJ51)</f>
        <v/>
      </c>
      <c r="AK186" s="21">
        <f>100*(AK52-AK51)</f>
        <v/>
      </c>
      <c r="AL186" s="21">
        <f>100*(AL52-AL51)</f>
        <v/>
      </c>
      <c r="AM186" s="21">
        <f>100*(AM52-AM51)</f>
        <v/>
      </c>
      <c r="AN186" s="21">
        <f>100*(AN52-AN51)</f>
        <v/>
      </c>
      <c r="AO186" s="21">
        <f>100*(AO52-AO51)</f>
        <v/>
      </c>
      <c r="AP186" s="21">
        <f>100*(AP52-AP51)</f>
        <v/>
      </c>
      <c r="AQ186" s="21">
        <f>100*(AQ52-AQ51)</f>
        <v/>
      </c>
      <c r="AR186" s="21">
        <f>100*(AR52-AR51)</f>
        <v/>
      </c>
      <c r="AS186" s="21">
        <f>100*(AS52-AS51)</f>
        <v/>
      </c>
      <c r="AT186" s="21">
        <f>100*(AT52-AT51)</f>
        <v/>
      </c>
      <c r="AU186" s="21">
        <f>100*(AU52-AU51)</f>
        <v/>
      </c>
      <c r="AV186" s="21">
        <f>AVERAGE(C186:AU186)</f>
        <v/>
      </c>
    </row>
    <row r="187">
      <c r="A187" s="19">
        <f>A53</f>
        <v/>
      </c>
      <c r="B187" s="20">
        <f>B53</f>
        <v/>
      </c>
      <c r="C187" s="21">
        <f>100*(C53-C52)</f>
        <v/>
      </c>
      <c r="D187" s="21">
        <f>100*(D53-D52)</f>
        <v/>
      </c>
      <c r="E187" s="21">
        <f>100*(E53-E52)</f>
        <v/>
      </c>
      <c r="F187" s="21">
        <f>100*(F53-F52)</f>
        <v/>
      </c>
      <c r="G187" s="21">
        <f>100*(G53-G52)</f>
        <v/>
      </c>
      <c r="H187" s="21">
        <f>100*(H53-H52)</f>
        <v/>
      </c>
      <c r="I187" s="21">
        <f>100*(I53-I52)</f>
        <v/>
      </c>
      <c r="J187" s="21">
        <f>100*(J53-J52)</f>
        <v/>
      </c>
      <c r="K187" s="21">
        <f>100*(K53-K52)</f>
        <v/>
      </c>
      <c r="L187" s="21">
        <f>100*(L53-L52)</f>
        <v/>
      </c>
      <c r="M187" s="21">
        <f>100*(M53-M52)</f>
        <v/>
      </c>
      <c r="N187" s="21">
        <f>100*(N53-N52)</f>
        <v/>
      </c>
      <c r="O187" s="21">
        <f>100*(O53-O52)</f>
        <v/>
      </c>
      <c r="P187" s="21">
        <f>100*(P53-P52)</f>
        <v/>
      </c>
      <c r="Q187" s="21">
        <f>100*(Q53-Q52)</f>
        <v/>
      </c>
      <c r="R187" s="21">
        <f>100*(R53-R52)</f>
        <v/>
      </c>
      <c r="S187" s="21">
        <f>100*(S53-S52)</f>
        <v/>
      </c>
      <c r="T187" s="21">
        <f>100*(T53-T52)</f>
        <v/>
      </c>
      <c r="U187" s="21">
        <f>100*(U53-U52)</f>
        <v/>
      </c>
      <c r="V187" s="21">
        <f>100*(V53-V52)</f>
        <v/>
      </c>
      <c r="W187" s="21">
        <f>100*(W53-W52)</f>
        <v/>
      </c>
      <c r="X187" s="21">
        <f>100*(X53-X52)</f>
        <v/>
      </c>
      <c r="Y187" s="21">
        <f>100*(Y53-Y52)</f>
        <v/>
      </c>
      <c r="Z187" s="21">
        <f>100*(Z53-Z52)</f>
        <v/>
      </c>
      <c r="AA187" s="21">
        <f>100*(AA53-AA52)</f>
        <v/>
      </c>
      <c r="AB187" s="21">
        <f>100*(AB53-AB52)</f>
        <v/>
      </c>
      <c r="AC187" s="21">
        <f>100*(AC53-AC52)</f>
        <v/>
      </c>
      <c r="AD187" s="21">
        <f>100*(AD53-AD52)</f>
        <v/>
      </c>
      <c r="AE187" s="21">
        <f>100*(AE53-AE52)</f>
        <v/>
      </c>
      <c r="AF187" s="21">
        <f>100*(AF53-AF52)</f>
        <v/>
      </c>
      <c r="AG187" s="21">
        <f>100*(AG53-AG52)</f>
        <v/>
      </c>
      <c r="AH187" s="21">
        <f>100*(AH53-AH52)</f>
        <v/>
      </c>
      <c r="AI187" s="21">
        <f>100*(AI53-AI52)</f>
        <v/>
      </c>
      <c r="AJ187" s="21">
        <f>100*(AJ53-AJ52)</f>
        <v/>
      </c>
      <c r="AK187" s="21">
        <f>100*(AK53-AK52)</f>
        <v/>
      </c>
      <c r="AL187" s="21">
        <f>100*(AL53-AL52)</f>
        <v/>
      </c>
      <c r="AM187" s="21">
        <f>100*(AM53-AM52)</f>
        <v/>
      </c>
      <c r="AN187" s="21">
        <f>100*(AN53-AN52)</f>
        <v/>
      </c>
      <c r="AO187" s="21">
        <f>100*(AO53-AO52)</f>
        <v/>
      </c>
      <c r="AP187" s="21">
        <f>100*(AP53-AP52)</f>
        <v/>
      </c>
      <c r="AQ187" s="21">
        <f>100*(AQ53-AQ52)</f>
        <v/>
      </c>
      <c r="AR187" s="21">
        <f>100*(AR53-AR52)</f>
        <v/>
      </c>
      <c r="AS187" s="21">
        <f>100*(AS53-AS52)</f>
        <v/>
      </c>
      <c r="AT187" s="21">
        <f>100*(AT53-AT52)</f>
        <v/>
      </c>
      <c r="AU187" s="21">
        <f>100*(AU53-AU52)</f>
        <v/>
      </c>
      <c r="AV187" s="21">
        <f>AVERAGE(C187:AU187)</f>
        <v/>
      </c>
    </row>
    <row r="188">
      <c r="A188" s="19">
        <f>A54</f>
        <v/>
      </c>
      <c r="B188" s="20">
        <f>B54</f>
        <v/>
      </c>
      <c r="C188" s="21">
        <f>100*(C54-C53)</f>
        <v/>
      </c>
      <c r="D188" s="21">
        <f>100*(D54-D53)</f>
        <v/>
      </c>
      <c r="E188" s="21">
        <f>100*(E54-E53)</f>
        <v/>
      </c>
      <c r="F188" s="21">
        <f>100*(F54-F53)</f>
        <v/>
      </c>
      <c r="G188" s="21">
        <f>100*(G54-G53)</f>
        <v/>
      </c>
      <c r="H188" s="21">
        <f>100*(H54-H53)</f>
        <v/>
      </c>
      <c r="I188" s="21">
        <f>100*(I54-I53)</f>
        <v/>
      </c>
      <c r="J188" s="21">
        <f>100*(J54-J53)</f>
        <v/>
      </c>
      <c r="K188" s="21">
        <f>100*(K54-K53)</f>
        <v/>
      </c>
      <c r="L188" s="21">
        <f>100*(L54-L53)</f>
        <v/>
      </c>
      <c r="M188" s="21">
        <f>100*(M54-M53)</f>
        <v/>
      </c>
      <c r="N188" s="21">
        <f>100*(N54-N53)</f>
        <v/>
      </c>
      <c r="O188" s="21">
        <f>100*(O54-O53)</f>
        <v/>
      </c>
      <c r="P188" s="21">
        <f>100*(P54-P53)</f>
        <v/>
      </c>
      <c r="Q188" s="21">
        <f>100*(Q54-Q53)</f>
        <v/>
      </c>
      <c r="R188" s="21">
        <f>100*(R54-R53)</f>
        <v/>
      </c>
      <c r="S188" s="21">
        <f>100*(S54-S53)</f>
        <v/>
      </c>
      <c r="T188" s="21">
        <f>100*(T54-T53)</f>
        <v/>
      </c>
      <c r="U188" s="21">
        <f>100*(U54-U53)</f>
        <v/>
      </c>
      <c r="V188" s="21">
        <f>100*(V54-V53)</f>
        <v/>
      </c>
      <c r="W188" s="21">
        <f>100*(W54-W53)</f>
        <v/>
      </c>
      <c r="X188" s="21">
        <f>100*(X54-X53)</f>
        <v/>
      </c>
      <c r="Y188" s="21">
        <f>100*(Y54-Y53)</f>
        <v/>
      </c>
      <c r="Z188" s="21">
        <f>100*(Z54-Z53)</f>
        <v/>
      </c>
      <c r="AA188" s="21">
        <f>100*(AA54-AA53)</f>
        <v/>
      </c>
      <c r="AB188" s="21">
        <f>100*(AB54-AB53)</f>
        <v/>
      </c>
      <c r="AC188" s="21">
        <f>100*(AC54-AC53)</f>
        <v/>
      </c>
      <c r="AD188" s="21">
        <f>100*(AD54-AD53)</f>
        <v/>
      </c>
      <c r="AE188" s="21">
        <f>100*(AE54-AE53)</f>
        <v/>
      </c>
      <c r="AF188" s="21">
        <f>100*(AF54-AF53)</f>
        <v/>
      </c>
      <c r="AG188" s="21">
        <f>100*(AG54-AG53)</f>
        <v/>
      </c>
      <c r="AH188" s="21">
        <f>100*(AH54-AH53)</f>
        <v/>
      </c>
      <c r="AI188" s="21">
        <f>100*(AI54-AI53)</f>
        <v/>
      </c>
      <c r="AJ188" s="21">
        <f>100*(AJ54-AJ53)</f>
        <v/>
      </c>
      <c r="AK188" s="21">
        <f>100*(AK54-AK53)</f>
        <v/>
      </c>
      <c r="AL188" s="21">
        <f>100*(AL54-AL53)</f>
        <v/>
      </c>
      <c r="AM188" s="21">
        <f>100*(AM54-AM53)</f>
        <v/>
      </c>
      <c r="AN188" s="21">
        <f>100*(AN54-AN53)</f>
        <v/>
      </c>
      <c r="AO188" s="21">
        <f>100*(AO54-AO53)</f>
        <v/>
      </c>
      <c r="AP188" s="21">
        <f>100*(AP54-AP53)</f>
        <v/>
      </c>
      <c r="AQ188" s="21">
        <f>100*(AQ54-AQ53)</f>
        <v/>
      </c>
      <c r="AR188" s="21">
        <f>100*(AR54-AR53)</f>
        <v/>
      </c>
      <c r="AS188" s="21">
        <f>100*(AS54-AS53)</f>
        <v/>
      </c>
      <c r="AT188" s="21">
        <f>100*(AT54-AT53)</f>
        <v/>
      </c>
      <c r="AU188" s="21">
        <f>100*(AU54-AU53)</f>
        <v/>
      </c>
      <c r="AV188" s="21">
        <f>AVERAGE(C188:AU188)</f>
        <v/>
      </c>
    </row>
    <row r="189">
      <c r="A189" s="19">
        <f>A55</f>
        <v/>
      </c>
      <c r="B189" s="20">
        <f>B55</f>
        <v/>
      </c>
      <c r="C189" s="21">
        <f>100*(C55-C54)</f>
        <v/>
      </c>
      <c r="D189" s="21">
        <f>100*(D55-D54)</f>
        <v/>
      </c>
      <c r="E189" s="21">
        <f>100*(E55-E54)</f>
        <v/>
      </c>
      <c r="F189" s="21">
        <f>100*(F55-F54)</f>
        <v/>
      </c>
      <c r="G189" s="21">
        <f>100*(G55-G54)</f>
        <v/>
      </c>
      <c r="H189" s="21">
        <f>100*(H55-H54)</f>
        <v/>
      </c>
      <c r="I189" s="21">
        <f>100*(I55-I54)</f>
        <v/>
      </c>
      <c r="J189" s="21">
        <f>100*(J55-J54)</f>
        <v/>
      </c>
      <c r="K189" s="21">
        <f>100*(K55-K54)</f>
        <v/>
      </c>
      <c r="L189" s="21">
        <f>100*(L55-L54)</f>
        <v/>
      </c>
      <c r="M189" s="21">
        <f>100*(M55-M54)</f>
        <v/>
      </c>
      <c r="N189" s="21">
        <f>100*(N55-N54)</f>
        <v/>
      </c>
      <c r="O189" s="21">
        <f>100*(O55-O54)</f>
        <v/>
      </c>
      <c r="P189" s="21">
        <f>100*(P55-P54)</f>
        <v/>
      </c>
      <c r="Q189" s="21">
        <f>100*(Q55-Q54)</f>
        <v/>
      </c>
      <c r="R189" s="21">
        <f>100*(R55-R54)</f>
        <v/>
      </c>
      <c r="S189" s="21">
        <f>100*(S55-S54)</f>
        <v/>
      </c>
      <c r="T189" s="21">
        <f>100*(T55-T54)</f>
        <v/>
      </c>
      <c r="U189" s="21">
        <f>100*(U55-U54)</f>
        <v/>
      </c>
      <c r="V189" s="21">
        <f>100*(V55-V54)</f>
        <v/>
      </c>
      <c r="W189" s="21">
        <f>100*(W55-W54)</f>
        <v/>
      </c>
      <c r="X189" s="21">
        <f>100*(X55-X54)</f>
        <v/>
      </c>
      <c r="Y189" s="21">
        <f>100*(Y55-Y54)</f>
        <v/>
      </c>
      <c r="Z189" s="21">
        <f>100*(Z55-Z54)</f>
        <v/>
      </c>
      <c r="AA189" s="21">
        <f>100*(AA55-AA54)</f>
        <v/>
      </c>
      <c r="AB189" s="21">
        <f>100*(AB55-AB54)</f>
        <v/>
      </c>
      <c r="AC189" s="21">
        <f>100*(AC55-AC54)</f>
        <v/>
      </c>
      <c r="AD189" s="21">
        <f>100*(AD55-AD54)</f>
        <v/>
      </c>
      <c r="AE189" s="21">
        <f>100*(AE55-AE54)</f>
        <v/>
      </c>
      <c r="AF189" s="21">
        <f>100*(AF55-AF54)</f>
        <v/>
      </c>
      <c r="AG189" s="21">
        <f>100*(AG55-AG54)</f>
        <v/>
      </c>
      <c r="AH189" s="21">
        <f>100*(AH55-AH54)</f>
        <v/>
      </c>
      <c r="AI189" s="21">
        <f>100*(AI55-AI54)</f>
        <v/>
      </c>
      <c r="AJ189" s="21">
        <f>100*(AJ55-AJ54)</f>
        <v/>
      </c>
      <c r="AK189" s="21">
        <f>100*(AK55-AK54)</f>
        <v/>
      </c>
      <c r="AL189" s="21">
        <f>100*(AL55-AL54)</f>
        <v/>
      </c>
      <c r="AM189" s="21">
        <f>100*(AM55-AM54)</f>
        <v/>
      </c>
      <c r="AN189" s="21">
        <f>100*(AN55-AN54)</f>
        <v/>
      </c>
      <c r="AO189" s="21">
        <f>100*(AO55-AO54)</f>
        <v/>
      </c>
      <c r="AP189" s="21">
        <f>100*(AP55-AP54)</f>
        <v/>
      </c>
      <c r="AQ189" s="21">
        <f>100*(AQ55-AQ54)</f>
        <v/>
      </c>
      <c r="AR189" s="21">
        <f>100*(AR55-AR54)</f>
        <v/>
      </c>
      <c r="AS189" s="21">
        <f>100*(AS55-AS54)</f>
        <v/>
      </c>
      <c r="AT189" s="21">
        <f>100*(AT55-AT54)</f>
        <v/>
      </c>
      <c r="AU189" s="21">
        <f>100*(AU55-AU54)</f>
        <v/>
      </c>
      <c r="AV189" s="21">
        <f>AVERAGE(C189:AU189)</f>
        <v/>
      </c>
    </row>
    <row r="190">
      <c r="A190" s="19">
        <f>A56</f>
        <v/>
      </c>
      <c r="B190" s="20">
        <f>B56</f>
        <v/>
      </c>
      <c r="C190" s="21">
        <f>100*(C56-C55)</f>
        <v/>
      </c>
      <c r="D190" s="21">
        <f>100*(D56-D55)</f>
        <v/>
      </c>
      <c r="E190" s="21">
        <f>100*(E56-E55)</f>
        <v/>
      </c>
      <c r="F190" s="21">
        <f>100*(F56-F55)</f>
        <v/>
      </c>
      <c r="G190" s="21">
        <f>100*(G56-G55)</f>
        <v/>
      </c>
      <c r="H190" s="21">
        <f>100*(H56-H55)</f>
        <v/>
      </c>
      <c r="I190" s="21">
        <f>100*(I56-I55)</f>
        <v/>
      </c>
      <c r="J190" s="21">
        <f>100*(J56-J55)</f>
        <v/>
      </c>
      <c r="K190" s="21">
        <f>100*(K56-K55)</f>
        <v/>
      </c>
      <c r="L190" s="21">
        <f>100*(L56-L55)</f>
        <v/>
      </c>
      <c r="M190" s="21">
        <f>100*(M56-M55)</f>
        <v/>
      </c>
      <c r="N190" s="21">
        <f>100*(N56-N55)</f>
        <v/>
      </c>
      <c r="O190" s="21">
        <f>100*(O56-O55)</f>
        <v/>
      </c>
      <c r="P190" s="21">
        <f>100*(P56-P55)</f>
        <v/>
      </c>
      <c r="Q190" s="21">
        <f>100*(Q56-Q55)</f>
        <v/>
      </c>
      <c r="R190" s="21">
        <f>100*(R56-R55)</f>
        <v/>
      </c>
      <c r="S190" s="21">
        <f>100*(S56-S55)</f>
        <v/>
      </c>
      <c r="T190" s="21">
        <f>100*(T56-T55)</f>
        <v/>
      </c>
      <c r="U190" s="21">
        <f>100*(U56-U55)</f>
        <v/>
      </c>
      <c r="V190" s="21">
        <f>100*(V56-V55)</f>
        <v/>
      </c>
      <c r="W190" s="21">
        <f>100*(W56-W55)</f>
        <v/>
      </c>
      <c r="X190" s="21">
        <f>100*(X56-X55)</f>
        <v/>
      </c>
      <c r="Y190" s="21">
        <f>100*(Y56-Y55)</f>
        <v/>
      </c>
      <c r="Z190" s="21">
        <f>100*(Z56-Z55)</f>
        <v/>
      </c>
      <c r="AA190" s="21">
        <f>100*(AA56-AA55)</f>
        <v/>
      </c>
      <c r="AB190" s="21">
        <f>100*(AB56-AB55)</f>
        <v/>
      </c>
      <c r="AC190" s="21">
        <f>100*(AC56-AC55)</f>
        <v/>
      </c>
      <c r="AD190" s="21">
        <f>100*(AD56-AD55)</f>
        <v/>
      </c>
      <c r="AE190" s="21">
        <f>100*(AE56-AE55)</f>
        <v/>
      </c>
      <c r="AF190" s="21">
        <f>100*(AF56-AF55)</f>
        <v/>
      </c>
      <c r="AG190" s="21">
        <f>100*(AG56-AG55)</f>
        <v/>
      </c>
      <c r="AH190" s="21">
        <f>100*(AH56-AH55)</f>
        <v/>
      </c>
      <c r="AI190" s="21">
        <f>100*(AI56-AI55)</f>
        <v/>
      </c>
      <c r="AJ190" s="21">
        <f>100*(AJ56-AJ55)</f>
        <v/>
      </c>
      <c r="AK190" s="21">
        <f>100*(AK56-AK55)</f>
        <v/>
      </c>
      <c r="AL190" s="21">
        <f>100*(AL56-AL55)</f>
        <v/>
      </c>
      <c r="AM190" s="21">
        <f>100*(AM56-AM55)</f>
        <v/>
      </c>
      <c r="AN190" s="21">
        <f>100*(AN56-AN55)</f>
        <v/>
      </c>
      <c r="AO190" s="21">
        <f>100*(AO56-AO55)</f>
        <v/>
      </c>
      <c r="AP190" s="21">
        <f>100*(AP56-AP55)</f>
        <v/>
      </c>
      <c r="AQ190" s="21">
        <f>100*(AQ56-AQ55)</f>
        <v/>
      </c>
      <c r="AR190" s="21">
        <f>100*(AR56-AR55)</f>
        <v/>
      </c>
      <c r="AS190" s="21">
        <f>100*(AS56-AS55)</f>
        <v/>
      </c>
      <c r="AT190" s="21">
        <f>100*(AT56-AT55)</f>
        <v/>
      </c>
      <c r="AU190" s="21">
        <f>100*(AU56-AU55)</f>
        <v/>
      </c>
      <c r="AV190" s="21">
        <f>AVERAGE(C190:AU190)</f>
        <v/>
      </c>
    </row>
    <row r="191">
      <c r="A191" s="19">
        <f>A57</f>
        <v/>
      </c>
      <c r="B191" s="20">
        <f>B57</f>
        <v/>
      </c>
      <c r="C191" s="21">
        <f>100*(C57-C56)</f>
        <v/>
      </c>
      <c r="D191" s="21">
        <f>100*(D57-D56)</f>
        <v/>
      </c>
      <c r="E191" s="21">
        <f>100*(E57-E56)</f>
        <v/>
      </c>
      <c r="F191" s="21">
        <f>100*(F57-F56)</f>
        <v/>
      </c>
      <c r="G191" s="21">
        <f>100*(G57-G56)</f>
        <v/>
      </c>
      <c r="H191" s="21">
        <f>100*(H57-H56)</f>
        <v/>
      </c>
      <c r="I191" s="21">
        <f>100*(I57-I56)</f>
        <v/>
      </c>
      <c r="J191" s="21">
        <f>100*(J57-J56)</f>
        <v/>
      </c>
      <c r="K191" s="21">
        <f>100*(K57-K56)</f>
        <v/>
      </c>
      <c r="L191" s="21">
        <f>100*(L57-L56)</f>
        <v/>
      </c>
      <c r="M191" s="21">
        <f>100*(M57-M56)</f>
        <v/>
      </c>
      <c r="N191" s="21">
        <f>100*(N57-N56)</f>
        <v/>
      </c>
      <c r="O191" s="21">
        <f>100*(O57-O56)</f>
        <v/>
      </c>
      <c r="P191" s="21">
        <f>100*(P57-P56)</f>
        <v/>
      </c>
      <c r="Q191" s="21">
        <f>100*(Q57-Q56)</f>
        <v/>
      </c>
      <c r="R191" s="21">
        <f>100*(R57-R56)</f>
        <v/>
      </c>
      <c r="S191" s="21">
        <f>100*(S57-S56)</f>
        <v/>
      </c>
      <c r="T191" s="21">
        <f>100*(T57-T56)</f>
        <v/>
      </c>
      <c r="U191" s="21">
        <f>100*(U57-U56)</f>
        <v/>
      </c>
      <c r="V191" s="21">
        <f>100*(V57-V56)</f>
        <v/>
      </c>
      <c r="W191" s="21">
        <f>100*(W57-W56)</f>
        <v/>
      </c>
      <c r="X191" s="21">
        <f>100*(X57-X56)</f>
        <v/>
      </c>
      <c r="Y191" s="21">
        <f>100*(Y57-Y56)</f>
        <v/>
      </c>
      <c r="Z191" s="21">
        <f>100*(Z57-Z56)</f>
        <v/>
      </c>
      <c r="AA191" s="21">
        <f>100*(AA57-AA56)</f>
        <v/>
      </c>
      <c r="AB191" s="21">
        <f>100*(AB57-AB56)</f>
        <v/>
      </c>
      <c r="AC191" s="21">
        <f>100*(AC57-AC56)</f>
        <v/>
      </c>
      <c r="AD191" s="21">
        <f>100*(AD57-AD56)</f>
        <v/>
      </c>
      <c r="AE191" s="21">
        <f>100*(AE57-AE56)</f>
        <v/>
      </c>
      <c r="AF191" s="21">
        <f>100*(AF57-AF56)</f>
        <v/>
      </c>
      <c r="AG191" s="21">
        <f>100*(AG57-AG56)</f>
        <v/>
      </c>
      <c r="AH191" s="21">
        <f>100*(AH57-AH56)</f>
        <v/>
      </c>
      <c r="AI191" s="21">
        <f>100*(AI57-AI56)</f>
        <v/>
      </c>
      <c r="AJ191" s="21">
        <f>100*(AJ57-AJ56)</f>
        <v/>
      </c>
      <c r="AK191" s="21">
        <f>100*(AK57-AK56)</f>
        <v/>
      </c>
      <c r="AL191" s="21">
        <f>100*(AL57-AL56)</f>
        <v/>
      </c>
      <c r="AM191" s="21">
        <f>100*(AM57-AM56)</f>
        <v/>
      </c>
      <c r="AN191" s="21">
        <f>100*(AN57-AN56)</f>
        <v/>
      </c>
      <c r="AO191" s="21">
        <f>100*(AO57-AO56)</f>
        <v/>
      </c>
      <c r="AP191" s="21">
        <f>100*(AP57-AP56)</f>
        <v/>
      </c>
      <c r="AQ191" s="21">
        <f>100*(AQ57-AQ56)</f>
        <v/>
      </c>
      <c r="AR191" s="21">
        <f>100*(AR57-AR56)</f>
        <v/>
      </c>
      <c r="AS191" s="21">
        <f>100*(AS57-AS56)</f>
        <v/>
      </c>
      <c r="AT191" s="21">
        <f>100*(AT57-AT56)</f>
        <v/>
      </c>
      <c r="AU191" s="21">
        <f>100*(AU57-AU56)</f>
        <v/>
      </c>
      <c r="AV191" s="21">
        <f>AVERAGE(C191:AU191)</f>
        <v/>
      </c>
    </row>
    <row r="192">
      <c r="A192" s="19">
        <f>A58</f>
        <v/>
      </c>
      <c r="B192" s="20">
        <f>B58</f>
        <v/>
      </c>
      <c r="C192" s="21">
        <f>100*(C58-C57)</f>
        <v/>
      </c>
      <c r="D192" s="21">
        <f>100*(D58-D57)</f>
        <v/>
      </c>
      <c r="E192" s="21">
        <f>100*(E58-E57)</f>
        <v/>
      </c>
      <c r="F192" s="21">
        <f>100*(F58-F57)</f>
        <v/>
      </c>
      <c r="G192" s="21">
        <f>100*(G58-G57)</f>
        <v/>
      </c>
      <c r="H192" s="21">
        <f>100*(H58-H57)</f>
        <v/>
      </c>
      <c r="I192" s="21">
        <f>100*(I58-I57)</f>
        <v/>
      </c>
      <c r="J192" s="21">
        <f>100*(J58-J57)</f>
        <v/>
      </c>
      <c r="K192" s="21">
        <f>100*(K58-K57)</f>
        <v/>
      </c>
      <c r="L192" s="21">
        <f>100*(L58-L57)</f>
        <v/>
      </c>
      <c r="M192" s="21">
        <f>100*(M58-M57)</f>
        <v/>
      </c>
      <c r="N192" s="21">
        <f>100*(N58-N57)</f>
        <v/>
      </c>
      <c r="O192" s="21">
        <f>100*(O58-O57)</f>
        <v/>
      </c>
      <c r="P192" s="21">
        <f>100*(P58-P57)</f>
        <v/>
      </c>
      <c r="Q192" s="21">
        <f>100*(Q58-Q57)</f>
        <v/>
      </c>
      <c r="R192" s="21">
        <f>100*(R58-R57)</f>
        <v/>
      </c>
      <c r="S192" s="21">
        <f>100*(S58-S57)</f>
        <v/>
      </c>
      <c r="T192" s="21">
        <f>100*(T58-T57)</f>
        <v/>
      </c>
      <c r="U192" s="21">
        <f>100*(U58-U57)</f>
        <v/>
      </c>
      <c r="V192" s="21">
        <f>100*(V58-V57)</f>
        <v/>
      </c>
      <c r="W192" s="21">
        <f>100*(W58-W57)</f>
        <v/>
      </c>
      <c r="X192" s="21">
        <f>100*(X58-X57)</f>
        <v/>
      </c>
      <c r="Y192" s="21">
        <f>100*(Y58-Y57)</f>
        <v/>
      </c>
      <c r="Z192" s="21">
        <f>100*(Z58-Z57)</f>
        <v/>
      </c>
      <c r="AA192" s="21">
        <f>100*(AA58-AA57)</f>
        <v/>
      </c>
      <c r="AB192" s="21">
        <f>100*(AB58-AB57)</f>
        <v/>
      </c>
      <c r="AC192" s="21">
        <f>100*(AC58-AC57)</f>
        <v/>
      </c>
      <c r="AD192" s="21">
        <f>100*(AD58-AD57)</f>
        <v/>
      </c>
      <c r="AE192" s="21">
        <f>100*(AE58-AE57)</f>
        <v/>
      </c>
      <c r="AF192" s="21">
        <f>100*(AF58-AF57)</f>
        <v/>
      </c>
      <c r="AG192" s="21">
        <f>100*(AG58-AG57)</f>
        <v/>
      </c>
      <c r="AH192" s="21">
        <f>100*(AH58-AH57)</f>
        <v/>
      </c>
      <c r="AI192" s="21">
        <f>100*(AI58-AI57)</f>
        <v/>
      </c>
      <c r="AJ192" s="21">
        <f>100*(AJ58-AJ57)</f>
        <v/>
      </c>
      <c r="AK192" s="21">
        <f>100*(AK58-AK57)</f>
        <v/>
      </c>
      <c r="AL192" s="21">
        <f>100*(AL58-AL57)</f>
        <v/>
      </c>
      <c r="AM192" s="21">
        <f>100*(AM58-AM57)</f>
        <v/>
      </c>
      <c r="AN192" s="21">
        <f>100*(AN58-AN57)</f>
        <v/>
      </c>
      <c r="AO192" s="21">
        <f>100*(AO58-AO57)</f>
        <v/>
      </c>
      <c r="AP192" s="21">
        <f>100*(AP58-AP57)</f>
        <v/>
      </c>
      <c r="AQ192" s="21">
        <f>100*(AQ58-AQ57)</f>
        <v/>
      </c>
      <c r="AR192" s="21">
        <f>100*(AR58-AR57)</f>
        <v/>
      </c>
      <c r="AS192" s="21">
        <f>100*(AS58-AS57)</f>
        <v/>
      </c>
      <c r="AT192" s="21">
        <f>100*(AT58-AT57)</f>
        <v/>
      </c>
      <c r="AU192" s="21">
        <f>100*(AU58-AU57)</f>
        <v/>
      </c>
      <c r="AV192" s="21">
        <f>AVERAGE(C192:AU192)</f>
        <v/>
      </c>
    </row>
    <row r="193">
      <c r="A193" s="19">
        <f>A59</f>
        <v/>
      </c>
      <c r="B193" s="20">
        <f>B59</f>
        <v/>
      </c>
      <c r="C193" s="21">
        <f>100*(C59-C58)</f>
        <v/>
      </c>
      <c r="D193" s="21">
        <f>100*(D59-D58)</f>
        <v/>
      </c>
      <c r="E193" s="21">
        <f>100*(E59-E58)</f>
        <v/>
      </c>
      <c r="F193" s="21">
        <f>100*(F59-F58)</f>
        <v/>
      </c>
      <c r="G193" s="21">
        <f>100*(G59-G58)</f>
        <v/>
      </c>
      <c r="H193" s="21">
        <f>100*(H59-H58)</f>
        <v/>
      </c>
      <c r="I193" s="21">
        <f>100*(I59-I58)</f>
        <v/>
      </c>
      <c r="J193" s="21">
        <f>100*(J59-J58)</f>
        <v/>
      </c>
      <c r="K193" s="21">
        <f>100*(K59-K58)</f>
        <v/>
      </c>
      <c r="L193" s="21">
        <f>100*(L59-L58)</f>
        <v/>
      </c>
      <c r="M193" s="21">
        <f>100*(M59-M58)</f>
        <v/>
      </c>
      <c r="N193" s="21">
        <f>100*(N59-N58)</f>
        <v/>
      </c>
      <c r="O193" s="21">
        <f>100*(O59-O58)</f>
        <v/>
      </c>
      <c r="P193" s="21">
        <f>100*(P59-P58)</f>
        <v/>
      </c>
      <c r="Q193" s="21">
        <f>100*(Q59-Q58)</f>
        <v/>
      </c>
      <c r="R193" s="21">
        <f>100*(R59-R58)</f>
        <v/>
      </c>
      <c r="S193" s="21">
        <f>100*(S59-S58)</f>
        <v/>
      </c>
      <c r="T193" s="21">
        <f>100*(T59-T58)</f>
        <v/>
      </c>
      <c r="U193" s="21">
        <f>100*(U59-U58)</f>
        <v/>
      </c>
      <c r="V193" s="21">
        <f>100*(V59-V58)</f>
        <v/>
      </c>
      <c r="W193" s="21">
        <f>100*(W59-W58)</f>
        <v/>
      </c>
      <c r="X193" s="21">
        <f>100*(X59-X58)</f>
        <v/>
      </c>
      <c r="Y193" s="21">
        <f>100*(Y59-Y58)</f>
        <v/>
      </c>
      <c r="Z193" s="21">
        <f>100*(Z59-Z58)</f>
        <v/>
      </c>
      <c r="AA193" s="21">
        <f>100*(AA59-AA58)</f>
        <v/>
      </c>
      <c r="AB193" s="21">
        <f>100*(AB59-AB58)</f>
        <v/>
      </c>
      <c r="AC193" s="21">
        <f>100*(AC59-AC58)</f>
        <v/>
      </c>
      <c r="AD193" s="21">
        <f>100*(AD59-AD58)</f>
        <v/>
      </c>
      <c r="AE193" s="21">
        <f>100*(AE59-AE58)</f>
        <v/>
      </c>
      <c r="AF193" s="21">
        <f>100*(AF59-AF58)</f>
        <v/>
      </c>
      <c r="AG193" s="21">
        <f>100*(AG59-AG58)</f>
        <v/>
      </c>
      <c r="AH193" s="21">
        <f>100*(AH59-AH58)</f>
        <v/>
      </c>
      <c r="AI193" s="21">
        <f>100*(AI59-AI58)</f>
        <v/>
      </c>
      <c r="AJ193" s="21">
        <f>100*(AJ59-AJ58)</f>
        <v/>
      </c>
      <c r="AK193" s="21">
        <f>100*(AK59-AK58)</f>
        <v/>
      </c>
      <c r="AL193" s="21">
        <f>100*(AL59-AL58)</f>
        <v/>
      </c>
      <c r="AM193" s="21">
        <f>100*(AM59-AM58)</f>
        <v/>
      </c>
      <c r="AN193" s="21">
        <f>100*(AN59-AN58)</f>
        <v/>
      </c>
      <c r="AO193" s="21">
        <f>100*(AO59-AO58)</f>
        <v/>
      </c>
      <c r="AP193" s="21">
        <f>100*(AP59-AP58)</f>
        <v/>
      </c>
      <c r="AQ193" s="21">
        <f>100*(AQ59-AQ58)</f>
        <v/>
      </c>
      <c r="AR193" s="21">
        <f>100*(AR59-AR58)</f>
        <v/>
      </c>
      <c r="AS193" s="21">
        <f>100*(AS59-AS58)</f>
        <v/>
      </c>
      <c r="AT193" s="21">
        <f>100*(AT59-AT58)</f>
        <v/>
      </c>
      <c r="AU193" s="21">
        <f>100*(AU59-AU58)</f>
        <v/>
      </c>
      <c r="AV193" s="21">
        <f>AVERAGE(C193:AU193)</f>
        <v/>
      </c>
    </row>
    <row r="194">
      <c r="A194" s="19">
        <f>A60</f>
        <v/>
      </c>
      <c r="B194" s="20">
        <f>B60</f>
        <v/>
      </c>
      <c r="C194" s="21">
        <f>100*(C60-C59)</f>
        <v/>
      </c>
      <c r="D194" s="21">
        <f>100*(D60-D59)</f>
        <v/>
      </c>
      <c r="E194" s="21">
        <f>100*(E60-E59)</f>
        <v/>
      </c>
      <c r="F194" s="21">
        <f>100*(F60-F59)</f>
        <v/>
      </c>
      <c r="G194" s="21">
        <f>100*(G60-G59)</f>
        <v/>
      </c>
      <c r="H194" s="21">
        <f>100*(H60-H59)</f>
        <v/>
      </c>
      <c r="I194" s="21">
        <f>100*(I60-I59)</f>
        <v/>
      </c>
      <c r="J194" s="21">
        <f>100*(J60-J59)</f>
        <v/>
      </c>
      <c r="K194" s="21">
        <f>100*(K60-K59)</f>
        <v/>
      </c>
      <c r="L194" s="21">
        <f>100*(L60-L59)</f>
        <v/>
      </c>
      <c r="M194" s="21">
        <f>100*(M60-M59)</f>
        <v/>
      </c>
      <c r="N194" s="21">
        <f>100*(N60-N59)</f>
        <v/>
      </c>
      <c r="O194" s="21">
        <f>100*(O60-O59)</f>
        <v/>
      </c>
      <c r="P194" s="21">
        <f>100*(P60-P59)</f>
        <v/>
      </c>
      <c r="Q194" s="21">
        <f>100*(Q60-Q59)</f>
        <v/>
      </c>
      <c r="R194" s="21">
        <f>100*(R60-R59)</f>
        <v/>
      </c>
      <c r="S194" s="21">
        <f>100*(S60-S59)</f>
        <v/>
      </c>
      <c r="T194" s="21">
        <f>100*(T60-T59)</f>
        <v/>
      </c>
      <c r="U194" s="21">
        <f>100*(U60-U59)</f>
        <v/>
      </c>
      <c r="V194" s="21">
        <f>100*(V60-V59)</f>
        <v/>
      </c>
      <c r="W194" s="21">
        <f>100*(W60-W59)</f>
        <v/>
      </c>
      <c r="X194" s="21">
        <f>100*(X60-X59)</f>
        <v/>
      </c>
      <c r="Y194" s="21">
        <f>100*(Y60-Y59)</f>
        <v/>
      </c>
      <c r="Z194" s="21">
        <f>100*(Z60-Z59)</f>
        <v/>
      </c>
      <c r="AA194" s="21">
        <f>100*(AA60-AA59)</f>
        <v/>
      </c>
      <c r="AB194" s="21">
        <f>100*(AB60-AB59)</f>
        <v/>
      </c>
      <c r="AC194" s="21">
        <f>100*(AC60-AC59)</f>
        <v/>
      </c>
      <c r="AD194" s="21">
        <f>100*(AD60-AD59)</f>
        <v/>
      </c>
      <c r="AE194" s="21">
        <f>100*(AE60-AE59)</f>
        <v/>
      </c>
      <c r="AF194" s="21">
        <f>100*(AF60-AF59)</f>
        <v/>
      </c>
      <c r="AG194" s="21">
        <f>100*(AG60-AG59)</f>
        <v/>
      </c>
      <c r="AH194" s="21">
        <f>100*(AH60-AH59)</f>
        <v/>
      </c>
      <c r="AI194" s="21">
        <f>100*(AI60-AI59)</f>
        <v/>
      </c>
      <c r="AJ194" s="21">
        <f>100*(AJ60-AJ59)</f>
        <v/>
      </c>
      <c r="AK194" s="21">
        <f>100*(AK60-AK59)</f>
        <v/>
      </c>
      <c r="AL194" s="21">
        <f>100*(AL60-AL59)</f>
        <v/>
      </c>
      <c r="AM194" s="21">
        <f>100*(AM60-AM59)</f>
        <v/>
      </c>
      <c r="AN194" s="21">
        <f>100*(AN60-AN59)</f>
        <v/>
      </c>
      <c r="AO194" s="21">
        <f>100*(AO60-AO59)</f>
        <v/>
      </c>
      <c r="AP194" s="21">
        <f>100*(AP60-AP59)</f>
        <v/>
      </c>
      <c r="AQ194" s="21">
        <f>100*(AQ60-AQ59)</f>
        <v/>
      </c>
      <c r="AR194" s="21">
        <f>100*(AR60-AR59)</f>
        <v/>
      </c>
      <c r="AS194" s="21">
        <f>100*(AS60-AS59)</f>
        <v/>
      </c>
      <c r="AT194" s="21">
        <f>100*(AT60-AT59)</f>
        <v/>
      </c>
      <c r="AU194" s="21">
        <f>100*(AU60-AU59)</f>
        <v/>
      </c>
      <c r="AV194" s="21">
        <f>AVERAGE(C194:AU194)</f>
        <v/>
      </c>
    </row>
    <row r="195">
      <c r="A195" s="19">
        <f>A61</f>
        <v/>
      </c>
      <c r="B195" s="20">
        <f>B61</f>
        <v/>
      </c>
      <c r="C195" s="21">
        <f>100*(C61-C60)</f>
        <v/>
      </c>
      <c r="D195" s="21">
        <f>100*(D61-D60)</f>
        <v/>
      </c>
      <c r="E195" s="21">
        <f>100*(E61-E60)</f>
        <v/>
      </c>
      <c r="F195" s="21">
        <f>100*(F61-F60)</f>
        <v/>
      </c>
      <c r="G195" s="21">
        <f>100*(G61-G60)</f>
        <v/>
      </c>
      <c r="H195" s="21">
        <f>100*(H61-H60)</f>
        <v/>
      </c>
      <c r="I195" s="21">
        <f>100*(I61-I60)</f>
        <v/>
      </c>
      <c r="J195" s="21">
        <f>100*(J61-J60)</f>
        <v/>
      </c>
      <c r="K195" s="21">
        <f>100*(K61-K60)</f>
        <v/>
      </c>
      <c r="L195" s="21">
        <f>100*(L61-L60)</f>
        <v/>
      </c>
      <c r="M195" s="21">
        <f>100*(M61-M60)</f>
        <v/>
      </c>
      <c r="N195" s="21">
        <f>100*(N61-N60)</f>
        <v/>
      </c>
      <c r="O195" s="21">
        <f>100*(O61-O60)</f>
        <v/>
      </c>
      <c r="P195" s="21">
        <f>100*(P61-P60)</f>
        <v/>
      </c>
      <c r="Q195" s="21">
        <f>100*(Q61-Q60)</f>
        <v/>
      </c>
      <c r="R195" s="21">
        <f>100*(R61-R60)</f>
        <v/>
      </c>
      <c r="S195" s="21">
        <f>100*(S61-S60)</f>
        <v/>
      </c>
      <c r="T195" s="21">
        <f>100*(T61-T60)</f>
        <v/>
      </c>
      <c r="U195" s="21">
        <f>100*(U61-U60)</f>
        <v/>
      </c>
      <c r="V195" s="21">
        <f>100*(V61-V60)</f>
        <v/>
      </c>
      <c r="W195" s="21">
        <f>100*(W61-W60)</f>
        <v/>
      </c>
      <c r="X195" s="21">
        <f>100*(X61-X60)</f>
        <v/>
      </c>
      <c r="Y195" s="21">
        <f>100*(Y61-Y60)</f>
        <v/>
      </c>
      <c r="Z195" s="21">
        <f>100*(Z61-Z60)</f>
        <v/>
      </c>
      <c r="AA195" s="21">
        <f>100*(AA61-AA60)</f>
        <v/>
      </c>
      <c r="AB195" s="21">
        <f>100*(AB61-AB60)</f>
        <v/>
      </c>
      <c r="AC195" s="21">
        <f>100*(AC61-AC60)</f>
        <v/>
      </c>
      <c r="AD195" s="21">
        <f>100*(AD61-AD60)</f>
        <v/>
      </c>
      <c r="AE195" s="21">
        <f>100*(AE61-AE60)</f>
        <v/>
      </c>
      <c r="AF195" s="21">
        <f>100*(AF61-AF60)</f>
        <v/>
      </c>
      <c r="AG195" s="21">
        <f>100*(AG61-AG60)</f>
        <v/>
      </c>
      <c r="AH195" s="21">
        <f>100*(AH61-AH60)</f>
        <v/>
      </c>
      <c r="AI195" s="21">
        <f>100*(AI61-AI60)</f>
        <v/>
      </c>
      <c r="AJ195" s="21">
        <f>100*(AJ61-AJ60)</f>
        <v/>
      </c>
      <c r="AK195" s="21">
        <f>100*(AK61-AK60)</f>
        <v/>
      </c>
      <c r="AL195" s="21">
        <f>100*(AL61-AL60)</f>
        <v/>
      </c>
      <c r="AM195" s="21">
        <f>100*(AM61-AM60)</f>
        <v/>
      </c>
      <c r="AN195" s="21">
        <f>100*(AN61-AN60)</f>
        <v/>
      </c>
      <c r="AO195" s="21">
        <f>100*(AO61-AO60)</f>
        <v/>
      </c>
      <c r="AP195" s="21">
        <f>100*(AP61-AP60)</f>
        <v/>
      </c>
      <c r="AQ195" s="21">
        <f>100*(AQ61-AQ60)</f>
        <v/>
      </c>
      <c r="AR195" s="21">
        <f>100*(AR61-AR60)</f>
        <v/>
      </c>
      <c r="AS195" s="21">
        <f>100*(AS61-AS60)</f>
        <v/>
      </c>
      <c r="AT195" s="21">
        <f>100*(AT61-AT60)</f>
        <v/>
      </c>
      <c r="AU195" s="21">
        <f>100*(AU61-AU60)</f>
        <v/>
      </c>
      <c r="AV195" s="21">
        <f>AVERAGE(C195:AU195)</f>
        <v/>
      </c>
    </row>
    <row r="196">
      <c r="A196" s="19">
        <f>A62</f>
        <v/>
      </c>
      <c r="B196" s="20">
        <f>B62</f>
        <v/>
      </c>
      <c r="C196" s="21">
        <f>100*(C62-C61)</f>
        <v/>
      </c>
      <c r="D196" s="21">
        <f>100*(D62-D61)</f>
        <v/>
      </c>
      <c r="E196" s="21">
        <f>100*(E62-E61)</f>
        <v/>
      </c>
      <c r="F196" s="21">
        <f>100*(F62-F61)</f>
        <v/>
      </c>
      <c r="G196" s="21">
        <f>100*(G62-G61)</f>
        <v/>
      </c>
      <c r="H196" s="21">
        <f>100*(H62-H61)</f>
        <v/>
      </c>
      <c r="I196" s="21">
        <f>100*(I62-I61)</f>
        <v/>
      </c>
      <c r="J196" s="21">
        <f>100*(J62-J61)</f>
        <v/>
      </c>
      <c r="K196" s="21">
        <f>100*(K62-K61)</f>
        <v/>
      </c>
      <c r="L196" s="21">
        <f>100*(L62-L61)</f>
        <v/>
      </c>
      <c r="M196" s="21">
        <f>100*(M62-M61)</f>
        <v/>
      </c>
      <c r="N196" s="21">
        <f>100*(N62-N61)</f>
        <v/>
      </c>
      <c r="O196" s="21">
        <f>100*(O62-O61)</f>
        <v/>
      </c>
      <c r="P196" s="21">
        <f>100*(P62-P61)</f>
        <v/>
      </c>
      <c r="Q196" s="21">
        <f>100*(Q62-Q61)</f>
        <v/>
      </c>
      <c r="R196" s="21">
        <f>100*(R62-R61)</f>
        <v/>
      </c>
      <c r="S196" s="21">
        <f>100*(S62-S61)</f>
        <v/>
      </c>
      <c r="T196" s="21">
        <f>100*(T62-T61)</f>
        <v/>
      </c>
      <c r="U196" s="21">
        <f>100*(U62-U61)</f>
        <v/>
      </c>
      <c r="V196" s="21">
        <f>100*(V62-V61)</f>
        <v/>
      </c>
      <c r="W196" s="21">
        <f>100*(W62-W61)</f>
        <v/>
      </c>
      <c r="X196" s="21">
        <f>100*(X62-X61)</f>
        <v/>
      </c>
      <c r="Y196" s="21">
        <f>100*(Y62-Y61)</f>
        <v/>
      </c>
      <c r="Z196" s="21">
        <f>100*(Z62-Z61)</f>
        <v/>
      </c>
      <c r="AA196" s="21">
        <f>100*(AA62-AA61)</f>
        <v/>
      </c>
      <c r="AB196" s="21">
        <f>100*(AB62-AB61)</f>
        <v/>
      </c>
      <c r="AC196" s="21">
        <f>100*(AC62-AC61)</f>
        <v/>
      </c>
      <c r="AD196" s="21">
        <f>100*(AD62-AD61)</f>
        <v/>
      </c>
      <c r="AE196" s="21">
        <f>100*(AE62-AE61)</f>
        <v/>
      </c>
      <c r="AF196" s="21">
        <f>100*(AF62-AF61)</f>
        <v/>
      </c>
      <c r="AG196" s="21">
        <f>100*(AG62-AG61)</f>
        <v/>
      </c>
      <c r="AH196" s="21">
        <f>100*(AH62-AH61)</f>
        <v/>
      </c>
      <c r="AI196" s="21">
        <f>100*(AI62-AI61)</f>
        <v/>
      </c>
      <c r="AJ196" s="21">
        <f>100*(AJ62-AJ61)</f>
        <v/>
      </c>
      <c r="AK196" s="21">
        <f>100*(AK62-AK61)</f>
        <v/>
      </c>
      <c r="AL196" s="21">
        <f>100*(AL62-AL61)</f>
        <v/>
      </c>
      <c r="AM196" s="21">
        <f>100*(AM62-AM61)</f>
        <v/>
      </c>
      <c r="AN196" s="21">
        <f>100*(AN62-AN61)</f>
        <v/>
      </c>
      <c r="AO196" s="21">
        <f>100*(AO62-AO61)</f>
        <v/>
      </c>
      <c r="AP196" s="21">
        <f>100*(AP62-AP61)</f>
        <v/>
      </c>
      <c r="AQ196" s="21">
        <f>100*(AQ62-AQ61)</f>
        <v/>
      </c>
      <c r="AR196" s="21">
        <f>100*(AR62-AR61)</f>
        <v/>
      </c>
      <c r="AS196" s="21">
        <f>100*(AS62-AS61)</f>
        <v/>
      </c>
      <c r="AT196" s="21">
        <f>100*(AT62-AT61)</f>
        <v/>
      </c>
      <c r="AU196" s="21">
        <f>100*(AU62-AU61)</f>
        <v/>
      </c>
      <c r="AV196" s="21">
        <f>AVERAGE(C196:AU196)</f>
        <v/>
      </c>
    </row>
    <row r="197">
      <c r="A197" s="19">
        <f>A63</f>
        <v/>
      </c>
      <c r="B197" s="20">
        <f>B63</f>
        <v/>
      </c>
      <c r="C197" s="21">
        <f>100*(C63-C62)</f>
        <v/>
      </c>
      <c r="D197" s="21">
        <f>100*(D63-D62)</f>
        <v/>
      </c>
      <c r="E197" s="21">
        <f>100*(E63-E62)</f>
        <v/>
      </c>
      <c r="F197" s="21">
        <f>100*(F63-F62)</f>
        <v/>
      </c>
      <c r="G197" s="21">
        <f>100*(G63-G62)</f>
        <v/>
      </c>
      <c r="H197" s="21">
        <f>100*(H63-H62)</f>
        <v/>
      </c>
      <c r="I197" s="21">
        <f>100*(I63-I62)</f>
        <v/>
      </c>
      <c r="J197" s="21">
        <f>100*(J63-J62)</f>
        <v/>
      </c>
      <c r="K197" s="21">
        <f>100*(K63-K62)</f>
        <v/>
      </c>
      <c r="L197" s="21">
        <f>100*(L63-L62)</f>
        <v/>
      </c>
      <c r="M197" s="21">
        <f>100*(M63-M62)</f>
        <v/>
      </c>
      <c r="N197" s="21">
        <f>100*(N63-N62)</f>
        <v/>
      </c>
      <c r="O197" s="21">
        <f>100*(O63-O62)</f>
        <v/>
      </c>
      <c r="P197" s="21">
        <f>100*(P63-P62)</f>
        <v/>
      </c>
      <c r="Q197" s="21">
        <f>100*(Q63-Q62)</f>
        <v/>
      </c>
      <c r="R197" s="21">
        <f>100*(R63-R62)</f>
        <v/>
      </c>
      <c r="S197" s="21">
        <f>100*(S63-S62)</f>
        <v/>
      </c>
      <c r="T197" s="21">
        <f>100*(T63-T62)</f>
        <v/>
      </c>
      <c r="U197" s="21">
        <f>100*(U63-U62)</f>
        <v/>
      </c>
      <c r="V197" s="21">
        <f>100*(V63-V62)</f>
        <v/>
      </c>
      <c r="W197" s="21">
        <f>100*(W63-W62)</f>
        <v/>
      </c>
      <c r="X197" s="21">
        <f>100*(X63-X62)</f>
        <v/>
      </c>
      <c r="Y197" s="21">
        <f>100*(Y63-Y62)</f>
        <v/>
      </c>
      <c r="Z197" s="21">
        <f>100*(Z63-Z62)</f>
        <v/>
      </c>
      <c r="AA197" s="21">
        <f>100*(AA63-AA62)</f>
        <v/>
      </c>
      <c r="AB197" s="21">
        <f>100*(AB63-AB62)</f>
        <v/>
      </c>
      <c r="AC197" s="21">
        <f>100*(AC63-AC62)</f>
        <v/>
      </c>
      <c r="AD197" s="21">
        <f>100*(AD63-AD62)</f>
        <v/>
      </c>
      <c r="AE197" s="21">
        <f>100*(AE63-AE62)</f>
        <v/>
      </c>
      <c r="AF197" s="21">
        <f>100*(AF63-AF62)</f>
        <v/>
      </c>
      <c r="AG197" s="21">
        <f>100*(AG63-AG62)</f>
        <v/>
      </c>
      <c r="AH197" s="21">
        <f>100*(AH63-AH62)</f>
        <v/>
      </c>
      <c r="AI197" s="21">
        <f>100*(AI63-AI62)</f>
        <v/>
      </c>
      <c r="AJ197" s="21">
        <f>100*(AJ63-AJ62)</f>
        <v/>
      </c>
      <c r="AK197" s="21">
        <f>100*(AK63-AK62)</f>
        <v/>
      </c>
      <c r="AL197" s="21">
        <f>100*(AL63-AL62)</f>
        <v/>
      </c>
      <c r="AM197" s="21">
        <f>100*(AM63-AM62)</f>
        <v/>
      </c>
      <c r="AN197" s="21">
        <f>100*(AN63-AN62)</f>
        <v/>
      </c>
      <c r="AO197" s="21">
        <f>100*(AO63-AO62)</f>
        <v/>
      </c>
      <c r="AP197" s="21">
        <f>100*(AP63-AP62)</f>
        <v/>
      </c>
      <c r="AQ197" s="21">
        <f>100*(AQ63-AQ62)</f>
        <v/>
      </c>
      <c r="AR197" s="21">
        <f>100*(AR63-AR62)</f>
        <v/>
      </c>
      <c r="AS197" s="21">
        <f>100*(AS63-AS62)</f>
        <v/>
      </c>
      <c r="AT197" s="21">
        <f>100*(AT63-AT62)</f>
        <v/>
      </c>
      <c r="AU197" s="21">
        <f>100*(AU63-AU62)</f>
        <v/>
      </c>
      <c r="AV197" s="21">
        <f>AVERAGE(C197:AU197)</f>
        <v/>
      </c>
    </row>
    <row r="198">
      <c r="A198" s="19">
        <f>A64</f>
        <v/>
      </c>
      <c r="B198" s="20">
        <f>B64</f>
        <v/>
      </c>
      <c r="C198" s="21">
        <f>100*(C64-C63)</f>
        <v/>
      </c>
      <c r="D198" s="21">
        <f>100*(D64-D63)</f>
        <v/>
      </c>
      <c r="E198" s="21">
        <f>100*(E64-E63)</f>
        <v/>
      </c>
      <c r="F198" s="21">
        <f>100*(F64-F63)</f>
        <v/>
      </c>
      <c r="G198" s="21">
        <f>100*(G64-G63)</f>
        <v/>
      </c>
      <c r="H198" s="21">
        <f>100*(H64-H63)</f>
        <v/>
      </c>
      <c r="I198" s="21">
        <f>100*(I64-I63)</f>
        <v/>
      </c>
      <c r="J198" s="21">
        <f>100*(J64-J63)</f>
        <v/>
      </c>
      <c r="K198" s="21">
        <f>100*(K64-K63)</f>
        <v/>
      </c>
      <c r="L198" s="21">
        <f>100*(L64-L63)</f>
        <v/>
      </c>
      <c r="M198" s="21">
        <f>100*(M64-M63)</f>
        <v/>
      </c>
      <c r="N198" s="21">
        <f>100*(N64-N63)</f>
        <v/>
      </c>
      <c r="O198" s="21">
        <f>100*(O64-O63)</f>
        <v/>
      </c>
      <c r="P198" s="21">
        <f>100*(P64-P63)</f>
        <v/>
      </c>
      <c r="Q198" s="21">
        <f>100*(Q64-Q63)</f>
        <v/>
      </c>
      <c r="R198" s="21">
        <f>100*(R64-R63)</f>
        <v/>
      </c>
      <c r="S198" s="21">
        <f>100*(S64-S63)</f>
        <v/>
      </c>
      <c r="T198" s="21">
        <f>100*(T64-T63)</f>
        <v/>
      </c>
      <c r="U198" s="21">
        <f>100*(U64-U63)</f>
        <v/>
      </c>
      <c r="V198" s="21">
        <f>100*(V64-V63)</f>
        <v/>
      </c>
      <c r="W198" s="21">
        <f>100*(W64-W63)</f>
        <v/>
      </c>
      <c r="X198" s="21">
        <f>100*(X64-X63)</f>
        <v/>
      </c>
      <c r="Y198" s="21">
        <f>100*(Y64-Y63)</f>
        <v/>
      </c>
      <c r="Z198" s="21">
        <f>100*(Z64-Z63)</f>
        <v/>
      </c>
      <c r="AA198" s="21">
        <f>100*(AA64-AA63)</f>
        <v/>
      </c>
      <c r="AB198" s="21">
        <f>100*(AB64-AB63)</f>
        <v/>
      </c>
      <c r="AC198" s="21">
        <f>100*(AC64-AC63)</f>
        <v/>
      </c>
      <c r="AD198" s="21">
        <f>100*(AD64-AD63)</f>
        <v/>
      </c>
      <c r="AE198" s="21">
        <f>100*(AE64-AE63)</f>
        <v/>
      </c>
      <c r="AF198" s="21">
        <f>100*(AF64-AF63)</f>
        <v/>
      </c>
      <c r="AG198" s="21">
        <f>100*(AG64-AG63)</f>
        <v/>
      </c>
      <c r="AH198" s="21">
        <f>100*(AH64-AH63)</f>
        <v/>
      </c>
      <c r="AI198" s="21">
        <f>100*(AI64-AI63)</f>
        <v/>
      </c>
      <c r="AJ198" s="21">
        <f>100*(AJ64-AJ63)</f>
        <v/>
      </c>
      <c r="AK198" s="21">
        <f>100*(AK64-AK63)</f>
        <v/>
      </c>
      <c r="AL198" s="21">
        <f>100*(AL64-AL63)</f>
        <v/>
      </c>
      <c r="AM198" s="21">
        <f>100*(AM64-AM63)</f>
        <v/>
      </c>
      <c r="AN198" s="21">
        <f>100*(AN64-AN63)</f>
        <v/>
      </c>
      <c r="AO198" s="21">
        <f>100*(AO64-AO63)</f>
        <v/>
      </c>
      <c r="AP198" s="21">
        <f>100*(AP64-AP63)</f>
        <v/>
      </c>
      <c r="AQ198" s="21">
        <f>100*(AQ64-AQ63)</f>
        <v/>
      </c>
      <c r="AR198" s="21">
        <f>100*(AR64-AR63)</f>
        <v/>
      </c>
      <c r="AS198" s="21">
        <f>100*(AS64-AS63)</f>
        <v/>
      </c>
      <c r="AT198" s="21">
        <f>100*(AT64-AT63)</f>
        <v/>
      </c>
      <c r="AU198" s="21">
        <f>100*(AU64-AU63)</f>
        <v/>
      </c>
      <c r="AV198" s="21">
        <f>AVERAGE(C198:AU198)</f>
        <v/>
      </c>
    </row>
    <row r="199">
      <c r="A199" s="19">
        <f>A65</f>
        <v/>
      </c>
      <c r="B199" s="20">
        <f>B65</f>
        <v/>
      </c>
      <c r="C199" s="21">
        <f>100*(C65-C64)</f>
        <v/>
      </c>
      <c r="D199" s="21">
        <f>100*(D65-D64)</f>
        <v/>
      </c>
      <c r="E199" s="21">
        <f>100*(E65-E64)</f>
        <v/>
      </c>
      <c r="F199" s="21">
        <f>100*(F65-F64)</f>
        <v/>
      </c>
      <c r="G199" s="21">
        <f>100*(G65-G64)</f>
        <v/>
      </c>
      <c r="H199" s="21">
        <f>100*(H65-H64)</f>
        <v/>
      </c>
      <c r="I199" s="21">
        <f>100*(I65-I64)</f>
        <v/>
      </c>
      <c r="J199" s="21">
        <f>100*(J65-J64)</f>
        <v/>
      </c>
      <c r="K199" s="21">
        <f>100*(K65-K64)</f>
        <v/>
      </c>
      <c r="L199" s="21">
        <f>100*(L65-L64)</f>
        <v/>
      </c>
      <c r="M199" s="21">
        <f>100*(M65-M64)</f>
        <v/>
      </c>
      <c r="N199" s="21">
        <f>100*(N65-N64)</f>
        <v/>
      </c>
      <c r="O199" s="21">
        <f>100*(O65-O64)</f>
        <v/>
      </c>
      <c r="P199" s="21">
        <f>100*(P65-P64)</f>
        <v/>
      </c>
      <c r="Q199" s="21">
        <f>100*(Q65-Q64)</f>
        <v/>
      </c>
      <c r="R199" s="21">
        <f>100*(R65-R64)</f>
        <v/>
      </c>
      <c r="S199" s="21">
        <f>100*(S65-S64)</f>
        <v/>
      </c>
      <c r="T199" s="21">
        <f>100*(T65-T64)</f>
        <v/>
      </c>
      <c r="U199" s="21">
        <f>100*(U65-U64)</f>
        <v/>
      </c>
      <c r="V199" s="21">
        <f>100*(V65-V64)</f>
        <v/>
      </c>
      <c r="W199" s="21">
        <f>100*(W65-W64)</f>
        <v/>
      </c>
      <c r="X199" s="21">
        <f>100*(X65-X64)</f>
        <v/>
      </c>
      <c r="Y199" s="21">
        <f>100*(Y65-Y64)</f>
        <v/>
      </c>
      <c r="Z199" s="21">
        <f>100*(Z65-Z64)</f>
        <v/>
      </c>
      <c r="AA199" s="21">
        <f>100*(AA65-AA64)</f>
        <v/>
      </c>
      <c r="AB199" s="21">
        <f>100*(AB65-AB64)</f>
        <v/>
      </c>
      <c r="AC199" s="21">
        <f>100*(AC65-AC64)</f>
        <v/>
      </c>
      <c r="AD199" s="21">
        <f>100*(AD65-AD64)</f>
        <v/>
      </c>
      <c r="AE199" s="21">
        <f>100*(AE65-AE64)</f>
        <v/>
      </c>
      <c r="AF199" s="21">
        <f>100*(AF65-AF64)</f>
        <v/>
      </c>
      <c r="AG199" s="21">
        <f>100*(AG65-AG64)</f>
        <v/>
      </c>
      <c r="AH199" s="21">
        <f>100*(AH65-AH64)</f>
        <v/>
      </c>
      <c r="AI199" s="21">
        <f>100*(AI65-AI64)</f>
        <v/>
      </c>
      <c r="AJ199" s="21">
        <f>100*(AJ65-AJ64)</f>
        <v/>
      </c>
      <c r="AK199" s="21">
        <f>100*(AK65-AK64)</f>
        <v/>
      </c>
      <c r="AL199" s="21">
        <f>100*(AL65-AL64)</f>
        <v/>
      </c>
      <c r="AM199" s="21">
        <f>100*(AM65-AM64)</f>
        <v/>
      </c>
      <c r="AN199" s="21">
        <f>100*(AN65-AN64)</f>
        <v/>
      </c>
      <c r="AO199" s="21">
        <f>100*(AO65-AO64)</f>
        <v/>
      </c>
      <c r="AP199" s="21">
        <f>100*(AP65-AP64)</f>
        <v/>
      </c>
      <c r="AQ199" s="21">
        <f>100*(AQ65-AQ64)</f>
        <v/>
      </c>
      <c r="AR199" s="21">
        <f>100*(AR65-AR64)</f>
        <v/>
      </c>
      <c r="AS199" s="21">
        <f>100*(AS65-AS64)</f>
        <v/>
      </c>
      <c r="AT199" s="21">
        <f>100*(AT65-AT64)</f>
        <v/>
      </c>
      <c r="AU199" s="21">
        <f>100*(AU65-AU64)</f>
        <v/>
      </c>
      <c r="AV199" s="21">
        <f>AVERAGE(C199:AU199)</f>
        <v/>
      </c>
    </row>
    <row r="200">
      <c r="A200" s="19">
        <f>A66</f>
        <v/>
      </c>
      <c r="B200" s="20">
        <f>B66</f>
        <v/>
      </c>
      <c r="C200" s="21">
        <f>100*(C66-C65)</f>
        <v/>
      </c>
      <c r="D200" s="21">
        <f>100*(D66-D65)</f>
        <v/>
      </c>
      <c r="E200" s="21">
        <f>100*(E66-E65)</f>
        <v/>
      </c>
      <c r="F200" s="21">
        <f>100*(F66-F65)</f>
        <v/>
      </c>
      <c r="G200" s="21">
        <f>100*(G66-G65)</f>
        <v/>
      </c>
      <c r="H200" s="21">
        <f>100*(H66-H65)</f>
        <v/>
      </c>
      <c r="I200" s="21">
        <f>100*(I66-I65)</f>
        <v/>
      </c>
      <c r="J200" s="21">
        <f>100*(J66-J65)</f>
        <v/>
      </c>
      <c r="K200" s="21">
        <f>100*(K66-K65)</f>
        <v/>
      </c>
      <c r="L200" s="21">
        <f>100*(L66-L65)</f>
        <v/>
      </c>
      <c r="M200" s="21">
        <f>100*(M66-M65)</f>
        <v/>
      </c>
      <c r="N200" s="21">
        <f>100*(N66-N65)</f>
        <v/>
      </c>
      <c r="O200" s="21">
        <f>100*(O66-O65)</f>
        <v/>
      </c>
      <c r="P200" s="21">
        <f>100*(P66-P65)</f>
        <v/>
      </c>
      <c r="Q200" s="21">
        <f>100*(Q66-Q65)</f>
        <v/>
      </c>
      <c r="R200" s="21">
        <f>100*(R66-R65)</f>
        <v/>
      </c>
      <c r="S200" s="21">
        <f>100*(S66-S65)</f>
        <v/>
      </c>
      <c r="T200" s="21">
        <f>100*(T66-T65)</f>
        <v/>
      </c>
      <c r="U200" s="21">
        <f>100*(U66-U65)</f>
        <v/>
      </c>
      <c r="V200" s="21">
        <f>100*(V66-V65)</f>
        <v/>
      </c>
      <c r="W200" s="21">
        <f>100*(W66-W65)</f>
        <v/>
      </c>
      <c r="X200" s="21">
        <f>100*(X66-X65)</f>
        <v/>
      </c>
      <c r="Y200" s="21">
        <f>100*(Y66-Y65)</f>
        <v/>
      </c>
      <c r="Z200" s="21">
        <f>100*(Z66-Z65)</f>
        <v/>
      </c>
      <c r="AA200" s="21">
        <f>100*(AA66-AA65)</f>
        <v/>
      </c>
      <c r="AB200" s="21">
        <f>100*(AB66-AB65)</f>
        <v/>
      </c>
      <c r="AC200" s="21">
        <f>100*(AC66-AC65)</f>
        <v/>
      </c>
      <c r="AD200" s="21">
        <f>100*(AD66-AD65)</f>
        <v/>
      </c>
      <c r="AE200" s="21">
        <f>100*(AE66-AE65)</f>
        <v/>
      </c>
      <c r="AF200" s="21">
        <f>100*(AF66-AF65)</f>
        <v/>
      </c>
      <c r="AG200" s="21">
        <f>100*(AG66-AG65)</f>
        <v/>
      </c>
      <c r="AH200" s="21">
        <f>100*(AH66-AH65)</f>
        <v/>
      </c>
      <c r="AI200" s="21">
        <f>100*(AI66-AI65)</f>
        <v/>
      </c>
      <c r="AJ200" s="21">
        <f>100*(AJ66-AJ65)</f>
        <v/>
      </c>
      <c r="AK200" s="21">
        <f>100*(AK66-AK65)</f>
        <v/>
      </c>
      <c r="AL200" s="21">
        <f>100*(AL66-AL65)</f>
        <v/>
      </c>
      <c r="AM200" s="21">
        <f>100*(AM66-AM65)</f>
        <v/>
      </c>
      <c r="AN200" s="21">
        <f>100*(AN66-AN65)</f>
        <v/>
      </c>
      <c r="AO200" s="21">
        <f>100*(AO66-AO65)</f>
        <v/>
      </c>
      <c r="AP200" s="21">
        <f>100*(AP66-AP65)</f>
        <v/>
      </c>
      <c r="AQ200" s="21">
        <f>100*(AQ66-AQ65)</f>
        <v/>
      </c>
      <c r="AR200" s="21">
        <f>100*(AR66-AR65)</f>
        <v/>
      </c>
      <c r="AS200" s="21">
        <f>100*(AS66-AS65)</f>
        <v/>
      </c>
      <c r="AT200" s="21">
        <f>100*(AT66-AT65)</f>
        <v/>
      </c>
      <c r="AU200" s="21">
        <f>100*(AU66-AU65)</f>
        <v/>
      </c>
      <c r="AV200" s="21">
        <f>AVERAGE(C200:AU200)</f>
        <v/>
      </c>
    </row>
    <row r="201">
      <c r="A201" s="19">
        <f>A67</f>
        <v/>
      </c>
      <c r="B201" s="20">
        <f>B67</f>
        <v/>
      </c>
      <c r="C201" s="21">
        <f>100*(C67-C66)</f>
        <v/>
      </c>
      <c r="D201" s="21">
        <f>100*(D67-D66)</f>
        <v/>
      </c>
      <c r="E201" s="21">
        <f>100*(E67-E66)</f>
        <v/>
      </c>
      <c r="F201" s="21">
        <f>100*(F67-F66)</f>
        <v/>
      </c>
      <c r="G201" s="21">
        <f>100*(G67-G66)</f>
        <v/>
      </c>
      <c r="H201" s="21">
        <f>100*(H67-H66)</f>
        <v/>
      </c>
      <c r="I201" s="21">
        <f>100*(I67-I66)</f>
        <v/>
      </c>
      <c r="J201" s="21">
        <f>100*(J67-J66)</f>
        <v/>
      </c>
      <c r="K201" s="21">
        <f>100*(K67-K66)</f>
        <v/>
      </c>
      <c r="L201" s="21">
        <f>100*(L67-L66)</f>
        <v/>
      </c>
      <c r="M201" s="21">
        <f>100*(M67-M66)</f>
        <v/>
      </c>
      <c r="N201" s="21">
        <f>100*(N67-N66)</f>
        <v/>
      </c>
      <c r="O201" s="21">
        <f>100*(O67-O66)</f>
        <v/>
      </c>
      <c r="P201" s="21">
        <f>100*(P67-P66)</f>
        <v/>
      </c>
      <c r="Q201" s="21">
        <f>100*(Q67-Q66)</f>
        <v/>
      </c>
      <c r="R201" s="21">
        <f>100*(R67-R66)</f>
        <v/>
      </c>
      <c r="S201" s="21">
        <f>100*(S67-S66)</f>
        <v/>
      </c>
      <c r="T201" s="21">
        <f>100*(T67-T66)</f>
        <v/>
      </c>
      <c r="U201" s="21">
        <f>100*(U67-U66)</f>
        <v/>
      </c>
      <c r="V201" s="21">
        <f>100*(V67-V66)</f>
        <v/>
      </c>
      <c r="W201" s="21">
        <f>100*(W67-W66)</f>
        <v/>
      </c>
      <c r="X201" s="21">
        <f>100*(X67-X66)</f>
        <v/>
      </c>
      <c r="Y201" s="21">
        <f>100*(Y67-Y66)</f>
        <v/>
      </c>
      <c r="Z201" s="21">
        <f>100*(Z67-Z66)</f>
        <v/>
      </c>
      <c r="AA201" s="21">
        <f>100*(AA67-AA66)</f>
        <v/>
      </c>
      <c r="AB201" s="21">
        <f>100*(AB67-AB66)</f>
        <v/>
      </c>
      <c r="AC201" s="21">
        <f>100*(AC67-AC66)</f>
        <v/>
      </c>
      <c r="AD201" s="21">
        <f>100*(AD67-AD66)</f>
        <v/>
      </c>
      <c r="AE201" s="21">
        <f>100*(AE67-AE66)</f>
        <v/>
      </c>
      <c r="AF201" s="21">
        <f>100*(AF67-AF66)</f>
        <v/>
      </c>
      <c r="AG201" s="21">
        <f>100*(AG67-AG66)</f>
        <v/>
      </c>
      <c r="AH201" s="21">
        <f>100*(AH67-AH66)</f>
        <v/>
      </c>
      <c r="AI201" s="21">
        <f>100*(AI67-AI66)</f>
        <v/>
      </c>
      <c r="AJ201" s="21">
        <f>100*(AJ67-AJ66)</f>
        <v/>
      </c>
      <c r="AK201" s="21">
        <f>100*(AK67-AK66)</f>
        <v/>
      </c>
      <c r="AL201" s="21">
        <f>100*(AL67-AL66)</f>
        <v/>
      </c>
      <c r="AM201" s="21">
        <f>100*(AM67-AM66)</f>
        <v/>
      </c>
      <c r="AN201" s="21">
        <f>100*(AN67-AN66)</f>
        <v/>
      </c>
      <c r="AO201" s="21">
        <f>100*(AO67-AO66)</f>
        <v/>
      </c>
      <c r="AP201" s="21">
        <f>100*(AP67-AP66)</f>
        <v/>
      </c>
      <c r="AQ201" s="21">
        <f>100*(AQ67-AQ66)</f>
        <v/>
      </c>
      <c r="AR201" s="21">
        <f>100*(AR67-AR66)</f>
        <v/>
      </c>
      <c r="AS201" s="21">
        <f>100*(AS67-AS66)</f>
        <v/>
      </c>
      <c r="AT201" s="21">
        <f>100*(AT67-AT66)</f>
        <v/>
      </c>
      <c r="AU201" s="21">
        <f>100*(AU67-AU66)</f>
        <v/>
      </c>
      <c r="AV201" s="21">
        <f>AVERAGE(C201:AU201)</f>
        <v/>
      </c>
    </row>
    <row r="202">
      <c r="A202" s="19">
        <f>A68</f>
        <v/>
      </c>
      <c r="B202" s="20">
        <f>B68</f>
        <v/>
      </c>
      <c r="C202" s="21">
        <f>100*(C68-C67)</f>
        <v/>
      </c>
      <c r="D202" s="21">
        <f>100*(D68-D67)</f>
        <v/>
      </c>
      <c r="E202" s="21">
        <f>100*(E68-E67)</f>
        <v/>
      </c>
      <c r="F202" s="21">
        <f>100*(F68-F67)</f>
        <v/>
      </c>
      <c r="G202" s="21">
        <f>100*(G68-G67)</f>
        <v/>
      </c>
      <c r="H202" s="21">
        <f>100*(H68-H67)</f>
        <v/>
      </c>
      <c r="I202" s="21">
        <f>100*(I68-I67)</f>
        <v/>
      </c>
      <c r="J202" s="21">
        <f>100*(J68-J67)</f>
        <v/>
      </c>
      <c r="K202" s="21">
        <f>100*(K68-K67)</f>
        <v/>
      </c>
      <c r="L202" s="21">
        <f>100*(L68-L67)</f>
        <v/>
      </c>
      <c r="M202" s="21">
        <f>100*(M68-M67)</f>
        <v/>
      </c>
      <c r="N202" s="21">
        <f>100*(N68-N67)</f>
        <v/>
      </c>
      <c r="O202" s="21">
        <f>100*(O68-O67)</f>
        <v/>
      </c>
      <c r="P202" s="21">
        <f>100*(P68-P67)</f>
        <v/>
      </c>
      <c r="Q202" s="21">
        <f>100*(Q68-Q67)</f>
        <v/>
      </c>
      <c r="R202" s="21">
        <f>100*(R68-R67)</f>
        <v/>
      </c>
      <c r="S202" s="21">
        <f>100*(S68-S67)</f>
        <v/>
      </c>
      <c r="T202" s="21">
        <f>100*(T68-T67)</f>
        <v/>
      </c>
      <c r="U202" s="21">
        <f>100*(U68-U67)</f>
        <v/>
      </c>
      <c r="V202" s="21">
        <f>100*(V68-V67)</f>
        <v/>
      </c>
      <c r="W202" s="21">
        <f>100*(W68-W67)</f>
        <v/>
      </c>
      <c r="X202" s="21">
        <f>100*(X68-X67)</f>
        <v/>
      </c>
      <c r="Y202" s="21">
        <f>100*(Y68-Y67)</f>
        <v/>
      </c>
      <c r="Z202" s="21">
        <f>100*(Z68-Z67)</f>
        <v/>
      </c>
      <c r="AA202" s="21">
        <f>100*(AA68-AA67)</f>
        <v/>
      </c>
      <c r="AB202" s="21">
        <f>100*(AB68-AB67)</f>
        <v/>
      </c>
      <c r="AC202" s="21">
        <f>100*(AC68-AC67)</f>
        <v/>
      </c>
      <c r="AD202" s="21">
        <f>100*(AD68-AD67)</f>
        <v/>
      </c>
      <c r="AE202" s="21">
        <f>100*(AE68-AE67)</f>
        <v/>
      </c>
      <c r="AF202" s="21">
        <f>100*(AF68-AF67)</f>
        <v/>
      </c>
      <c r="AG202" s="21">
        <f>100*(AG68-AG67)</f>
        <v/>
      </c>
      <c r="AH202" s="21">
        <f>100*(AH68-AH67)</f>
        <v/>
      </c>
      <c r="AI202" s="21">
        <f>100*(AI68-AI67)</f>
        <v/>
      </c>
      <c r="AJ202" s="21">
        <f>100*(AJ68-AJ67)</f>
        <v/>
      </c>
      <c r="AK202" s="21">
        <f>100*(AK68-AK67)</f>
        <v/>
      </c>
      <c r="AL202" s="21">
        <f>100*(AL68-AL67)</f>
        <v/>
      </c>
      <c r="AM202" s="21">
        <f>100*(AM68-AM67)</f>
        <v/>
      </c>
      <c r="AN202" s="21">
        <f>100*(AN68-AN67)</f>
        <v/>
      </c>
      <c r="AO202" s="21">
        <f>100*(AO68-AO67)</f>
        <v/>
      </c>
      <c r="AP202" s="21">
        <f>100*(AP68-AP67)</f>
        <v/>
      </c>
      <c r="AQ202" s="21">
        <f>100*(AQ68-AQ67)</f>
        <v/>
      </c>
      <c r="AR202" s="21">
        <f>100*(AR68-AR67)</f>
        <v/>
      </c>
      <c r="AS202" s="21">
        <f>100*(AS68-AS67)</f>
        <v/>
      </c>
      <c r="AT202" s="21">
        <f>100*(AT68-AT67)</f>
        <v/>
      </c>
      <c r="AU202" s="21">
        <f>100*(AU68-AU67)</f>
        <v/>
      </c>
      <c r="AV202" s="21">
        <f>AVERAGE(C202:AU202)</f>
        <v/>
      </c>
    </row>
    <row r="203">
      <c r="A203" s="19">
        <f>A69</f>
        <v/>
      </c>
      <c r="B203" s="20">
        <f>B69</f>
        <v/>
      </c>
      <c r="C203" s="21">
        <f>100*(C69-C68)</f>
        <v/>
      </c>
      <c r="D203" s="21">
        <f>100*(D69-D68)</f>
        <v/>
      </c>
      <c r="E203" s="21">
        <f>100*(E69-E68)</f>
        <v/>
      </c>
      <c r="F203" s="21">
        <f>100*(F69-F68)</f>
        <v/>
      </c>
      <c r="G203" s="21">
        <f>100*(G69-G68)</f>
        <v/>
      </c>
      <c r="H203" s="21">
        <f>100*(H69-H68)</f>
        <v/>
      </c>
      <c r="I203" s="21">
        <f>100*(I69-I68)</f>
        <v/>
      </c>
      <c r="J203" s="21">
        <f>100*(J69-J68)</f>
        <v/>
      </c>
      <c r="K203" s="21">
        <f>100*(K69-K68)</f>
        <v/>
      </c>
      <c r="L203" s="21">
        <f>100*(L69-L68)</f>
        <v/>
      </c>
      <c r="M203" s="21">
        <f>100*(M69-M68)</f>
        <v/>
      </c>
      <c r="N203" s="21">
        <f>100*(N69-N68)</f>
        <v/>
      </c>
      <c r="O203" s="21">
        <f>100*(O69-O68)</f>
        <v/>
      </c>
      <c r="P203" s="21">
        <f>100*(P69-P68)</f>
        <v/>
      </c>
      <c r="Q203" s="21">
        <f>100*(Q69-Q68)</f>
        <v/>
      </c>
      <c r="R203" s="21">
        <f>100*(R69-R68)</f>
        <v/>
      </c>
      <c r="S203" s="21">
        <f>100*(S69-S68)</f>
        <v/>
      </c>
      <c r="T203" s="21">
        <f>100*(T69-T68)</f>
        <v/>
      </c>
      <c r="U203" s="21">
        <f>100*(U69-U68)</f>
        <v/>
      </c>
      <c r="V203" s="21">
        <f>100*(V69-V68)</f>
        <v/>
      </c>
      <c r="W203" s="21">
        <f>100*(W69-W68)</f>
        <v/>
      </c>
      <c r="X203" s="21">
        <f>100*(X69-X68)</f>
        <v/>
      </c>
      <c r="Y203" s="21">
        <f>100*(Y69-Y68)</f>
        <v/>
      </c>
      <c r="Z203" s="21">
        <f>100*(Z69-Z68)</f>
        <v/>
      </c>
      <c r="AA203" s="21">
        <f>100*(AA69-AA68)</f>
        <v/>
      </c>
      <c r="AB203" s="21">
        <f>100*(AB69-AB68)</f>
        <v/>
      </c>
      <c r="AC203" s="21">
        <f>100*(AC69-AC68)</f>
        <v/>
      </c>
      <c r="AD203" s="21">
        <f>100*(AD69-AD68)</f>
        <v/>
      </c>
      <c r="AE203" s="21">
        <f>100*(AE69-AE68)</f>
        <v/>
      </c>
      <c r="AF203" s="21">
        <f>100*(AF69-AF68)</f>
        <v/>
      </c>
      <c r="AG203" s="21">
        <f>100*(AG69-AG68)</f>
        <v/>
      </c>
      <c r="AH203" s="21">
        <f>100*(AH69-AH68)</f>
        <v/>
      </c>
      <c r="AI203" s="21">
        <f>100*(AI69-AI68)</f>
        <v/>
      </c>
      <c r="AJ203" s="21">
        <f>100*(AJ69-AJ68)</f>
        <v/>
      </c>
      <c r="AK203" s="21">
        <f>100*(AK69-AK68)</f>
        <v/>
      </c>
      <c r="AL203" s="21">
        <f>100*(AL69-AL68)</f>
        <v/>
      </c>
      <c r="AM203" s="21">
        <f>100*(AM69-AM68)</f>
        <v/>
      </c>
      <c r="AN203" s="21">
        <f>100*(AN69-AN68)</f>
        <v/>
      </c>
      <c r="AO203" s="21">
        <f>100*(AO69-AO68)</f>
        <v/>
      </c>
      <c r="AP203" s="21">
        <f>100*(AP69-AP68)</f>
        <v/>
      </c>
      <c r="AQ203" s="21">
        <f>100*(AQ69-AQ68)</f>
        <v/>
      </c>
      <c r="AR203" s="21">
        <f>100*(AR69-AR68)</f>
        <v/>
      </c>
      <c r="AS203" s="21">
        <f>100*(AS69-AS68)</f>
        <v/>
      </c>
      <c r="AT203" s="21">
        <f>100*(AT69-AT68)</f>
        <v/>
      </c>
      <c r="AU203" s="21">
        <f>100*(AU69-AU68)</f>
        <v/>
      </c>
      <c r="AV203" s="21">
        <f>AVERAGE(C203:AU203)</f>
        <v/>
      </c>
    </row>
    <row r="204">
      <c r="A204" s="19">
        <f>A70</f>
        <v/>
      </c>
      <c r="B204" s="20">
        <f>B70</f>
        <v/>
      </c>
      <c r="C204" s="21">
        <f>100*(C70-C69)</f>
        <v/>
      </c>
      <c r="D204" s="21">
        <f>100*(D70-D69)</f>
        <v/>
      </c>
      <c r="E204" s="21">
        <f>100*(E70-E69)</f>
        <v/>
      </c>
      <c r="F204" s="21">
        <f>100*(F70-F69)</f>
        <v/>
      </c>
      <c r="G204" s="21">
        <f>100*(G70-G69)</f>
        <v/>
      </c>
      <c r="H204" s="21">
        <f>100*(H70-H69)</f>
        <v/>
      </c>
      <c r="I204" s="21">
        <f>100*(I70-I69)</f>
        <v/>
      </c>
      <c r="J204" s="21">
        <f>100*(J70-J69)</f>
        <v/>
      </c>
      <c r="K204" s="21">
        <f>100*(K70-K69)</f>
        <v/>
      </c>
      <c r="L204" s="21">
        <f>100*(L70-L69)</f>
        <v/>
      </c>
      <c r="M204" s="21">
        <f>100*(M70-M69)</f>
        <v/>
      </c>
      <c r="N204" s="21">
        <f>100*(N70-N69)</f>
        <v/>
      </c>
      <c r="O204" s="21">
        <f>100*(O70-O69)</f>
        <v/>
      </c>
      <c r="P204" s="21">
        <f>100*(P70-P69)</f>
        <v/>
      </c>
      <c r="Q204" s="21">
        <f>100*(Q70-Q69)</f>
        <v/>
      </c>
      <c r="R204" s="21">
        <f>100*(R70-R69)</f>
        <v/>
      </c>
      <c r="S204" s="21">
        <f>100*(S70-S69)</f>
        <v/>
      </c>
      <c r="T204" s="21">
        <f>100*(T70-T69)</f>
        <v/>
      </c>
      <c r="U204" s="21">
        <f>100*(U70-U69)</f>
        <v/>
      </c>
      <c r="V204" s="21">
        <f>100*(V70-V69)</f>
        <v/>
      </c>
      <c r="W204" s="21">
        <f>100*(W70-W69)</f>
        <v/>
      </c>
      <c r="X204" s="21">
        <f>100*(X70-X69)</f>
        <v/>
      </c>
      <c r="Y204" s="21">
        <f>100*(Y70-Y69)</f>
        <v/>
      </c>
      <c r="Z204" s="21">
        <f>100*(Z70-Z69)</f>
        <v/>
      </c>
      <c r="AA204" s="21">
        <f>100*(AA70-AA69)</f>
        <v/>
      </c>
      <c r="AB204" s="21">
        <f>100*(AB70-AB69)</f>
        <v/>
      </c>
      <c r="AC204" s="21">
        <f>100*(AC70-AC69)</f>
        <v/>
      </c>
      <c r="AD204" s="21">
        <f>100*(AD70-AD69)</f>
        <v/>
      </c>
      <c r="AE204" s="21">
        <f>100*(AE70-AE69)</f>
        <v/>
      </c>
      <c r="AF204" s="21">
        <f>100*(AF70-AF69)</f>
        <v/>
      </c>
      <c r="AG204" s="21">
        <f>100*(AG70-AG69)</f>
        <v/>
      </c>
      <c r="AH204" s="21">
        <f>100*(AH70-AH69)</f>
        <v/>
      </c>
      <c r="AI204" s="21">
        <f>100*(AI70-AI69)</f>
        <v/>
      </c>
      <c r="AJ204" s="21">
        <f>100*(AJ70-AJ69)</f>
        <v/>
      </c>
      <c r="AK204" s="21">
        <f>100*(AK70-AK69)</f>
        <v/>
      </c>
      <c r="AL204" s="21">
        <f>100*(AL70-AL69)</f>
        <v/>
      </c>
      <c r="AM204" s="21">
        <f>100*(AM70-AM69)</f>
        <v/>
      </c>
      <c r="AN204" s="21">
        <f>100*(AN70-AN69)</f>
        <v/>
      </c>
      <c r="AO204" s="21">
        <f>100*(AO70-AO69)</f>
        <v/>
      </c>
      <c r="AP204" s="21">
        <f>100*(AP70-AP69)</f>
        <v/>
      </c>
      <c r="AQ204" s="21">
        <f>100*(AQ70-AQ69)</f>
        <v/>
      </c>
      <c r="AR204" s="21">
        <f>100*(AR70-AR69)</f>
        <v/>
      </c>
      <c r="AS204" s="21">
        <f>100*(AS70-AS69)</f>
        <v/>
      </c>
      <c r="AT204" s="21">
        <f>100*(AT70-AT69)</f>
        <v/>
      </c>
      <c r="AU204" s="21">
        <f>100*(AU70-AU69)</f>
        <v/>
      </c>
      <c r="AV204" s="21">
        <f>AVERAGE(C204:AU204)</f>
        <v/>
      </c>
    </row>
    <row r="205">
      <c r="A205" s="19">
        <f>A71</f>
        <v/>
      </c>
      <c r="B205" s="20">
        <f>B71</f>
        <v/>
      </c>
      <c r="C205" s="21">
        <f>100*(C71-C70)</f>
        <v/>
      </c>
      <c r="D205" s="21">
        <f>100*(D71-D70)</f>
        <v/>
      </c>
      <c r="E205" s="21">
        <f>100*(E71-E70)</f>
        <v/>
      </c>
      <c r="F205" s="21">
        <f>100*(F71-F70)</f>
        <v/>
      </c>
      <c r="G205" s="21">
        <f>100*(G71-G70)</f>
        <v/>
      </c>
      <c r="H205" s="21">
        <f>100*(H71-H70)</f>
        <v/>
      </c>
      <c r="I205" s="21">
        <f>100*(I71-I70)</f>
        <v/>
      </c>
      <c r="J205" s="21">
        <f>100*(J71-J70)</f>
        <v/>
      </c>
      <c r="K205" s="21">
        <f>100*(K71-K70)</f>
        <v/>
      </c>
      <c r="L205" s="21">
        <f>100*(L71-L70)</f>
        <v/>
      </c>
      <c r="M205" s="21">
        <f>100*(M71-M70)</f>
        <v/>
      </c>
      <c r="N205" s="21">
        <f>100*(N71-N70)</f>
        <v/>
      </c>
      <c r="O205" s="21">
        <f>100*(O71-O70)</f>
        <v/>
      </c>
      <c r="P205" s="21">
        <f>100*(P71-P70)</f>
        <v/>
      </c>
      <c r="Q205" s="21">
        <f>100*(Q71-Q70)</f>
        <v/>
      </c>
      <c r="R205" s="21">
        <f>100*(R71-R70)</f>
        <v/>
      </c>
      <c r="S205" s="21">
        <f>100*(S71-S70)</f>
        <v/>
      </c>
      <c r="T205" s="21">
        <f>100*(T71-T70)</f>
        <v/>
      </c>
      <c r="U205" s="21">
        <f>100*(U71-U70)</f>
        <v/>
      </c>
      <c r="V205" s="21">
        <f>100*(V71-V70)</f>
        <v/>
      </c>
      <c r="W205" s="21">
        <f>100*(W71-W70)</f>
        <v/>
      </c>
      <c r="X205" s="21">
        <f>100*(X71-X70)</f>
        <v/>
      </c>
      <c r="Y205" s="21">
        <f>100*(Y71-Y70)</f>
        <v/>
      </c>
      <c r="Z205" s="21">
        <f>100*(Z71-Z70)</f>
        <v/>
      </c>
      <c r="AA205" s="21">
        <f>100*(AA71-AA70)</f>
        <v/>
      </c>
      <c r="AB205" s="21">
        <f>100*(AB71-AB70)</f>
        <v/>
      </c>
      <c r="AC205" s="21">
        <f>100*(AC71-AC70)</f>
        <v/>
      </c>
      <c r="AD205" s="21">
        <f>100*(AD71-AD70)</f>
        <v/>
      </c>
      <c r="AE205" s="21">
        <f>100*(AE71-AE70)</f>
        <v/>
      </c>
      <c r="AF205" s="21">
        <f>100*(AF71-AF70)</f>
        <v/>
      </c>
      <c r="AG205" s="21">
        <f>100*(AG71-AG70)</f>
        <v/>
      </c>
      <c r="AH205" s="21">
        <f>100*(AH71-AH70)</f>
        <v/>
      </c>
      <c r="AI205" s="21">
        <f>100*(AI71-AI70)</f>
        <v/>
      </c>
      <c r="AJ205" s="21">
        <f>100*(AJ71-AJ70)</f>
        <v/>
      </c>
      <c r="AK205" s="21">
        <f>100*(AK71-AK70)</f>
        <v/>
      </c>
      <c r="AL205" s="21">
        <f>100*(AL71-AL70)</f>
        <v/>
      </c>
      <c r="AM205" s="21">
        <f>100*(AM71-AM70)</f>
        <v/>
      </c>
      <c r="AN205" s="21">
        <f>100*(AN71-AN70)</f>
        <v/>
      </c>
      <c r="AO205" s="21">
        <f>100*(AO71-AO70)</f>
        <v/>
      </c>
      <c r="AP205" s="21">
        <f>100*(AP71-AP70)</f>
        <v/>
      </c>
      <c r="AQ205" s="21">
        <f>100*(AQ71-AQ70)</f>
        <v/>
      </c>
      <c r="AR205" s="21">
        <f>100*(AR71-AR70)</f>
        <v/>
      </c>
      <c r="AS205" s="21">
        <f>100*(AS71-AS70)</f>
        <v/>
      </c>
      <c r="AT205" s="21">
        <f>100*(AT71-AT70)</f>
        <v/>
      </c>
      <c r="AU205" s="21">
        <f>100*(AU71-AU70)</f>
        <v/>
      </c>
      <c r="AV205" s="21">
        <f>AVERAGE(C205:AU205)</f>
        <v/>
      </c>
    </row>
    <row r="206">
      <c r="A206" s="19">
        <f>A72</f>
        <v/>
      </c>
      <c r="B206" s="20">
        <f>B72</f>
        <v/>
      </c>
      <c r="C206" s="21">
        <f>100*(C72-C71)</f>
        <v/>
      </c>
      <c r="D206" s="21">
        <f>100*(D72-D71)</f>
        <v/>
      </c>
      <c r="E206" s="21">
        <f>100*(E72-E71)</f>
        <v/>
      </c>
      <c r="F206" s="21">
        <f>100*(F72-F71)</f>
        <v/>
      </c>
      <c r="G206" s="21">
        <f>100*(G72-G71)</f>
        <v/>
      </c>
      <c r="H206" s="21">
        <f>100*(H72-H71)</f>
        <v/>
      </c>
      <c r="I206" s="21">
        <f>100*(I72-I71)</f>
        <v/>
      </c>
      <c r="J206" s="21">
        <f>100*(J72-J71)</f>
        <v/>
      </c>
      <c r="K206" s="21">
        <f>100*(K72-K71)</f>
        <v/>
      </c>
      <c r="L206" s="21">
        <f>100*(L72-L71)</f>
        <v/>
      </c>
      <c r="M206" s="21">
        <f>100*(M72-M71)</f>
        <v/>
      </c>
      <c r="N206" s="21">
        <f>100*(N72-N71)</f>
        <v/>
      </c>
      <c r="O206" s="21">
        <f>100*(O72-O71)</f>
        <v/>
      </c>
      <c r="P206" s="21">
        <f>100*(P72-P71)</f>
        <v/>
      </c>
      <c r="Q206" s="21">
        <f>100*(Q72-Q71)</f>
        <v/>
      </c>
      <c r="R206" s="21">
        <f>100*(R72-R71)</f>
        <v/>
      </c>
      <c r="S206" s="21">
        <f>100*(S72-S71)</f>
        <v/>
      </c>
      <c r="T206" s="21">
        <f>100*(T72-T71)</f>
        <v/>
      </c>
      <c r="U206" s="21">
        <f>100*(U72-U71)</f>
        <v/>
      </c>
      <c r="V206" s="21">
        <f>100*(V72-V71)</f>
        <v/>
      </c>
      <c r="W206" s="21">
        <f>100*(W72-W71)</f>
        <v/>
      </c>
      <c r="X206" s="21">
        <f>100*(X72-X71)</f>
        <v/>
      </c>
      <c r="Y206" s="21">
        <f>100*(Y72-Y71)</f>
        <v/>
      </c>
      <c r="Z206" s="21">
        <f>100*(Z72-Z71)</f>
        <v/>
      </c>
      <c r="AA206" s="21">
        <f>100*(AA72-AA71)</f>
        <v/>
      </c>
      <c r="AB206" s="21">
        <f>100*(AB72-AB71)</f>
        <v/>
      </c>
      <c r="AC206" s="21">
        <f>100*(AC72-AC71)</f>
        <v/>
      </c>
      <c r="AD206" s="21">
        <f>100*(AD72-AD71)</f>
        <v/>
      </c>
      <c r="AE206" s="21">
        <f>100*(AE72-AE71)</f>
        <v/>
      </c>
      <c r="AF206" s="21">
        <f>100*(AF72-AF71)</f>
        <v/>
      </c>
      <c r="AG206" s="21">
        <f>100*(AG72-AG71)</f>
        <v/>
      </c>
      <c r="AH206" s="21">
        <f>100*(AH72-AH71)</f>
        <v/>
      </c>
      <c r="AI206" s="21">
        <f>100*(AI72-AI71)</f>
        <v/>
      </c>
      <c r="AJ206" s="21">
        <f>100*(AJ72-AJ71)</f>
        <v/>
      </c>
      <c r="AK206" s="21">
        <f>100*(AK72-AK71)</f>
        <v/>
      </c>
      <c r="AL206" s="21">
        <f>100*(AL72-AL71)</f>
        <v/>
      </c>
      <c r="AM206" s="21">
        <f>100*(AM72-AM71)</f>
        <v/>
      </c>
      <c r="AN206" s="21">
        <f>100*(AN72-AN71)</f>
        <v/>
      </c>
      <c r="AO206" s="21">
        <f>100*(AO72-AO71)</f>
        <v/>
      </c>
      <c r="AP206" s="21">
        <f>100*(AP72-AP71)</f>
        <v/>
      </c>
      <c r="AQ206" s="21">
        <f>100*(AQ72-AQ71)</f>
        <v/>
      </c>
      <c r="AR206" s="21">
        <f>100*(AR72-AR71)</f>
        <v/>
      </c>
      <c r="AS206" s="21">
        <f>100*(AS72-AS71)</f>
        <v/>
      </c>
      <c r="AT206" s="21">
        <f>100*(AT72-AT71)</f>
        <v/>
      </c>
      <c r="AU206" s="21">
        <f>100*(AU72-AU71)</f>
        <v/>
      </c>
      <c r="AV206" s="21">
        <f>AVERAGE(C206:AU206)</f>
        <v/>
      </c>
    </row>
    <row r="207">
      <c r="A207" s="19">
        <f>A73</f>
        <v/>
      </c>
      <c r="B207" s="20">
        <f>B73</f>
        <v/>
      </c>
      <c r="C207" s="21">
        <f>100*(C73-C72)</f>
        <v/>
      </c>
      <c r="D207" s="21">
        <f>100*(D73-D72)</f>
        <v/>
      </c>
      <c r="E207" s="21">
        <f>100*(E73-E72)</f>
        <v/>
      </c>
      <c r="F207" s="21">
        <f>100*(F73-F72)</f>
        <v/>
      </c>
      <c r="G207" s="21">
        <f>100*(G73-G72)</f>
        <v/>
      </c>
      <c r="H207" s="21">
        <f>100*(H73-H72)</f>
        <v/>
      </c>
      <c r="I207" s="21">
        <f>100*(I73-I72)</f>
        <v/>
      </c>
      <c r="J207" s="21">
        <f>100*(J73-J72)</f>
        <v/>
      </c>
      <c r="K207" s="21">
        <f>100*(K73-K72)</f>
        <v/>
      </c>
      <c r="L207" s="21">
        <f>100*(L73-L72)</f>
        <v/>
      </c>
      <c r="M207" s="21">
        <f>100*(M73-M72)</f>
        <v/>
      </c>
      <c r="N207" s="21">
        <f>100*(N73-N72)</f>
        <v/>
      </c>
      <c r="O207" s="21">
        <f>100*(O73-O72)</f>
        <v/>
      </c>
      <c r="P207" s="21">
        <f>100*(P73-P72)</f>
        <v/>
      </c>
      <c r="Q207" s="21">
        <f>100*(Q73-Q72)</f>
        <v/>
      </c>
      <c r="R207" s="21">
        <f>100*(R73-R72)</f>
        <v/>
      </c>
      <c r="S207" s="21">
        <f>100*(S73-S72)</f>
        <v/>
      </c>
      <c r="T207" s="21">
        <f>100*(T73-T72)</f>
        <v/>
      </c>
      <c r="U207" s="21">
        <f>100*(U73-U72)</f>
        <v/>
      </c>
      <c r="V207" s="21">
        <f>100*(V73-V72)</f>
        <v/>
      </c>
      <c r="W207" s="21">
        <f>100*(W73-W72)</f>
        <v/>
      </c>
      <c r="X207" s="21">
        <f>100*(X73-X72)</f>
        <v/>
      </c>
      <c r="Y207" s="21">
        <f>100*(Y73-Y72)</f>
        <v/>
      </c>
      <c r="Z207" s="21">
        <f>100*(Z73-Z72)</f>
        <v/>
      </c>
      <c r="AA207" s="21">
        <f>100*(AA73-AA72)</f>
        <v/>
      </c>
      <c r="AB207" s="21">
        <f>100*(AB73-AB72)</f>
        <v/>
      </c>
      <c r="AC207" s="21">
        <f>100*(AC73-AC72)</f>
        <v/>
      </c>
      <c r="AD207" s="21">
        <f>100*(AD73-AD72)</f>
        <v/>
      </c>
      <c r="AE207" s="21">
        <f>100*(AE73-AE72)</f>
        <v/>
      </c>
      <c r="AF207" s="21">
        <f>100*(AF73-AF72)</f>
        <v/>
      </c>
      <c r="AG207" s="21">
        <f>100*(AG73-AG72)</f>
        <v/>
      </c>
      <c r="AH207" s="21">
        <f>100*(AH73-AH72)</f>
        <v/>
      </c>
      <c r="AI207" s="21">
        <f>100*(AI73-AI72)</f>
        <v/>
      </c>
      <c r="AJ207" s="21">
        <f>100*(AJ73-AJ72)</f>
        <v/>
      </c>
      <c r="AK207" s="21">
        <f>100*(AK73-AK72)</f>
        <v/>
      </c>
      <c r="AL207" s="21">
        <f>100*(AL73-AL72)</f>
        <v/>
      </c>
      <c r="AM207" s="21">
        <f>100*(AM73-AM72)</f>
        <v/>
      </c>
      <c r="AN207" s="21">
        <f>100*(AN73-AN72)</f>
        <v/>
      </c>
      <c r="AO207" s="21">
        <f>100*(AO73-AO72)</f>
        <v/>
      </c>
      <c r="AP207" s="21">
        <f>100*(AP73-AP72)</f>
        <v/>
      </c>
      <c r="AQ207" s="21">
        <f>100*(AQ73-AQ72)</f>
        <v/>
      </c>
      <c r="AR207" s="21">
        <f>100*(AR73-AR72)</f>
        <v/>
      </c>
      <c r="AS207" s="21">
        <f>100*(AS73-AS72)</f>
        <v/>
      </c>
      <c r="AT207" s="21">
        <f>100*(AT73-AT72)</f>
        <v/>
      </c>
      <c r="AU207" s="21">
        <f>100*(AU73-AU72)</f>
        <v/>
      </c>
      <c r="AV207" s="21">
        <f>AVERAGE(C207:AU207)</f>
        <v/>
      </c>
    </row>
    <row r="208">
      <c r="A208" s="19">
        <f>A74</f>
        <v/>
      </c>
      <c r="B208" s="20">
        <f>B74</f>
        <v/>
      </c>
      <c r="C208" s="21">
        <f>100*(C74-C73)</f>
        <v/>
      </c>
      <c r="D208" s="21">
        <f>100*(D74-D73)</f>
        <v/>
      </c>
      <c r="E208" s="21">
        <f>100*(E74-E73)</f>
        <v/>
      </c>
      <c r="F208" s="21">
        <f>100*(F74-F73)</f>
        <v/>
      </c>
      <c r="G208" s="21">
        <f>100*(G74-G73)</f>
        <v/>
      </c>
      <c r="H208" s="21">
        <f>100*(H74-H73)</f>
        <v/>
      </c>
      <c r="I208" s="21">
        <f>100*(I74-I73)</f>
        <v/>
      </c>
      <c r="J208" s="21">
        <f>100*(J74-J73)</f>
        <v/>
      </c>
      <c r="K208" s="21">
        <f>100*(K74-K73)</f>
        <v/>
      </c>
      <c r="L208" s="21">
        <f>100*(L74-L73)</f>
        <v/>
      </c>
      <c r="M208" s="21">
        <f>100*(M74-M73)</f>
        <v/>
      </c>
      <c r="N208" s="21">
        <f>100*(N74-N73)</f>
        <v/>
      </c>
      <c r="O208" s="21">
        <f>100*(O74-O73)</f>
        <v/>
      </c>
      <c r="P208" s="21">
        <f>100*(P74-P73)</f>
        <v/>
      </c>
      <c r="Q208" s="21">
        <f>100*(Q74-Q73)</f>
        <v/>
      </c>
      <c r="R208" s="21">
        <f>100*(R74-R73)</f>
        <v/>
      </c>
      <c r="S208" s="21">
        <f>100*(S74-S73)</f>
        <v/>
      </c>
      <c r="T208" s="21">
        <f>100*(T74-T73)</f>
        <v/>
      </c>
      <c r="U208" s="21">
        <f>100*(U74-U73)</f>
        <v/>
      </c>
      <c r="V208" s="21">
        <f>100*(V74-V73)</f>
        <v/>
      </c>
      <c r="W208" s="21">
        <f>100*(W74-W73)</f>
        <v/>
      </c>
      <c r="X208" s="21">
        <f>100*(X74-X73)</f>
        <v/>
      </c>
      <c r="Y208" s="21">
        <f>100*(Y74-Y73)</f>
        <v/>
      </c>
      <c r="Z208" s="21">
        <f>100*(Z74-Z73)</f>
        <v/>
      </c>
      <c r="AA208" s="21">
        <f>100*(AA74-AA73)</f>
        <v/>
      </c>
      <c r="AB208" s="21">
        <f>100*(AB74-AB73)</f>
        <v/>
      </c>
      <c r="AC208" s="21">
        <f>100*(AC74-AC73)</f>
        <v/>
      </c>
      <c r="AD208" s="21">
        <f>100*(AD74-AD73)</f>
        <v/>
      </c>
      <c r="AE208" s="21">
        <f>100*(AE74-AE73)</f>
        <v/>
      </c>
      <c r="AF208" s="21">
        <f>100*(AF74-AF73)</f>
        <v/>
      </c>
      <c r="AG208" s="21">
        <f>100*(AG74-AG73)</f>
        <v/>
      </c>
      <c r="AH208" s="21">
        <f>100*(AH74-AH73)</f>
        <v/>
      </c>
      <c r="AI208" s="21">
        <f>100*(AI74-AI73)</f>
        <v/>
      </c>
      <c r="AJ208" s="21">
        <f>100*(AJ74-AJ73)</f>
        <v/>
      </c>
      <c r="AK208" s="21">
        <f>100*(AK74-AK73)</f>
        <v/>
      </c>
      <c r="AL208" s="21">
        <f>100*(AL74-AL73)</f>
        <v/>
      </c>
      <c r="AM208" s="21">
        <f>100*(AM74-AM73)</f>
        <v/>
      </c>
      <c r="AN208" s="21">
        <f>100*(AN74-AN73)</f>
        <v/>
      </c>
      <c r="AO208" s="21">
        <f>100*(AO74-AO73)</f>
        <v/>
      </c>
      <c r="AP208" s="21">
        <f>100*(AP74-AP73)</f>
        <v/>
      </c>
      <c r="AQ208" s="21">
        <f>100*(AQ74-AQ73)</f>
        <v/>
      </c>
      <c r="AR208" s="21">
        <f>100*(AR74-AR73)</f>
        <v/>
      </c>
      <c r="AS208" s="21">
        <f>100*(AS74-AS73)</f>
        <v/>
      </c>
      <c r="AT208" s="21">
        <f>100*(AT74-AT73)</f>
        <v/>
      </c>
      <c r="AU208" s="21">
        <f>100*(AU74-AU73)</f>
        <v/>
      </c>
      <c r="AV208" s="21">
        <f>AVERAGE(C208:AU208)</f>
        <v/>
      </c>
    </row>
    <row r="209">
      <c r="A209" s="19">
        <f>A75</f>
        <v/>
      </c>
      <c r="B209" s="20">
        <f>B75</f>
        <v/>
      </c>
      <c r="C209" s="21">
        <f>100*(C75-C74)</f>
        <v/>
      </c>
      <c r="D209" s="21">
        <f>100*(D75-D74)</f>
        <v/>
      </c>
      <c r="E209" s="21">
        <f>100*(E75-E74)</f>
        <v/>
      </c>
      <c r="F209" s="21">
        <f>100*(F75-F74)</f>
        <v/>
      </c>
      <c r="G209" s="21">
        <f>100*(G75-G74)</f>
        <v/>
      </c>
      <c r="H209" s="21">
        <f>100*(H75-H74)</f>
        <v/>
      </c>
      <c r="I209" s="21">
        <f>100*(I75-I74)</f>
        <v/>
      </c>
      <c r="J209" s="21">
        <f>100*(J75-J74)</f>
        <v/>
      </c>
      <c r="K209" s="21">
        <f>100*(K75-K74)</f>
        <v/>
      </c>
      <c r="L209" s="21">
        <f>100*(L75-L74)</f>
        <v/>
      </c>
      <c r="M209" s="21">
        <f>100*(M75-M74)</f>
        <v/>
      </c>
      <c r="N209" s="21">
        <f>100*(N75-N74)</f>
        <v/>
      </c>
      <c r="O209" s="21">
        <f>100*(O75-O74)</f>
        <v/>
      </c>
      <c r="P209" s="21">
        <f>100*(P75-P74)</f>
        <v/>
      </c>
      <c r="Q209" s="21">
        <f>100*(Q75-Q74)</f>
        <v/>
      </c>
      <c r="R209" s="21">
        <f>100*(R75-R74)</f>
        <v/>
      </c>
      <c r="S209" s="21">
        <f>100*(S75-S74)</f>
        <v/>
      </c>
      <c r="T209" s="21">
        <f>100*(T75-T74)</f>
        <v/>
      </c>
      <c r="U209" s="21">
        <f>100*(U75-U74)</f>
        <v/>
      </c>
      <c r="V209" s="21">
        <f>100*(V75-V74)</f>
        <v/>
      </c>
      <c r="W209" s="21">
        <f>100*(W75-W74)</f>
        <v/>
      </c>
      <c r="X209" s="21">
        <f>100*(X75-X74)</f>
        <v/>
      </c>
      <c r="Y209" s="21">
        <f>100*(Y75-Y74)</f>
        <v/>
      </c>
      <c r="Z209" s="21">
        <f>100*(Z75-Z74)</f>
        <v/>
      </c>
      <c r="AA209" s="21">
        <f>100*(AA75-AA74)</f>
        <v/>
      </c>
      <c r="AB209" s="21">
        <f>100*(AB75-AB74)</f>
        <v/>
      </c>
      <c r="AC209" s="21">
        <f>100*(AC75-AC74)</f>
        <v/>
      </c>
      <c r="AD209" s="21">
        <f>100*(AD75-AD74)</f>
        <v/>
      </c>
      <c r="AE209" s="21">
        <f>100*(AE75-AE74)</f>
        <v/>
      </c>
      <c r="AF209" s="21">
        <f>100*(AF75-AF74)</f>
        <v/>
      </c>
      <c r="AG209" s="21">
        <f>100*(AG75-AG74)</f>
        <v/>
      </c>
      <c r="AH209" s="21">
        <f>100*(AH75-AH74)</f>
        <v/>
      </c>
      <c r="AI209" s="21">
        <f>100*(AI75-AI74)</f>
        <v/>
      </c>
      <c r="AJ209" s="21">
        <f>100*(AJ75-AJ74)</f>
        <v/>
      </c>
      <c r="AK209" s="21">
        <f>100*(AK75-AK74)</f>
        <v/>
      </c>
      <c r="AL209" s="21">
        <f>100*(AL75-AL74)</f>
        <v/>
      </c>
      <c r="AM209" s="21">
        <f>100*(AM75-AM74)</f>
        <v/>
      </c>
      <c r="AN209" s="21">
        <f>100*(AN75-AN74)</f>
        <v/>
      </c>
      <c r="AO209" s="21">
        <f>100*(AO75-AO74)</f>
        <v/>
      </c>
      <c r="AP209" s="21">
        <f>100*(AP75-AP74)</f>
        <v/>
      </c>
      <c r="AQ209" s="21">
        <f>100*(AQ75-AQ74)</f>
        <v/>
      </c>
      <c r="AR209" s="21">
        <f>100*(AR75-AR74)</f>
        <v/>
      </c>
      <c r="AS209" s="21">
        <f>100*(AS75-AS74)</f>
        <v/>
      </c>
      <c r="AT209" s="21">
        <f>100*(AT75-AT74)</f>
        <v/>
      </c>
      <c r="AU209" s="21">
        <f>100*(AU75-AU74)</f>
        <v/>
      </c>
      <c r="AV209" s="21">
        <f>AVERAGE(C209:AU209)</f>
        <v/>
      </c>
    </row>
    <row r="210">
      <c r="A210" s="19">
        <f>A76</f>
        <v/>
      </c>
      <c r="B210" s="20">
        <f>B76</f>
        <v/>
      </c>
      <c r="C210" s="21">
        <f>100*(C76-C75)</f>
        <v/>
      </c>
      <c r="D210" s="21">
        <f>100*(D76-D75)</f>
        <v/>
      </c>
      <c r="E210" s="21">
        <f>100*(E76-E75)</f>
        <v/>
      </c>
      <c r="F210" s="21">
        <f>100*(F76-F75)</f>
        <v/>
      </c>
      <c r="G210" s="21">
        <f>100*(G76-G75)</f>
        <v/>
      </c>
      <c r="H210" s="21">
        <f>100*(H76-H75)</f>
        <v/>
      </c>
      <c r="I210" s="21">
        <f>100*(I76-I75)</f>
        <v/>
      </c>
      <c r="J210" s="21">
        <f>100*(J76-J75)</f>
        <v/>
      </c>
      <c r="K210" s="21">
        <f>100*(K76-K75)</f>
        <v/>
      </c>
      <c r="L210" s="21">
        <f>100*(L76-L75)</f>
        <v/>
      </c>
      <c r="M210" s="21">
        <f>100*(M76-M75)</f>
        <v/>
      </c>
      <c r="N210" s="21">
        <f>100*(N76-N75)</f>
        <v/>
      </c>
      <c r="O210" s="21">
        <f>100*(O76-O75)</f>
        <v/>
      </c>
      <c r="P210" s="21">
        <f>100*(P76-P75)</f>
        <v/>
      </c>
      <c r="Q210" s="21">
        <f>100*(Q76-Q75)</f>
        <v/>
      </c>
      <c r="R210" s="21">
        <f>100*(R76-R75)</f>
        <v/>
      </c>
      <c r="S210" s="21">
        <f>100*(S76-S75)</f>
        <v/>
      </c>
      <c r="T210" s="21">
        <f>100*(T76-T75)</f>
        <v/>
      </c>
      <c r="U210" s="21">
        <f>100*(U76-U75)</f>
        <v/>
      </c>
      <c r="V210" s="21">
        <f>100*(V76-V75)</f>
        <v/>
      </c>
      <c r="W210" s="21">
        <f>100*(W76-W75)</f>
        <v/>
      </c>
      <c r="X210" s="21">
        <f>100*(X76-X75)</f>
        <v/>
      </c>
      <c r="Y210" s="21">
        <f>100*(Y76-Y75)</f>
        <v/>
      </c>
      <c r="Z210" s="21">
        <f>100*(Z76-Z75)</f>
        <v/>
      </c>
      <c r="AA210" s="21">
        <f>100*(AA76-AA75)</f>
        <v/>
      </c>
      <c r="AB210" s="21">
        <f>100*(AB76-AB75)</f>
        <v/>
      </c>
      <c r="AC210" s="21">
        <f>100*(AC76-AC75)</f>
        <v/>
      </c>
      <c r="AD210" s="21">
        <f>100*(AD76-AD75)</f>
        <v/>
      </c>
      <c r="AE210" s="21">
        <f>100*(AE76-AE75)</f>
        <v/>
      </c>
      <c r="AF210" s="21">
        <f>100*(AF76-AF75)</f>
        <v/>
      </c>
      <c r="AG210" s="21">
        <f>100*(AG76-AG75)</f>
        <v/>
      </c>
      <c r="AH210" s="21">
        <f>100*(AH76-AH75)</f>
        <v/>
      </c>
      <c r="AI210" s="21">
        <f>100*(AI76-AI75)</f>
        <v/>
      </c>
      <c r="AJ210" s="21">
        <f>100*(AJ76-AJ75)</f>
        <v/>
      </c>
      <c r="AK210" s="21">
        <f>100*(AK76-AK75)</f>
        <v/>
      </c>
      <c r="AL210" s="21">
        <f>100*(AL76-AL75)</f>
        <v/>
      </c>
      <c r="AM210" s="21">
        <f>100*(AM76-AM75)</f>
        <v/>
      </c>
      <c r="AN210" s="21">
        <f>100*(AN76-AN75)</f>
        <v/>
      </c>
      <c r="AO210" s="21">
        <f>100*(AO76-AO75)</f>
        <v/>
      </c>
      <c r="AP210" s="21">
        <f>100*(AP76-AP75)</f>
        <v/>
      </c>
      <c r="AQ210" s="21">
        <f>100*(AQ76-AQ75)</f>
        <v/>
      </c>
      <c r="AR210" s="21">
        <f>100*(AR76-AR75)</f>
        <v/>
      </c>
      <c r="AS210" s="21">
        <f>100*(AS76-AS75)</f>
        <v/>
      </c>
      <c r="AT210" s="21">
        <f>100*(AT76-AT75)</f>
        <v/>
      </c>
      <c r="AU210" s="21">
        <f>100*(AU76-AU75)</f>
        <v/>
      </c>
      <c r="AV210" s="21">
        <f>AVERAGE(C210:AU210)</f>
        <v/>
      </c>
    </row>
    <row r="211">
      <c r="A211" s="19">
        <f>A77</f>
        <v/>
      </c>
      <c r="B211" s="20">
        <f>B77</f>
        <v/>
      </c>
      <c r="C211" s="21">
        <f>100*(C77-C76)</f>
        <v/>
      </c>
      <c r="D211" s="21">
        <f>100*(D77-D76)</f>
        <v/>
      </c>
      <c r="E211" s="21">
        <f>100*(E77-E76)</f>
        <v/>
      </c>
      <c r="F211" s="21">
        <f>100*(F77-F76)</f>
        <v/>
      </c>
      <c r="G211" s="21">
        <f>100*(G77-G76)</f>
        <v/>
      </c>
      <c r="H211" s="21">
        <f>100*(H77-H76)</f>
        <v/>
      </c>
      <c r="I211" s="21">
        <f>100*(I77-I76)</f>
        <v/>
      </c>
      <c r="J211" s="21">
        <f>100*(J77-J76)</f>
        <v/>
      </c>
      <c r="K211" s="21">
        <f>100*(K77-K76)</f>
        <v/>
      </c>
      <c r="L211" s="21">
        <f>100*(L77-L76)</f>
        <v/>
      </c>
      <c r="M211" s="21">
        <f>100*(M77-M76)</f>
        <v/>
      </c>
      <c r="N211" s="21">
        <f>100*(N77-N76)</f>
        <v/>
      </c>
      <c r="O211" s="21">
        <f>100*(O77-O76)</f>
        <v/>
      </c>
      <c r="P211" s="21">
        <f>100*(P77-P76)</f>
        <v/>
      </c>
      <c r="Q211" s="21">
        <f>100*(Q77-Q76)</f>
        <v/>
      </c>
      <c r="R211" s="21">
        <f>100*(R77-R76)</f>
        <v/>
      </c>
      <c r="S211" s="21">
        <f>100*(S77-S76)</f>
        <v/>
      </c>
      <c r="T211" s="21">
        <f>100*(T77-T76)</f>
        <v/>
      </c>
      <c r="U211" s="21">
        <f>100*(U77-U76)</f>
        <v/>
      </c>
      <c r="V211" s="21">
        <f>100*(V77-V76)</f>
        <v/>
      </c>
      <c r="W211" s="21">
        <f>100*(W77-W76)</f>
        <v/>
      </c>
      <c r="X211" s="21">
        <f>100*(X77-X76)</f>
        <v/>
      </c>
      <c r="Y211" s="21">
        <f>100*(Y77-Y76)</f>
        <v/>
      </c>
      <c r="Z211" s="21">
        <f>100*(Z77-Z76)</f>
        <v/>
      </c>
      <c r="AA211" s="21">
        <f>100*(AA77-AA76)</f>
        <v/>
      </c>
      <c r="AB211" s="21">
        <f>100*(AB77-AB76)</f>
        <v/>
      </c>
      <c r="AC211" s="21">
        <f>100*(AC77-AC76)</f>
        <v/>
      </c>
      <c r="AD211" s="21">
        <f>100*(AD77-AD76)</f>
        <v/>
      </c>
      <c r="AE211" s="21">
        <f>100*(AE77-AE76)</f>
        <v/>
      </c>
      <c r="AF211" s="21">
        <f>100*(AF77-AF76)</f>
        <v/>
      </c>
      <c r="AG211" s="21">
        <f>100*(AG77-AG76)</f>
        <v/>
      </c>
      <c r="AH211" s="21">
        <f>100*(AH77-AH76)</f>
        <v/>
      </c>
      <c r="AI211" s="21">
        <f>100*(AI77-AI76)</f>
        <v/>
      </c>
      <c r="AJ211" s="21">
        <f>100*(AJ77-AJ76)</f>
        <v/>
      </c>
      <c r="AK211" s="21">
        <f>100*(AK77-AK76)</f>
        <v/>
      </c>
      <c r="AL211" s="21">
        <f>100*(AL77-AL76)</f>
        <v/>
      </c>
      <c r="AM211" s="21">
        <f>100*(AM77-AM76)</f>
        <v/>
      </c>
      <c r="AN211" s="21">
        <f>100*(AN77-AN76)</f>
        <v/>
      </c>
      <c r="AO211" s="21">
        <f>100*(AO77-AO76)</f>
        <v/>
      </c>
      <c r="AP211" s="21">
        <f>100*(AP77-AP76)</f>
        <v/>
      </c>
      <c r="AQ211" s="21">
        <f>100*(AQ77-AQ76)</f>
        <v/>
      </c>
      <c r="AR211" s="21">
        <f>100*(AR77-AR76)</f>
        <v/>
      </c>
      <c r="AS211" s="21">
        <f>100*(AS77-AS76)</f>
        <v/>
      </c>
      <c r="AT211" s="21">
        <f>100*(AT77-AT76)</f>
        <v/>
      </c>
      <c r="AU211" s="21">
        <f>100*(AU77-AU76)</f>
        <v/>
      </c>
      <c r="AV211" s="21">
        <f>AVERAGE(C211:AU211)</f>
        <v/>
      </c>
    </row>
    <row r="212">
      <c r="A212" s="19">
        <f>A78</f>
        <v/>
      </c>
      <c r="B212" s="20">
        <f>B78</f>
        <v/>
      </c>
      <c r="C212" s="21">
        <f>100*(C78-C77)</f>
        <v/>
      </c>
      <c r="D212" s="21">
        <f>100*(D78-D77)</f>
        <v/>
      </c>
      <c r="E212" s="21">
        <f>100*(E78-E77)</f>
        <v/>
      </c>
      <c r="F212" s="21">
        <f>100*(F78-F77)</f>
        <v/>
      </c>
      <c r="G212" s="21">
        <f>100*(G78-G77)</f>
        <v/>
      </c>
      <c r="H212" s="21">
        <f>100*(H78-H77)</f>
        <v/>
      </c>
      <c r="I212" s="21">
        <f>100*(I78-I77)</f>
        <v/>
      </c>
      <c r="J212" s="21">
        <f>100*(J78-J77)</f>
        <v/>
      </c>
      <c r="K212" s="21">
        <f>100*(K78-K77)</f>
        <v/>
      </c>
      <c r="L212" s="21">
        <f>100*(L78-L77)</f>
        <v/>
      </c>
      <c r="M212" s="21">
        <f>100*(M78-M77)</f>
        <v/>
      </c>
      <c r="N212" s="21">
        <f>100*(N78-N77)</f>
        <v/>
      </c>
      <c r="O212" s="21">
        <f>100*(O78-O77)</f>
        <v/>
      </c>
      <c r="P212" s="21">
        <f>100*(P78-P77)</f>
        <v/>
      </c>
      <c r="Q212" s="21">
        <f>100*(Q78-Q77)</f>
        <v/>
      </c>
      <c r="R212" s="21">
        <f>100*(R78-R77)</f>
        <v/>
      </c>
      <c r="S212" s="21">
        <f>100*(S78-S77)</f>
        <v/>
      </c>
      <c r="T212" s="21">
        <f>100*(T78-T77)</f>
        <v/>
      </c>
      <c r="U212" s="21">
        <f>100*(U78-U77)</f>
        <v/>
      </c>
      <c r="V212" s="21">
        <f>100*(V78-V77)</f>
        <v/>
      </c>
      <c r="W212" s="21">
        <f>100*(W78-W77)</f>
        <v/>
      </c>
      <c r="X212" s="21">
        <f>100*(X78-X77)</f>
        <v/>
      </c>
      <c r="Y212" s="21">
        <f>100*(Y78-Y77)</f>
        <v/>
      </c>
      <c r="Z212" s="21">
        <f>100*(Z78-Z77)</f>
        <v/>
      </c>
      <c r="AA212" s="21">
        <f>100*(AA78-AA77)</f>
        <v/>
      </c>
      <c r="AB212" s="21">
        <f>100*(AB78-AB77)</f>
        <v/>
      </c>
      <c r="AC212" s="21">
        <f>100*(AC78-AC77)</f>
        <v/>
      </c>
      <c r="AD212" s="21">
        <f>100*(AD78-AD77)</f>
        <v/>
      </c>
      <c r="AE212" s="21">
        <f>100*(AE78-AE77)</f>
        <v/>
      </c>
      <c r="AF212" s="21">
        <f>100*(AF78-AF77)</f>
        <v/>
      </c>
      <c r="AG212" s="21">
        <f>100*(AG78-AG77)</f>
        <v/>
      </c>
      <c r="AH212" s="21">
        <f>100*(AH78-AH77)</f>
        <v/>
      </c>
      <c r="AI212" s="21">
        <f>100*(AI78-AI77)</f>
        <v/>
      </c>
      <c r="AJ212" s="21">
        <f>100*(AJ78-AJ77)</f>
        <v/>
      </c>
      <c r="AK212" s="21">
        <f>100*(AK78-AK77)</f>
        <v/>
      </c>
      <c r="AL212" s="21">
        <f>100*(AL78-AL77)</f>
        <v/>
      </c>
      <c r="AM212" s="21">
        <f>100*(AM78-AM77)</f>
        <v/>
      </c>
      <c r="AN212" s="21">
        <f>100*(AN78-AN77)</f>
        <v/>
      </c>
      <c r="AO212" s="21">
        <f>100*(AO78-AO77)</f>
        <v/>
      </c>
      <c r="AP212" s="21">
        <f>100*(AP78-AP77)</f>
        <v/>
      </c>
      <c r="AQ212" s="21">
        <f>100*(AQ78-AQ77)</f>
        <v/>
      </c>
      <c r="AR212" s="21">
        <f>100*(AR78-AR77)</f>
        <v/>
      </c>
      <c r="AS212" s="21">
        <f>100*(AS78-AS77)</f>
        <v/>
      </c>
      <c r="AT212" s="21">
        <f>100*(AT78-AT77)</f>
        <v/>
      </c>
      <c r="AU212" s="21">
        <f>100*(AU78-AU77)</f>
        <v/>
      </c>
      <c r="AV212" s="21">
        <f>AVERAGE(C212:AU212)</f>
        <v/>
      </c>
    </row>
    <row r="213">
      <c r="A213" s="19">
        <f>A79</f>
        <v/>
      </c>
      <c r="B213" s="20">
        <f>B79</f>
        <v/>
      </c>
      <c r="C213" s="21">
        <f>100*(C79-C78)</f>
        <v/>
      </c>
      <c r="D213" s="21">
        <f>100*(D79-D78)</f>
        <v/>
      </c>
      <c r="E213" s="21">
        <f>100*(E79-E78)</f>
        <v/>
      </c>
      <c r="F213" s="21">
        <f>100*(F79-F78)</f>
        <v/>
      </c>
      <c r="G213" s="21">
        <f>100*(G79-G78)</f>
        <v/>
      </c>
      <c r="H213" s="21">
        <f>100*(H79-H78)</f>
        <v/>
      </c>
      <c r="I213" s="21">
        <f>100*(I79-I78)</f>
        <v/>
      </c>
      <c r="J213" s="21">
        <f>100*(J79-J78)</f>
        <v/>
      </c>
      <c r="K213" s="21">
        <f>100*(K79-K78)</f>
        <v/>
      </c>
      <c r="L213" s="21">
        <f>100*(L79-L78)</f>
        <v/>
      </c>
      <c r="M213" s="21">
        <f>100*(M79-M78)</f>
        <v/>
      </c>
      <c r="N213" s="21">
        <f>100*(N79-N78)</f>
        <v/>
      </c>
      <c r="O213" s="21">
        <f>100*(O79-O78)</f>
        <v/>
      </c>
      <c r="P213" s="21">
        <f>100*(P79-P78)</f>
        <v/>
      </c>
      <c r="Q213" s="21">
        <f>100*(Q79-Q78)</f>
        <v/>
      </c>
      <c r="R213" s="21">
        <f>100*(R79-R78)</f>
        <v/>
      </c>
      <c r="S213" s="21">
        <f>100*(S79-S78)</f>
        <v/>
      </c>
      <c r="T213" s="21">
        <f>100*(T79-T78)</f>
        <v/>
      </c>
      <c r="U213" s="21">
        <f>100*(U79-U78)</f>
        <v/>
      </c>
      <c r="V213" s="21">
        <f>100*(V79-V78)</f>
        <v/>
      </c>
      <c r="W213" s="21">
        <f>100*(W79-W78)</f>
        <v/>
      </c>
      <c r="X213" s="21">
        <f>100*(X79-X78)</f>
        <v/>
      </c>
      <c r="Y213" s="21">
        <f>100*(Y79-Y78)</f>
        <v/>
      </c>
      <c r="Z213" s="21">
        <f>100*(Z79-Z78)</f>
        <v/>
      </c>
      <c r="AA213" s="21">
        <f>100*(AA79-AA78)</f>
        <v/>
      </c>
      <c r="AB213" s="21">
        <f>100*(AB79-AB78)</f>
        <v/>
      </c>
      <c r="AC213" s="21">
        <f>100*(AC79-AC78)</f>
        <v/>
      </c>
      <c r="AD213" s="21">
        <f>100*(AD79-AD78)</f>
        <v/>
      </c>
      <c r="AE213" s="21">
        <f>100*(AE79-AE78)</f>
        <v/>
      </c>
      <c r="AF213" s="21">
        <f>100*(AF79-AF78)</f>
        <v/>
      </c>
      <c r="AG213" s="21">
        <f>100*(AG79-AG78)</f>
        <v/>
      </c>
      <c r="AH213" s="21">
        <f>100*(AH79-AH78)</f>
        <v/>
      </c>
      <c r="AI213" s="21">
        <f>100*(AI79-AI78)</f>
        <v/>
      </c>
      <c r="AJ213" s="21">
        <f>100*(AJ79-AJ78)</f>
        <v/>
      </c>
      <c r="AK213" s="21">
        <f>100*(AK79-AK78)</f>
        <v/>
      </c>
      <c r="AL213" s="21">
        <f>100*(AL79-AL78)</f>
        <v/>
      </c>
      <c r="AM213" s="21">
        <f>100*(AM79-AM78)</f>
        <v/>
      </c>
      <c r="AN213" s="21">
        <f>100*(AN79-AN78)</f>
        <v/>
      </c>
      <c r="AO213" s="21">
        <f>100*(AO79-AO78)</f>
        <v/>
      </c>
      <c r="AP213" s="21">
        <f>100*(AP79-AP78)</f>
        <v/>
      </c>
      <c r="AQ213" s="21">
        <f>100*(AQ79-AQ78)</f>
        <v/>
      </c>
      <c r="AR213" s="21">
        <f>100*(AR79-AR78)</f>
        <v/>
      </c>
      <c r="AS213" s="21">
        <f>100*(AS79-AS78)</f>
        <v/>
      </c>
      <c r="AT213" s="21">
        <f>100*(AT79-AT78)</f>
        <v/>
      </c>
      <c r="AU213" s="21">
        <f>100*(AU79-AU78)</f>
        <v/>
      </c>
      <c r="AV213" s="21">
        <f>AVERAGE(C213:AU213)</f>
        <v/>
      </c>
    </row>
    <row r="214">
      <c r="A214" s="19">
        <f>A80</f>
        <v/>
      </c>
      <c r="B214" s="20">
        <f>B80</f>
        <v/>
      </c>
      <c r="C214" s="21">
        <f>100*(C80-C79)</f>
        <v/>
      </c>
      <c r="D214" s="21">
        <f>100*(D80-D79)</f>
        <v/>
      </c>
      <c r="E214" s="21">
        <f>100*(E80-E79)</f>
        <v/>
      </c>
      <c r="F214" s="21">
        <f>100*(F80-F79)</f>
        <v/>
      </c>
      <c r="G214" s="21">
        <f>100*(G80-G79)</f>
        <v/>
      </c>
      <c r="H214" s="21">
        <f>100*(H80-H79)</f>
        <v/>
      </c>
      <c r="I214" s="21">
        <f>100*(I80-I79)</f>
        <v/>
      </c>
      <c r="J214" s="21">
        <f>100*(J80-J79)</f>
        <v/>
      </c>
      <c r="K214" s="21">
        <f>100*(K80-K79)</f>
        <v/>
      </c>
      <c r="L214" s="21">
        <f>100*(L80-L79)</f>
        <v/>
      </c>
      <c r="M214" s="21">
        <f>100*(M80-M79)</f>
        <v/>
      </c>
      <c r="N214" s="21">
        <f>100*(N80-N79)</f>
        <v/>
      </c>
      <c r="O214" s="21">
        <f>100*(O80-O79)</f>
        <v/>
      </c>
      <c r="P214" s="21">
        <f>100*(P80-P79)</f>
        <v/>
      </c>
      <c r="Q214" s="21">
        <f>100*(Q80-Q79)</f>
        <v/>
      </c>
      <c r="R214" s="21">
        <f>100*(R80-R79)</f>
        <v/>
      </c>
      <c r="S214" s="21">
        <f>100*(S80-S79)</f>
        <v/>
      </c>
      <c r="T214" s="21">
        <f>100*(T80-T79)</f>
        <v/>
      </c>
      <c r="U214" s="21">
        <f>100*(U80-U79)</f>
        <v/>
      </c>
      <c r="V214" s="21">
        <f>100*(V80-V79)</f>
        <v/>
      </c>
      <c r="W214" s="21">
        <f>100*(W80-W79)</f>
        <v/>
      </c>
      <c r="X214" s="21">
        <f>100*(X80-X79)</f>
        <v/>
      </c>
      <c r="Y214" s="21">
        <f>100*(Y80-Y79)</f>
        <v/>
      </c>
      <c r="Z214" s="21">
        <f>100*(Z80-Z79)</f>
        <v/>
      </c>
      <c r="AA214" s="21">
        <f>100*(AA80-AA79)</f>
        <v/>
      </c>
      <c r="AB214" s="21">
        <f>100*(AB80-AB79)</f>
        <v/>
      </c>
      <c r="AC214" s="21">
        <f>100*(AC80-AC79)</f>
        <v/>
      </c>
      <c r="AD214" s="21">
        <f>100*(AD80-AD79)</f>
        <v/>
      </c>
      <c r="AE214" s="21">
        <f>100*(AE80-AE79)</f>
        <v/>
      </c>
      <c r="AF214" s="21">
        <f>100*(AF80-AF79)</f>
        <v/>
      </c>
      <c r="AG214" s="21">
        <f>100*(AG80-AG79)</f>
        <v/>
      </c>
      <c r="AH214" s="21">
        <f>100*(AH80-AH79)</f>
        <v/>
      </c>
      <c r="AI214" s="21">
        <f>100*(AI80-AI79)</f>
        <v/>
      </c>
      <c r="AJ214" s="21">
        <f>100*(AJ80-AJ79)</f>
        <v/>
      </c>
      <c r="AK214" s="21">
        <f>100*(AK80-AK79)</f>
        <v/>
      </c>
      <c r="AL214" s="21">
        <f>100*(AL80-AL79)</f>
        <v/>
      </c>
      <c r="AM214" s="21">
        <f>100*(AM80-AM79)</f>
        <v/>
      </c>
      <c r="AN214" s="21">
        <f>100*(AN80-AN79)</f>
        <v/>
      </c>
      <c r="AO214" s="21">
        <f>100*(AO80-AO79)</f>
        <v/>
      </c>
      <c r="AP214" s="21">
        <f>100*(AP80-AP79)</f>
        <v/>
      </c>
      <c r="AQ214" s="21">
        <f>100*(AQ80-AQ79)</f>
        <v/>
      </c>
      <c r="AR214" s="21">
        <f>100*(AR80-AR79)</f>
        <v/>
      </c>
      <c r="AS214" s="21">
        <f>100*(AS80-AS79)</f>
        <v/>
      </c>
      <c r="AT214" s="21">
        <f>100*(AT80-AT79)</f>
        <v/>
      </c>
      <c r="AU214" s="21">
        <f>100*(AU80-AU79)</f>
        <v/>
      </c>
      <c r="AV214" s="21">
        <f>AVERAGE(C214:AU214)</f>
        <v/>
      </c>
    </row>
    <row r="215">
      <c r="A215" s="19">
        <f>A81</f>
        <v/>
      </c>
      <c r="B215" s="20">
        <f>B81</f>
        <v/>
      </c>
      <c r="C215" s="21">
        <f>100*(C81-C80)</f>
        <v/>
      </c>
      <c r="D215" s="21">
        <f>100*(D81-D80)</f>
        <v/>
      </c>
      <c r="E215" s="21">
        <f>100*(E81-E80)</f>
        <v/>
      </c>
      <c r="F215" s="21">
        <f>100*(F81-F80)</f>
        <v/>
      </c>
      <c r="G215" s="21">
        <f>100*(G81-G80)</f>
        <v/>
      </c>
      <c r="H215" s="21">
        <f>100*(H81-H80)</f>
        <v/>
      </c>
      <c r="I215" s="21">
        <f>100*(I81-I80)</f>
        <v/>
      </c>
      <c r="J215" s="21">
        <f>100*(J81-J80)</f>
        <v/>
      </c>
      <c r="K215" s="21">
        <f>100*(K81-K80)</f>
        <v/>
      </c>
      <c r="L215" s="21">
        <f>100*(L81-L80)</f>
        <v/>
      </c>
      <c r="M215" s="21">
        <f>100*(M81-M80)</f>
        <v/>
      </c>
      <c r="N215" s="21">
        <f>100*(N81-N80)</f>
        <v/>
      </c>
      <c r="O215" s="21">
        <f>100*(O81-O80)</f>
        <v/>
      </c>
      <c r="P215" s="21">
        <f>100*(P81-P80)</f>
        <v/>
      </c>
      <c r="Q215" s="21">
        <f>100*(Q81-Q80)</f>
        <v/>
      </c>
      <c r="R215" s="21">
        <f>100*(R81-R80)</f>
        <v/>
      </c>
      <c r="S215" s="21">
        <f>100*(S81-S80)</f>
        <v/>
      </c>
      <c r="T215" s="21">
        <f>100*(T81-T80)</f>
        <v/>
      </c>
      <c r="U215" s="21">
        <f>100*(U81-U80)</f>
        <v/>
      </c>
      <c r="V215" s="21">
        <f>100*(V81-V80)</f>
        <v/>
      </c>
      <c r="W215" s="21">
        <f>100*(W81-W80)</f>
        <v/>
      </c>
      <c r="X215" s="21">
        <f>100*(X81-X80)</f>
        <v/>
      </c>
      <c r="Y215" s="21">
        <f>100*(Y81-Y80)</f>
        <v/>
      </c>
      <c r="Z215" s="21">
        <f>100*(Z81-Z80)</f>
        <v/>
      </c>
      <c r="AA215" s="21">
        <f>100*(AA81-AA80)</f>
        <v/>
      </c>
      <c r="AB215" s="21">
        <f>100*(AB81-AB80)</f>
        <v/>
      </c>
      <c r="AC215" s="21">
        <f>100*(AC81-AC80)</f>
        <v/>
      </c>
      <c r="AD215" s="21">
        <f>100*(AD81-AD80)</f>
        <v/>
      </c>
      <c r="AE215" s="21">
        <f>100*(AE81-AE80)</f>
        <v/>
      </c>
      <c r="AF215" s="21">
        <f>100*(AF81-AF80)</f>
        <v/>
      </c>
      <c r="AG215" s="21">
        <f>100*(AG81-AG80)</f>
        <v/>
      </c>
      <c r="AH215" s="21">
        <f>100*(AH81-AH80)</f>
        <v/>
      </c>
      <c r="AI215" s="21">
        <f>100*(AI81-AI80)</f>
        <v/>
      </c>
      <c r="AJ215" s="21">
        <f>100*(AJ81-AJ80)</f>
        <v/>
      </c>
      <c r="AK215" s="21">
        <f>100*(AK81-AK80)</f>
        <v/>
      </c>
      <c r="AL215" s="21">
        <f>100*(AL81-AL80)</f>
        <v/>
      </c>
      <c r="AM215" s="21">
        <f>100*(AM81-AM80)</f>
        <v/>
      </c>
      <c r="AN215" s="21">
        <f>100*(AN81-AN80)</f>
        <v/>
      </c>
      <c r="AO215" s="21">
        <f>100*(AO81-AO80)</f>
        <v/>
      </c>
      <c r="AP215" s="21">
        <f>100*(AP81-AP80)</f>
        <v/>
      </c>
      <c r="AQ215" s="21">
        <f>100*(AQ81-AQ80)</f>
        <v/>
      </c>
      <c r="AR215" s="21">
        <f>100*(AR81-AR80)</f>
        <v/>
      </c>
      <c r="AS215" s="21">
        <f>100*(AS81-AS80)</f>
        <v/>
      </c>
      <c r="AT215" s="21">
        <f>100*(AT81-AT80)</f>
        <v/>
      </c>
      <c r="AU215" s="21">
        <f>100*(AU81-AU80)</f>
        <v/>
      </c>
      <c r="AV215" s="21">
        <f>AVERAGE(C215:AU215)</f>
        <v/>
      </c>
    </row>
    <row r="216">
      <c r="A216" s="19">
        <f>A82</f>
        <v/>
      </c>
      <c r="B216" s="20">
        <f>B82</f>
        <v/>
      </c>
      <c r="C216" s="21">
        <f>100*(C82-C81)</f>
        <v/>
      </c>
      <c r="D216" s="21">
        <f>100*(D82-D81)</f>
        <v/>
      </c>
      <c r="E216" s="21">
        <f>100*(E82-E81)</f>
        <v/>
      </c>
      <c r="F216" s="21">
        <f>100*(F82-F81)</f>
        <v/>
      </c>
      <c r="G216" s="21">
        <f>100*(G82-G81)</f>
        <v/>
      </c>
      <c r="H216" s="21">
        <f>100*(H82-H81)</f>
        <v/>
      </c>
      <c r="I216" s="21">
        <f>100*(I82-I81)</f>
        <v/>
      </c>
      <c r="J216" s="21">
        <f>100*(J82-J81)</f>
        <v/>
      </c>
      <c r="K216" s="21">
        <f>100*(K82-K81)</f>
        <v/>
      </c>
      <c r="L216" s="21">
        <f>100*(L82-L81)</f>
        <v/>
      </c>
      <c r="M216" s="21">
        <f>100*(M82-M81)</f>
        <v/>
      </c>
      <c r="N216" s="21">
        <f>100*(N82-N81)</f>
        <v/>
      </c>
      <c r="O216" s="21">
        <f>100*(O82-O81)</f>
        <v/>
      </c>
      <c r="P216" s="21">
        <f>100*(P82-P81)</f>
        <v/>
      </c>
      <c r="Q216" s="21">
        <f>100*(Q82-Q81)</f>
        <v/>
      </c>
      <c r="R216" s="21">
        <f>100*(R82-R81)</f>
        <v/>
      </c>
      <c r="S216" s="21">
        <f>100*(S82-S81)</f>
        <v/>
      </c>
      <c r="T216" s="21">
        <f>100*(T82-T81)</f>
        <v/>
      </c>
      <c r="U216" s="21">
        <f>100*(U82-U81)</f>
        <v/>
      </c>
      <c r="V216" s="21">
        <f>100*(V82-V81)</f>
        <v/>
      </c>
      <c r="W216" s="21">
        <f>100*(W82-W81)</f>
        <v/>
      </c>
      <c r="X216" s="21">
        <f>100*(X82-X81)</f>
        <v/>
      </c>
      <c r="Y216" s="21">
        <f>100*(Y82-Y81)</f>
        <v/>
      </c>
      <c r="Z216" s="21">
        <f>100*(Z82-Z81)</f>
        <v/>
      </c>
      <c r="AA216" s="21">
        <f>100*(AA82-AA81)</f>
        <v/>
      </c>
      <c r="AB216" s="21">
        <f>100*(AB82-AB81)</f>
        <v/>
      </c>
      <c r="AC216" s="21">
        <f>100*(AC82-AC81)</f>
        <v/>
      </c>
      <c r="AD216" s="21">
        <f>100*(AD82-AD81)</f>
        <v/>
      </c>
      <c r="AE216" s="21">
        <f>100*(AE82-AE81)</f>
        <v/>
      </c>
      <c r="AF216" s="21">
        <f>100*(AF82-AF81)</f>
        <v/>
      </c>
      <c r="AG216" s="21">
        <f>100*(AG82-AG81)</f>
        <v/>
      </c>
      <c r="AH216" s="21">
        <f>100*(AH82-AH81)</f>
        <v/>
      </c>
      <c r="AI216" s="21">
        <f>100*(AI82-AI81)</f>
        <v/>
      </c>
      <c r="AJ216" s="21">
        <f>100*(AJ82-AJ81)</f>
        <v/>
      </c>
      <c r="AK216" s="21">
        <f>100*(AK82-AK81)</f>
        <v/>
      </c>
      <c r="AL216" s="21">
        <f>100*(AL82-AL81)</f>
        <v/>
      </c>
      <c r="AM216" s="21">
        <f>100*(AM82-AM81)</f>
        <v/>
      </c>
      <c r="AN216" s="21">
        <f>100*(AN82-AN81)</f>
        <v/>
      </c>
      <c r="AO216" s="21">
        <f>100*(AO82-AO81)</f>
        <v/>
      </c>
      <c r="AP216" s="21">
        <f>100*(AP82-AP81)</f>
        <v/>
      </c>
      <c r="AQ216" s="21">
        <f>100*(AQ82-AQ81)</f>
        <v/>
      </c>
      <c r="AR216" s="21">
        <f>100*(AR82-AR81)</f>
        <v/>
      </c>
      <c r="AS216" s="21">
        <f>100*(AS82-AS81)</f>
        <v/>
      </c>
      <c r="AT216" s="21">
        <f>100*(AT82-AT81)</f>
        <v/>
      </c>
      <c r="AU216" s="21">
        <f>100*(AU82-AU81)</f>
        <v/>
      </c>
      <c r="AV216" s="21">
        <f>AVERAGE(C216:AU216)</f>
        <v/>
      </c>
    </row>
    <row r="217">
      <c r="A217" s="19">
        <f>A83</f>
        <v/>
      </c>
      <c r="B217" s="20">
        <f>B83</f>
        <v/>
      </c>
      <c r="C217" s="21">
        <f>100*(C83-C82)</f>
        <v/>
      </c>
      <c r="D217" s="21">
        <f>100*(D83-D82)</f>
        <v/>
      </c>
      <c r="E217" s="21">
        <f>100*(E83-E82)</f>
        <v/>
      </c>
      <c r="F217" s="21">
        <f>100*(F83-F82)</f>
        <v/>
      </c>
      <c r="G217" s="21">
        <f>100*(G83-G82)</f>
        <v/>
      </c>
      <c r="H217" s="21">
        <f>100*(H83-H82)</f>
        <v/>
      </c>
      <c r="I217" s="21">
        <f>100*(I83-I82)</f>
        <v/>
      </c>
      <c r="J217" s="21">
        <f>100*(J83-J82)</f>
        <v/>
      </c>
      <c r="K217" s="21">
        <f>100*(K83-K82)</f>
        <v/>
      </c>
      <c r="L217" s="21">
        <f>100*(L83-L82)</f>
        <v/>
      </c>
      <c r="M217" s="21">
        <f>100*(M83-M82)</f>
        <v/>
      </c>
      <c r="N217" s="21">
        <f>100*(N83-N82)</f>
        <v/>
      </c>
      <c r="O217" s="21">
        <f>100*(O83-O82)</f>
        <v/>
      </c>
      <c r="P217" s="21">
        <f>100*(P83-P82)</f>
        <v/>
      </c>
      <c r="Q217" s="21">
        <f>100*(Q83-Q82)</f>
        <v/>
      </c>
      <c r="R217" s="21">
        <f>100*(R83-R82)</f>
        <v/>
      </c>
      <c r="S217" s="21">
        <f>100*(S83-S82)</f>
        <v/>
      </c>
      <c r="T217" s="21">
        <f>100*(T83-T82)</f>
        <v/>
      </c>
      <c r="U217" s="21">
        <f>100*(U83-U82)</f>
        <v/>
      </c>
      <c r="V217" s="21">
        <f>100*(V83-V82)</f>
        <v/>
      </c>
      <c r="W217" s="21">
        <f>100*(W83-W82)</f>
        <v/>
      </c>
      <c r="X217" s="21">
        <f>100*(X83-X82)</f>
        <v/>
      </c>
      <c r="Y217" s="21">
        <f>100*(Y83-Y82)</f>
        <v/>
      </c>
      <c r="Z217" s="21">
        <f>100*(Z83-Z82)</f>
        <v/>
      </c>
      <c r="AA217" s="21">
        <f>100*(AA83-AA82)</f>
        <v/>
      </c>
      <c r="AB217" s="21">
        <f>100*(AB83-AB82)</f>
        <v/>
      </c>
      <c r="AC217" s="21">
        <f>100*(AC83-AC82)</f>
        <v/>
      </c>
      <c r="AD217" s="21">
        <f>100*(AD83-AD82)</f>
        <v/>
      </c>
      <c r="AE217" s="21">
        <f>100*(AE83-AE82)</f>
        <v/>
      </c>
      <c r="AF217" s="21">
        <f>100*(AF83-AF82)</f>
        <v/>
      </c>
      <c r="AG217" s="21">
        <f>100*(AG83-AG82)</f>
        <v/>
      </c>
      <c r="AH217" s="21">
        <f>100*(AH83-AH82)</f>
        <v/>
      </c>
      <c r="AI217" s="21">
        <f>100*(AI83-AI82)</f>
        <v/>
      </c>
      <c r="AJ217" s="21">
        <f>100*(AJ83-AJ82)</f>
        <v/>
      </c>
      <c r="AK217" s="21">
        <f>100*(AK83-AK82)</f>
        <v/>
      </c>
      <c r="AL217" s="21">
        <f>100*(AL83-AL82)</f>
        <v/>
      </c>
      <c r="AM217" s="21">
        <f>100*(AM83-AM82)</f>
        <v/>
      </c>
      <c r="AN217" s="21">
        <f>100*(AN83-AN82)</f>
        <v/>
      </c>
      <c r="AO217" s="21">
        <f>100*(AO83-AO82)</f>
        <v/>
      </c>
      <c r="AP217" s="21">
        <f>100*(AP83-AP82)</f>
        <v/>
      </c>
      <c r="AQ217" s="21">
        <f>100*(AQ83-AQ82)</f>
        <v/>
      </c>
      <c r="AR217" s="21">
        <f>100*(AR83-AR82)</f>
        <v/>
      </c>
      <c r="AS217" s="21">
        <f>100*(AS83-AS82)</f>
        <v/>
      </c>
      <c r="AT217" s="21">
        <f>100*(AT83-AT82)</f>
        <v/>
      </c>
      <c r="AU217" s="21">
        <f>100*(AU83-AU82)</f>
        <v/>
      </c>
      <c r="AV217" s="21">
        <f>AVERAGE(C217:AU217)</f>
        <v/>
      </c>
    </row>
    <row r="218">
      <c r="A218" s="19">
        <f>A84</f>
        <v/>
      </c>
      <c r="B218" s="20">
        <f>B84</f>
        <v/>
      </c>
      <c r="C218" s="21">
        <f>100*(C84-C83)</f>
        <v/>
      </c>
      <c r="D218" s="21">
        <f>100*(D84-D83)</f>
        <v/>
      </c>
      <c r="E218" s="21">
        <f>100*(E84-E83)</f>
        <v/>
      </c>
      <c r="F218" s="21">
        <f>100*(F84-F83)</f>
        <v/>
      </c>
      <c r="G218" s="21">
        <f>100*(G84-G83)</f>
        <v/>
      </c>
      <c r="H218" s="21">
        <f>100*(H84-H83)</f>
        <v/>
      </c>
      <c r="I218" s="21">
        <f>100*(I84-I83)</f>
        <v/>
      </c>
      <c r="J218" s="21">
        <f>100*(J84-J83)</f>
        <v/>
      </c>
      <c r="K218" s="21">
        <f>100*(K84-K83)</f>
        <v/>
      </c>
      <c r="L218" s="21">
        <f>100*(L84-L83)</f>
        <v/>
      </c>
      <c r="M218" s="21">
        <f>100*(M84-M83)</f>
        <v/>
      </c>
      <c r="N218" s="21">
        <f>100*(N84-N83)</f>
        <v/>
      </c>
      <c r="O218" s="21">
        <f>100*(O84-O83)</f>
        <v/>
      </c>
      <c r="P218" s="21">
        <f>100*(P84-P83)</f>
        <v/>
      </c>
      <c r="Q218" s="21">
        <f>100*(Q84-Q83)</f>
        <v/>
      </c>
      <c r="R218" s="21">
        <f>100*(R84-R83)</f>
        <v/>
      </c>
      <c r="S218" s="21">
        <f>100*(S84-S83)</f>
        <v/>
      </c>
      <c r="T218" s="21">
        <f>100*(T84-T83)</f>
        <v/>
      </c>
      <c r="U218" s="21">
        <f>100*(U84-U83)</f>
        <v/>
      </c>
      <c r="V218" s="21">
        <f>100*(V84-V83)</f>
        <v/>
      </c>
      <c r="W218" s="21">
        <f>100*(W84-W83)</f>
        <v/>
      </c>
      <c r="X218" s="21">
        <f>100*(X84-X83)</f>
        <v/>
      </c>
      <c r="Y218" s="21">
        <f>100*(Y84-Y83)</f>
        <v/>
      </c>
      <c r="Z218" s="21">
        <f>100*(Z84-Z83)</f>
        <v/>
      </c>
      <c r="AA218" s="21">
        <f>100*(AA84-AA83)</f>
        <v/>
      </c>
      <c r="AB218" s="21">
        <f>100*(AB84-AB83)</f>
        <v/>
      </c>
      <c r="AC218" s="21">
        <f>100*(AC84-AC83)</f>
        <v/>
      </c>
      <c r="AD218" s="21">
        <f>100*(AD84-AD83)</f>
        <v/>
      </c>
      <c r="AE218" s="21">
        <f>100*(AE84-AE83)</f>
        <v/>
      </c>
      <c r="AF218" s="21">
        <f>100*(AF84-AF83)</f>
        <v/>
      </c>
      <c r="AG218" s="21">
        <f>100*(AG84-AG83)</f>
        <v/>
      </c>
      <c r="AH218" s="21">
        <f>100*(AH84-AH83)</f>
        <v/>
      </c>
      <c r="AI218" s="21">
        <f>100*(AI84-AI83)</f>
        <v/>
      </c>
      <c r="AJ218" s="21">
        <f>100*(AJ84-AJ83)</f>
        <v/>
      </c>
      <c r="AK218" s="21">
        <f>100*(AK84-AK83)</f>
        <v/>
      </c>
      <c r="AL218" s="21">
        <f>100*(AL84-AL83)</f>
        <v/>
      </c>
      <c r="AM218" s="21">
        <f>100*(AM84-AM83)</f>
        <v/>
      </c>
      <c r="AN218" s="21">
        <f>100*(AN84-AN83)</f>
        <v/>
      </c>
      <c r="AO218" s="21">
        <f>100*(AO84-AO83)</f>
        <v/>
      </c>
      <c r="AP218" s="21">
        <f>100*(AP84-AP83)</f>
        <v/>
      </c>
      <c r="AQ218" s="21">
        <f>100*(AQ84-AQ83)</f>
        <v/>
      </c>
      <c r="AR218" s="21">
        <f>100*(AR84-AR83)</f>
        <v/>
      </c>
      <c r="AS218" s="21">
        <f>100*(AS84-AS83)</f>
        <v/>
      </c>
      <c r="AT218" s="21">
        <f>100*(AT84-AT83)</f>
        <v/>
      </c>
      <c r="AU218" s="21">
        <f>100*(AU84-AU83)</f>
        <v/>
      </c>
      <c r="AV218" s="21">
        <f>AVERAGE(C218:AU218)</f>
        <v/>
      </c>
    </row>
    <row r="219">
      <c r="A219" s="19">
        <f>A85</f>
        <v/>
      </c>
      <c r="B219" s="20">
        <f>B85</f>
        <v/>
      </c>
      <c r="C219" s="21">
        <f>100*(C85-C84)</f>
        <v/>
      </c>
      <c r="D219" s="21">
        <f>100*(D85-D84)</f>
        <v/>
      </c>
      <c r="E219" s="21">
        <f>100*(E85-E84)</f>
        <v/>
      </c>
      <c r="F219" s="21">
        <f>100*(F85-F84)</f>
        <v/>
      </c>
      <c r="G219" s="21">
        <f>100*(G85-G84)</f>
        <v/>
      </c>
      <c r="H219" s="21">
        <f>100*(H85-H84)</f>
        <v/>
      </c>
      <c r="I219" s="21">
        <f>100*(I85-I84)</f>
        <v/>
      </c>
      <c r="J219" s="21">
        <f>100*(J85-J84)</f>
        <v/>
      </c>
      <c r="K219" s="21">
        <f>100*(K85-K84)</f>
        <v/>
      </c>
      <c r="L219" s="21">
        <f>100*(L85-L84)</f>
        <v/>
      </c>
      <c r="M219" s="21">
        <f>100*(M85-M84)</f>
        <v/>
      </c>
      <c r="N219" s="21">
        <f>100*(N85-N84)</f>
        <v/>
      </c>
      <c r="O219" s="21">
        <f>100*(O85-O84)</f>
        <v/>
      </c>
      <c r="P219" s="21">
        <f>100*(P85-P84)</f>
        <v/>
      </c>
      <c r="Q219" s="21">
        <f>100*(Q85-Q84)</f>
        <v/>
      </c>
      <c r="R219" s="21">
        <f>100*(R85-R84)</f>
        <v/>
      </c>
      <c r="S219" s="21">
        <f>100*(S85-S84)</f>
        <v/>
      </c>
      <c r="T219" s="21">
        <f>100*(T85-T84)</f>
        <v/>
      </c>
      <c r="U219" s="21">
        <f>100*(U85-U84)</f>
        <v/>
      </c>
      <c r="V219" s="21">
        <f>100*(V85-V84)</f>
        <v/>
      </c>
      <c r="W219" s="21">
        <f>100*(W85-W84)</f>
        <v/>
      </c>
      <c r="X219" s="21">
        <f>100*(X85-X84)</f>
        <v/>
      </c>
      <c r="Y219" s="21">
        <f>100*(Y85-Y84)</f>
        <v/>
      </c>
      <c r="Z219" s="21">
        <f>100*(Z85-Z84)</f>
        <v/>
      </c>
      <c r="AA219" s="21">
        <f>100*(AA85-AA84)</f>
        <v/>
      </c>
      <c r="AB219" s="21">
        <f>100*(AB85-AB84)</f>
        <v/>
      </c>
      <c r="AC219" s="21">
        <f>100*(AC85-AC84)</f>
        <v/>
      </c>
      <c r="AD219" s="21">
        <f>100*(AD85-AD84)</f>
        <v/>
      </c>
      <c r="AE219" s="21">
        <f>100*(AE85-AE84)</f>
        <v/>
      </c>
      <c r="AF219" s="21">
        <f>100*(AF85-AF84)</f>
        <v/>
      </c>
      <c r="AG219" s="21">
        <f>100*(AG85-AG84)</f>
        <v/>
      </c>
      <c r="AH219" s="21">
        <f>100*(AH85-AH84)</f>
        <v/>
      </c>
      <c r="AI219" s="21">
        <f>100*(AI85-AI84)</f>
        <v/>
      </c>
      <c r="AJ219" s="21">
        <f>100*(AJ85-AJ84)</f>
        <v/>
      </c>
      <c r="AK219" s="21">
        <f>100*(AK85-AK84)</f>
        <v/>
      </c>
      <c r="AL219" s="21">
        <f>100*(AL85-AL84)</f>
        <v/>
      </c>
      <c r="AM219" s="21">
        <f>100*(AM85-AM84)</f>
        <v/>
      </c>
      <c r="AN219" s="21">
        <f>100*(AN85-AN84)</f>
        <v/>
      </c>
      <c r="AO219" s="21">
        <f>100*(AO85-AO84)</f>
        <v/>
      </c>
      <c r="AP219" s="21">
        <f>100*(AP85-AP84)</f>
        <v/>
      </c>
      <c r="AQ219" s="21">
        <f>100*(AQ85-AQ84)</f>
        <v/>
      </c>
      <c r="AR219" s="21">
        <f>100*(AR85-AR84)</f>
        <v/>
      </c>
      <c r="AS219" s="21">
        <f>100*(AS85-AS84)</f>
        <v/>
      </c>
      <c r="AT219" s="21">
        <f>100*(AT85-AT84)</f>
        <v/>
      </c>
      <c r="AU219" s="21">
        <f>100*(AU85-AU84)</f>
        <v/>
      </c>
      <c r="AV219" s="21">
        <f>AVERAGE(C219:AU219)</f>
        <v/>
      </c>
    </row>
    <row r="220">
      <c r="A220" s="19">
        <f>A86</f>
        <v/>
      </c>
      <c r="B220" s="20">
        <f>B86</f>
        <v/>
      </c>
      <c r="C220" s="21">
        <f>100*(C86-C85)</f>
        <v/>
      </c>
      <c r="D220" s="21">
        <f>100*(D86-D85)</f>
        <v/>
      </c>
      <c r="E220" s="21">
        <f>100*(E86-E85)</f>
        <v/>
      </c>
      <c r="F220" s="21">
        <f>100*(F86-F85)</f>
        <v/>
      </c>
      <c r="G220" s="21">
        <f>100*(G86-G85)</f>
        <v/>
      </c>
      <c r="H220" s="21">
        <f>100*(H86-H85)</f>
        <v/>
      </c>
      <c r="I220" s="21">
        <f>100*(I86-I85)</f>
        <v/>
      </c>
      <c r="J220" s="21">
        <f>100*(J86-J85)</f>
        <v/>
      </c>
      <c r="K220" s="21">
        <f>100*(K86-K85)</f>
        <v/>
      </c>
      <c r="L220" s="21">
        <f>100*(L86-L85)</f>
        <v/>
      </c>
      <c r="M220" s="21">
        <f>100*(M86-M85)</f>
        <v/>
      </c>
      <c r="N220" s="21">
        <f>100*(N86-N85)</f>
        <v/>
      </c>
      <c r="O220" s="21">
        <f>100*(O86-O85)</f>
        <v/>
      </c>
      <c r="P220" s="21">
        <f>100*(P86-P85)</f>
        <v/>
      </c>
      <c r="Q220" s="21">
        <f>100*(Q86-Q85)</f>
        <v/>
      </c>
      <c r="R220" s="21">
        <f>100*(R86-R85)</f>
        <v/>
      </c>
      <c r="S220" s="21">
        <f>100*(S86-S85)</f>
        <v/>
      </c>
      <c r="T220" s="21">
        <f>100*(T86-T85)</f>
        <v/>
      </c>
      <c r="U220" s="21">
        <f>100*(U86-U85)</f>
        <v/>
      </c>
      <c r="V220" s="21">
        <f>100*(V86-V85)</f>
        <v/>
      </c>
      <c r="W220" s="21">
        <f>100*(W86-W85)</f>
        <v/>
      </c>
      <c r="X220" s="21">
        <f>100*(X86-X85)</f>
        <v/>
      </c>
      <c r="Y220" s="21">
        <f>100*(Y86-Y85)</f>
        <v/>
      </c>
      <c r="Z220" s="21">
        <f>100*(Z86-Z85)</f>
        <v/>
      </c>
      <c r="AA220" s="21">
        <f>100*(AA86-AA85)</f>
        <v/>
      </c>
      <c r="AB220" s="21">
        <f>100*(AB86-AB85)</f>
        <v/>
      </c>
      <c r="AC220" s="21">
        <f>100*(AC86-AC85)</f>
        <v/>
      </c>
      <c r="AD220" s="21">
        <f>100*(AD86-AD85)</f>
        <v/>
      </c>
      <c r="AE220" s="21">
        <f>100*(AE86-AE85)</f>
        <v/>
      </c>
      <c r="AF220" s="21">
        <f>100*(AF86-AF85)</f>
        <v/>
      </c>
      <c r="AG220" s="21">
        <f>100*(AG86-AG85)</f>
        <v/>
      </c>
      <c r="AH220" s="21">
        <f>100*(AH86-AH85)</f>
        <v/>
      </c>
      <c r="AI220" s="21">
        <f>100*(AI86-AI85)</f>
        <v/>
      </c>
      <c r="AJ220" s="21">
        <f>100*(AJ86-AJ85)</f>
        <v/>
      </c>
      <c r="AK220" s="21">
        <f>100*(AK86-AK85)</f>
        <v/>
      </c>
      <c r="AL220" s="21">
        <f>100*(AL86-AL85)</f>
        <v/>
      </c>
      <c r="AM220" s="21">
        <f>100*(AM86-AM85)</f>
        <v/>
      </c>
      <c r="AN220" s="21">
        <f>100*(AN86-AN85)</f>
        <v/>
      </c>
      <c r="AO220" s="21">
        <f>100*(AO86-AO85)</f>
        <v/>
      </c>
      <c r="AP220" s="21">
        <f>100*(AP86-AP85)</f>
        <v/>
      </c>
      <c r="AQ220" s="21">
        <f>100*(AQ86-AQ85)</f>
        <v/>
      </c>
      <c r="AR220" s="21">
        <f>100*(AR86-AR85)</f>
        <v/>
      </c>
      <c r="AS220" s="21">
        <f>100*(AS86-AS85)</f>
        <v/>
      </c>
      <c r="AT220" s="21">
        <f>100*(AT86-AT85)</f>
        <v/>
      </c>
      <c r="AU220" s="21">
        <f>100*(AU86-AU85)</f>
        <v/>
      </c>
      <c r="AV220" s="21">
        <f>AVERAGE(C220:AU220)</f>
        <v/>
      </c>
    </row>
    <row r="221">
      <c r="A221" s="19">
        <f>A87</f>
        <v/>
      </c>
      <c r="B221" s="20">
        <f>B87</f>
        <v/>
      </c>
      <c r="C221" s="21">
        <f>100*(C87-C86)</f>
        <v/>
      </c>
      <c r="D221" s="21">
        <f>100*(D87-D86)</f>
        <v/>
      </c>
      <c r="E221" s="21">
        <f>100*(E87-E86)</f>
        <v/>
      </c>
      <c r="F221" s="21">
        <f>100*(F87-F86)</f>
        <v/>
      </c>
      <c r="G221" s="21">
        <f>100*(G87-G86)</f>
        <v/>
      </c>
      <c r="H221" s="21">
        <f>100*(H87-H86)</f>
        <v/>
      </c>
      <c r="I221" s="21">
        <f>100*(I87-I86)</f>
        <v/>
      </c>
      <c r="J221" s="21">
        <f>100*(J87-J86)</f>
        <v/>
      </c>
      <c r="K221" s="21">
        <f>100*(K87-K86)</f>
        <v/>
      </c>
      <c r="L221" s="21">
        <f>100*(L87-L86)</f>
        <v/>
      </c>
      <c r="M221" s="21">
        <f>100*(M87-M86)</f>
        <v/>
      </c>
      <c r="N221" s="21">
        <f>100*(N87-N86)</f>
        <v/>
      </c>
      <c r="O221" s="21">
        <f>100*(O87-O86)</f>
        <v/>
      </c>
      <c r="P221" s="21">
        <f>100*(P87-P86)</f>
        <v/>
      </c>
      <c r="Q221" s="21">
        <f>100*(Q87-Q86)</f>
        <v/>
      </c>
      <c r="R221" s="21">
        <f>100*(R87-R86)</f>
        <v/>
      </c>
      <c r="S221" s="21">
        <f>100*(S87-S86)</f>
        <v/>
      </c>
      <c r="T221" s="21">
        <f>100*(T87-T86)</f>
        <v/>
      </c>
      <c r="U221" s="21">
        <f>100*(U87-U86)</f>
        <v/>
      </c>
      <c r="V221" s="21">
        <f>100*(V87-V86)</f>
        <v/>
      </c>
      <c r="W221" s="21">
        <f>100*(W87-W86)</f>
        <v/>
      </c>
      <c r="X221" s="21">
        <f>100*(X87-X86)</f>
        <v/>
      </c>
      <c r="Y221" s="21">
        <f>100*(Y87-Y86)</f>
        <v/>
      </c>
      <c r="Z221" s="21">
        <f>100*(Z87-Z86)</f>
        <v/>
      </c>
      <c r="AA221" s="21">
        <f>100*(AA87-AA86)</f>
        <v/>
      </c>
      <c r="AB221" s="21">
        <f>100*(AB87-AB86)</f>
        <v/>
      </c>
      <c r="AC221" s="21">
        <f>100*(AC87-AC86)</f>
        <v/>
      </c>
      <c r="AD221" s="21">
        <f>100*(AD87-AD86)</f>
        <v/>
      </c>
      <c r="AE221" s="21">
        <f>100*(AE87-AE86)</f>
        <v/>
      </c>
      <c r="AF221" s="21">
        <f>100*(AF87-AF86)</f>
        <v/>
      </c>
      <c r="AG221" s="21">
        <f>100*(AG87-AG86)</f>
        <v/>
      </c>
      <c r="AH221" s="21">
        <f>100*(AH87-AH86)</f>
        <v/>
      </c>
      <c r="AI221" s="21">
        <f>100*(AI87-AI86)</f>
        <v/>
      </c>
      <c r="AJ221" s="21">
        <f>100*(AJ87-AJ86)</f>
        <v/>
      </c>
      <c r="AK221" s="21">
        <f>100*(AK87-AK86)</f>
        <v/>
      </c>
      <c r="AL221" s="21">
        <f>100*(AL87-AL86)</f>
        <v/>
      </c>
      <c r="AM221" s="21">
        <f>100*(AM87-AM86)</f>
        <v/>
      </c>
      <c r="AN221" s="21">
        <f>100*(AN87-AN86)</f>
        <v/>
      </c>
      <c r="AO221" s="21">
        <f>100*(AO87-AO86)</f>
        <v/>
      </c>
      <c r="AP221" s="21">
        <f>100*(AP87-AP86)</f>
        <v/>
      </c>
      <c r="AQ221" s="21">
        <f>100*(AQ87-AQ86)</f>
        <v/>
      </c>
      <c r="AR221" s="21">
        <f>100*(AR87-AR86)</f>
        <v/>
      </c>
      <c r="AS221" s="21">
        <f>100*(AS87-AS86)</f>
        <v/>
      </c>
      <c r="AT221" s="21">
        <f>100*(AT87-AT86)</f>
        <v/>
      </c>
      <c r="AU221" s="21">
        <f>100*(AU87-AU86)</f>
        <v/>
      </c>
      <c r="AV221" s="21">
        <f>AVERAGE(C221:AU221)</f>
        <v/>
      </c>
    </row>
    <row r="222">
      <c r="A222" s="19">
        <f>A88</f>
        <v/>
      </c>
      <c r="B222" s="20">
        <f>B88</f>
        <v/>
      </c>
      <c r="C222" s="21">
        <f>100*(C88-C87)</f>
        <v/>
      </c>
      <c r="D222" s="21">
        <f>100*(D88-D87)</f>
        <v/>
      </c>
      <c r="E222" s="21">
        <f>100*(E88-E87)</f>
        <v/>
      </c>
      <c r="F222" s="21">
        <f>100*(F88-F87)</f>
        <v/>
      </c>
      <c r="G222" s="21">
        <f>100*(G88-G87)</f>
        <v/>
      </c>
      <c r="H222" s="21">
        <f>100*(H88-H87)</f>
        <v/>
      </c>
      <c r="I222" s="21">
        <f>100*(I88-I87)</f>
        <v/>
      </c>
      <c r="J222" s="21">
        <f>100*(J88-J87)</f>
        <v/>
      </c>
      <c r="K222" s="21">
        <f>100*(K88-K87)</f>
        <v/>
      </c>
      <c r="L222" s="21">
        <f>100*(L88-L87)</f>
        <v/>
      </c>
      <c r="M222" s="21">
        <f>100*(M88-M87)</f>
        <v/>
      </c>
      <c r="N222" s="21">
        <f>100*(N88-N87)</f>
        <v/>
      </c>
      <c r="O222" s="21">
        <f>100*(O88-O87)</f>
        <v/>
      </c>
      <c r="P222" s="21">
        <f>100*(P88-P87)</f>
        <v/>
      </c>
      <c r="Q222" s="21">
        <f>100*(Q88-Q87)</f>
        <v/>
      </c>
      <c r="R222" s="21">
        <f>100*(R88-R87)</f>
        <v/>
      </c>
      <c r="S222" s="21">
        <f>100*(S88-S87)</f>
        <v/>
      </c>
      <c r="T222" s="21">
        <f>100*(T88-T87)</f>
        <v/>
      </c>
      <c r="U222" s="21">
        <f>100*(U88-U87)</f>
        <v/>
      </c>
      <c r="V222" s="21">
        <f>100*(V88-V87)</f>
        <v/>
      </c>
      <c r="W222" s="21">
        <f>100*(W88-W87)</f>
        <v/>
      </c>
      <c r="X222" s="21">
        <f>100*(X88-X87)</f>
        <v/>
      </c>
      <c r="Y222" s="21">
        <f>100*(Y88-Y87)</f>
        <v/>
      </c>
      <c r="Z222" s="21">
        <f>100*(Z88-Z87)</f>
        <v/>
      </c>
      <c r="AA222" s="21">
        <f>100*(AA88-AA87)</f>
        <v/>
      </c>
      <c r="AB222" s="21">
        <f>100*(AB88-AB87)</f>
        <v/>
      </c>
      <c r="AC222" s="21">
        <f>100*(AC88-AC87)</f>
        <v/>
      </c>
      <c r="AD222" s="21">
        <f>100*(AD88-AD87)</f>
        <v/>
      </c>
      <c r="AE222" s="21">
        <f>100*(AE88-AE87)</f>
        <v/>
      </c>
      <c r="AF222" s="21">
        <f>100*(AF88-AF87)</f>
        <v/>
      </c>
      <c r="AG222" s="21">
        <f>100*(AG88-AG87)</f>
        <v/>
      </c>
      <c r="AH222" s="21">
        <f>100*(AH88-AH87)</f>
        <v/>
      </c>
      <c r="AI222" s="21">
        <f>100*(AI88-AI87)</f>
        <v/>
      </c>
      <c r="AJ222" s="21">
        <f>100*(AJ88-AJ87)</f>
        <v/>
      </c>
      <c r="AK222" s="21">
        <f>100*(AK88-AK87)</f>
        <v/>
      </c>
      <c r="AL222" s="21">
        <f>100*(AL88-AL87)</f>
        <v/>
      </c>
      <c r="AM222" s="21">
        <f>100*(AM88-AM87)</f>
        <v/>
      </c>
      <c r="AN222" s="21">
        <f>100*(AN88-AN87)</f>
        <v/>
      </c>
      <c r="AO222" s="21">
        <f>100*(AO88-AO87)</f>
        <v/>
      </c>
      <c r="AP222" s="21">
        <f>100*(AP88-AP87)</f>
        <v/>
      </c>
      <c r="AQ222" s="21">
        <f>100*(AQ88-AQ87)</f>
        <v/>
      </c>
      <c r="AR222" s="21">
        <f>100*(AR88-AR87)</f>
        <v/>
      </c>
      <c r="AS222" s="21">
        <f>100*(AS88-AS87)</f>
        <v/>
      </c>
      <c r="AT222" s="21">
        <f>100*(AT88-AT87)</f>
        <v/>
      </c>
      <c r="AU222" s="21">
        <f>100*(AU88-AU87)</f>
        <v/>
      </c>
      <c r="AV222" s="21">
        <f>AVERAGE(C222:AU222)</f>
        <v/>
      </c>
    </row>
    <row r="223">
      <c r="A223" s="19">
        <f>A89</f>
        <v/>
      </c>
      <c r="B223" s="20">
        <f>B89</f>
        <v/>
      </c>
      <c r="C223" s="21">
        <f>100*(C89-C88)</f>
        <v/>
      </c>
      <c r="D223" s="21">
        <f>100*(D89-D88)</f>
        <v/>
      </c>
      <c r="E223" s="21">
        <f>100*(E89-E88)</f>
        <v/>
      </c>
      <c r="F223" s="21">
        <f>100*(F89-F88)</f>
        <v/>
      </c>
      <c r="G223" s="21">
        <f>100*(G89-G88)</f>
        <v/>
      </c>
      <c r="H223" s="21">
        <f>100*(H89-H88)</f>
        <v/>
      </c>
      <c r="I223" s="21">
        <f>100*(I89-I88)</f>
        <v/>
      </c>
      <c r="J223" s="21">
        <f>100*(J89-J88)</f>
        <v/>
      </c>
      <c r="K223" s="21">
        <f>100*(K89-K88)</f>
        <v/>
      </c>
      <c r="L223" s="21">
        <f>100*(L89-L88)</f>
        <v/>
      </c>
      <c r="M223" s="21">
        <f>100*(M89-M88)</f>
        <v/>
      </c>
      <c r="N223" s="21">
        <f>100*(N89-N88)</f>
        <v/>
      </c>
      <c r="O223" s="21">
        <f>100*(O89-O88)</f>
        <v/>
      </c>
      <c r="P223" s="21">
        <f>100*(P89-P88)</f>
        <v/>
      </c>
      <c r="Q223" s="21">
        <f>100*(Q89-Q88)</f>
        <v/>
      </c>
      <c r="R223" s="21">
        <f>100*(R89-R88)</f>
        <v/>
      </c>
      <c r="S223" s="21">
        <f>100*(S89-S88)</f>
        <v/>
      </c>
      <c r="T223" s="21">
        <f>100*(T89-T88)</f>
        <v/>
      </c>
      <c r="U223" s="21">
        <f>100*(U89-U88)</f>
        <v/>
      </c>
      <c r="V223" s="21">
        <f>100*(V89-V88)</f>
        <v/>
      </c>
      <c r="W223" s="21">
        <f>100*(W89-W88)</f>
        <v/>
      </c>
      <c r="X223" s="21">
        <f>100*(X89-X88)</f>
        <v/>
      </c>
      <c r="Y223" s="21">
        <f>100*(Y89-Y88)</f>
        <v/>
      </c>
      <c r="Z223" s="21">
        <f>100*(Z89-Z88)</f>
        <v/>
      </c>
      <c r="AA223" s="21">
        <f>100*(AA89-AA88)</f>
        <v/>
      </c>
      <c r="AB223" s="21">
        <f>100*(AB89-AB88)</f>
        <v/>
      </c>
      <c r="AC223" s="21">
        <f>100*(AC89-AC88)</f>
        <v/>
      </c>
      <c r="AD223" s="21">
        <f>100*(AD89-AD88)</f>
        <v/>
      </c>
      <c r="AE223" s="21">
        <f>100*(AE89-AE88)</f>
        <v/>
      </c>
      <c r="AF223" s="21">
        <f>100*(AF89-AF88)</f>
        <v/>
      </c>
      <c r="AG223" s="21">
        <f>100*(AG89-AG88)</f>
        <v/>
      </c>
      <c r="AH223" s="21">
        <f>100*(AH89-AH88)</f>
        <v/>
      </c>
      <c r="AI223" s="21">
        <f>100*(AI89-AI88)</f>
        <v/>
      </c>
      <c r="AJ223" s="21">
        <f>100*(AJ89-AJ88)</f>
        <v/>
      </c>
      <c r="AK223" s="21">
        <f>100*(AK89-AK88)</f>
        <v/>
      </c>
      <c r="AL223" s="21">
        <f>100*(AL89-AL88)</f>
        <v/>
      </c>
      <c r="AM223" s="21">
        <f>100*(AM89-AM88)</f>
        <v/>
      </c>
      <c r="AN223" s="21">
        <f>100*(AN89-AN88)</f>
        <v/>
      </c>
      <c r="AO223" s="21">
        <f>100*(AO89-AO88)</f>
        <v/>
      </c>
      <c r="AP223" s="21">
        <f>100*(AP89-AP88)</f>
        <v/>
      </c>
      <c r="AQ223" s="21">
        <f>100*(AQ89-AQ88)</f>
        <v/>
      </c>
      <c r="AR223" s="21">
        <f>100*(AR89-AR88)</f>
        <v/>
      </c>
      <c r="AS223" s="21">
        <f>100*(AS89-AS88)</f>
        <v/>
      </c>
      <c r="AT223" s="21">
        <f>100*(AT89-AT88)</f>
        <v/>
      </c>
      <c r="AU223" s="21">
        <f>100*(AU89-AU88)</f>
        <v/>
      </c>
      <c r="AV223" s="21">
        <f>AVERAGE(C223:AU223)</f>
        <v/>
      </c>
    </row>
    <row r="224">
      <c r="A224" s="19">
        <f>A90</f>
        <v/>
      </c>
      <c r="B224" s="20">
        <f>B90</f>
        <v/>
      </c>
      <c r="C224" s="21">
        <f>100*(C90-C89)</f>
        <v/>
      </c>
      <c r="D224" s="21">
        <f>100*(D90-D89)</f>
        <v/>
      </c>
      <c r="E224" s="21">
        <f>100*(E90-E89)</f>
        <v/>
      </c>
      <c r="F224" s="21">
        <f>100*(F90-F89)</f>
        <v/>
      </c>
      <c r="G224" s="21">
        <f>100*(G90-G89)</f>
        <v/>
      </c>
      <c r="H224" s="21">
        <f>100*(H90-H89)</f>
        <v/>
      </c>
      <c r="I224" s="21">
        <f>100*(I90-I89)</f>
        <v/>
      </c>
      <c r="J224" s="21">
        <f>100*(J90-J89)</f>
        <v/>
      </c>
      <c r="K224" s="21">
        <f>100*(K90-K89)</f>
        <v/>
      </c>
      <c r="L224" s="21">
        <f>100*(L90-L89)</f>
        <v/>
      </c>
      <c r="M224" s="21">
        <f>100*(M90-M89)</f>
        <v/>
      </c>
      <c r="N224" s="21">
        <f>100*(N90-N89)</f>
        <v/>
      </c>
      <c r="O224" s="21">
        <f>100*(O90-O89)</f>
        <v/>
      </c>
      <c r="P224" s="21">
        <f>100*(P90-P89)</f>
        <v/>
      </c>
      <c r="Q224" s="21">
        <f>100*(Q90-Q89)</f>
        <v/>
      </c>
      <c r="R224" s="21">
        <f>100*(R90-R89)</f>
        <v/>
      </c>
      <c r="S224" s="21">
        <f>100*(S90-S89)</f>
        <v/>
      </c>
      <c r="T224" s="21">
        <f>100*(T90-T89)</f>
        <v/>
      </c>
      <c r="U224" s="21">
        <f>100*(U90-U89)</f>
        <v/>
      </c>
      <c r="V224" s="21">
        <f>100*(V90-V89)</f>
        <v/>
      </c>
      <c r="W224" s="21">
        <f>100*(W90-W89)</f>
        <v/>
      </c>
      <c r="X224" s="21">
        <f>100*(X90-X89)</f>
        <v/>
      </c>
      <c r="Y224" s="21">
        <f>100*(Y90-Y89)</f>
        <v/>
      </c>
      <c r="Z224" s="21">
        <f>100*(Z90-Z89)</f>
        <v/>
      </c>
      <c r="AA224" s="21">
        <f>100*(AA90-AA89)</f>
        <v/>
      </c>
      <c r="AB224" s="21">
        <f>100*(AB90-AB89)</f>
        <v/>
      </c>
      <c r="AC224" s="21">
        <f>100*(AC90-AC89)</f>
        <v/>
      </c>
      <c r="AD224" s="21">
        <f>100*(AD90-AD89)</f>
        <v/>
      </c>
      <c r="AE224" s="21">
        <f>100*(AE90-AE89)</f>
        <v/>
      </c>
      <c r="AF224" s="21">
        <f>100*(AF90-AF89)</f>
        <v/>
      </c>
      <c r="AG224" s="21">
        <f>100*(AG90-AG89)</f>
        <v/>
      </c>
      <c r="AH224" s="21">
        <f>100*(AH90-AH89)</f>
        <v/>
      </c>
      <c r="AI224" s="21">
        <f>100*(AI90-AI89)</f>
        <v/>
      </c>
      <c r="AJ224" s="21">
        <f>100*(AJ90-AJ89)</f>
        <v/>
      </c>
      <c r="AK224" s="21">
        <f>100*(AK90-AK89)</f>
        <v/>
      </c>
      <c r="AL224" s="21">
        <f>100*(AL90-AL89)</f>
        <v/>
      </c>
      <c r="AM224" s="21">
        <f>100*(AM90-AM89)</f>
        <v/>
      </c>
      <c r="AN224" s="21">
        <f>100*(AN90-AN89)</f>
        <v/>
      </c>
      <c r="AO224" s="21">
        <f>100*(AO90-AO89)</f>
        <v/>
      </c>
      <c r="AP224" s="21">
        <f>100*(AP90-AP89)</f>
        <v/>
      </c>
      <c r="AQ224" s="21">
        <f>100*(AQ90-AQ89)</f>
        <v/>
      </c>
      <c r="AR224" s="21">
        <f>100*(AR90-AR89)</f>
        <v/>
      </c>
      <c r="AS224" s="21">
        <f>100*(AS90-AS89)</f>
        <v/>
      </c>
      <c r="AT224" s="21">
        <f>100*(AT90-AT89)</f>
        <v/>
      </c>
      <c r="AU224" s="21">
        <f>100*(AU90-AU89)</f>
        <v/>
      </c>
      <c r="AV224" s="21">
        <f>AVERAGE(C224:AU224)</f>
        <v/>
      </c>
    </row>
    <row r="225">
      <c r="A225" s="19">
        <f>A91</f>
        <v/>
      </c>
      <c r="B225" s="20">
        <f>B91</f>
        <v/>
      </c>
      <c r="C225" s="21">
        <f>100*(C91-C90)</f>
        <v/>
      </c>
      <c r="D225" s="21">
        <f>100*(D91-D90)</f>
        <v/>
      </c>
      <c r="E225" s="21">
        <f>100*(E91-E90)</f>
        <v/>
      </c>
      <c r="F225" s="21">
        <f>100*(F91-F90)</f>
        <v/>
      </c>
      <c r="G225" s="21">
        <f>100*(G91-G90)</f>
        <v/>
      </c>
      <c r="H225" s="21">
        <f>100*(H91-H90)</f>
        <v/>
      </c>
      <c r="I225" s="21">
        <f>100*(I91-I90)</f>
        <v/>
      </c>
      <c r="J225" s="21">
        <f>100*(J91-J90)</f>
        <v/>
      </c>
      <c r="K225" s="21">
        <f>100*(K91-K90)</f>
        <v/>
      </c>
      <c r="L225" s="21">
        <f>100*(L91-L90)</f>
        <v/>
      </c>
      <c r="M225" s="21">
        <f>100*(M91-M90)</f>
        <v/>
      </c>
      <c r="N225" s="21">
        <f>100*(N91-N90)</f>
        <v/>
      </c>
      <c r="O225" s="21">
        <f>100*(O91-O90)</f>
        <v/>
      </c>
      <c r="P225" s="21">
        <f>100*(P91-P90)</f>
        <v/>
      </c>
      <c r="Q225" s="21">
        <f>100*(Q91-Q90)</f>
        <v/>
      </c>
      <c r="R225" s="21">
        <f>100*(R91-R90)</f>
        <v/>
      </c>
      <c r="S225" s="21">
        <f>100*(S91-S90)</f>
        <v/>
      </c>
      <c r="T225" s="21">
        <f>100*(T91-T90)</f>
        <v/>
      </c>
      <c r="U225" s="21">
        <f>100*(U91-U90)</f>
        <v/>
      </c>
      <c r="V225" s="21">
        <f>100*(V91-V90)</f>
        <v/>
      </c>
      <c r="W225" s="21">
        <f>100*(W91-W90)</f>
        <v/>
      </c>
      <c r="X225" s="21">
        <f>100*(X91-X90)</f>
        <v/>
      </c>
      <c r="Y225" s="21">
        <f>100*(Y91-Y90)</f>
        <v/>
      </c>
      <c r="Z225" s="21">
        <f>100*(Z91-Z90)</f>
        <v/>
      </c>
      <c r="AA225" s="21">
        <f>100*(AA91-AA90)</f>
        <v/>
      </c>
      <c r="AB225" s="21">
        <f>100*(AB91-AB90)</f>
        <v/>
      </c>
      <c r="AC225" s="21">
        <f>100*(AC91-AC90)</f>
        <v/>
      </c>
      <c r="AD225" s="21">
        <f>100*(AD91-AD90)</f>
        <v/>
      </c>
      <c r="AE225" s="21">
        <f>100*(AE91-AE90)</f>
        <v/>
      </c>
      <c r="AF225" s="21">
        <f>100*(AF91-AF90)</f>
        <v/>
      </c>
      <c r="AG225" s="21">
        <f>100*(AG91-AG90)</f>
        <v/>
      </c>
      <c r="AH225" s="21">
        <f>100*(AH91-AH90)</f>
        <v/>
      </c>
      <c r="AI225" s="21">
        <f>100*(AI91-AI90)</f>
        <v/>
      </c>
      <c r="AJ225" s="21">
        <f>100*(AJ91-AJ90)</f>
        <v/>
      </c>
      <c r="AK225" s="21">
        <f>100*(AK91-AK90)</f>
        <v/>
      </c>
      <c r="AL225" s="21">
        <f>100*(AL91-AL90)</f>
        <v/>
      </c>
      <c r="AM225" s="21">
        <f>100*(AM91-AM90)</f>
        <v/>
      </c>
      <c r="AN225" s="21">
        <f>100*(AN91-AN90)</f>
        <v/>
      </c>
      <c r="AO225" s="21">
        <f>100*(AO91-AO90)</f>
        <v/>
      </c>
      <c r="AP225" s="21">
        <f>100*(AP91-AP90)</f>
        <v/>
      </c>
      <c r="AQ225" s="21">
        <f>100*(AQ91-AQ90)</f>
        <v/>
      </c>
      <c r="AR225" s="21">
        <f>100*(AR91-AR90)</f>
        <v/>
      </c>
      <c r="AS225" s="21">
        <f>100*(AS91-AS90)</f>
        <v/>
      </c>
      <c r="AT225" s="21">
        <f>100*(AT91-AT90)</f>
        <v/>
      </c>
      <c r="AU225" s="21">
        <f>100*(AU91-AU90)</f>
        <v/>
      </c>
      <c r="AV225" s="21">
        <f>AVERAGE(C225:AU225)</f>
        <v/>
      </c>
    </row>
    <row r="226">
      <c r="A226" s="19">
        <f>A92</f>
        <v/>
      </c>
      <c r="B226" s="20">
        <f>B92</f>
        <v/>
      </c>
      <c r="C226" s="21">
        <f>100*(C92-C91)</f>
        <v/>
      </c>
      <c r="D226" s="21">
        <f>100*(D92-D91)</f>
        <v/>
      </c>
      <c r="E226" s="21">
        <f>100*(E92-E91)</f>
        <v/>
      </c>
      <c r="F226" s="21">
        <f>100*(F92-F91)</f>
        <v/>
      </c>
      <c r="G226" s="21">
        <f>100*(G92-G91)</f>
        <v/>
      </c>
      <c r="H226" s="21">
        <f>100*(H92-H91)</f>
        <v/>
      </c>
      <c r="I226" s="21">
        <f>100*(I92-I91)</f>
        <v/>
      </c>
      <c r="J226" s="21">
        <f>100*(J92-J91)</f>
        <v/>
      </c>
      <c r="K226" s="21">
        <f>100*(K92-K91)</f>
        <v/>
      </c>
      <c r="L226" s="21">
        <f>100*(L92-L91)</f>
        <v/>
      </c>
      <c r="M226" s="21">
        <f>100*(M92-M91)</f>
        <v/>
      </c>
      <c r="N226" s="21">
        <f>100*(N92-N91)</f>
        <v/>
      </c>
      <c r="O226" s="21">
        <f>100*(O92-O91)</f>
        <v/>
      </c>
      <c r="P226" s="21">
        <f>100*(P92-P91)</f>
        <v/>
      </c>
      <c r="Q226" s="21">
        <f>100*(Q92-Q91)</f>
        <v/>
      </c>
      <c r="R226" s="21">
        <f>100*(R92-R91)</f>
        <v/>
      </c>
      <c r="S226" s="21">
        <f>100*(S92-S91)</f>
        <v/>
      </c>
      <c r="T226" s="21">
        <f>100*(T92-T91)</f>
        <v/>
      </c>
      <c r="U226" s="21">
        <f>100*(U92-U91)</f>
        <v/>
      </c>
      <c r="V226" s="21">
        <f>100*(V92-V91)</f>
        <v/>
      </c>
      <c r="W226" s="21">
        <f>100*(W92-W91)</f>
        <v/>
      </c>
      <c r="X226" s="21">
        <f>100*(X92-X91)</f>
        <v/>
      </c>
      <c r="Y226" s="21">
        <f>100*(Y92-Y91)</f>
        <v/>
      </c>
      <c r="Z226" s="21">
        <f>100*(Z92-Z91)</f>
        <v/>
      </c>
      <c r="AA226" s="21">
        <f>100*(AA92-AA91)</f>
        <v/>
      </c>
      <c r="AB226" s="21">
        <f>100*(AB92-AB91)</f>
        <v/>
      </c>
      <c r="AC226" s="21">
        <f>100*(AC92-AC91)</f>
        <v/>
      </c>
      <c r="AD226" s="21">
        <f>100*(AD92-AD91)</f>
        <v/>
      </c>
      <c r="AE226" s="21">
        <f>100*(AE92-AE91)</f>
        <v/>
      </c>
      <c r="AF226" s="21">
        <f>100*(AF92-AF91)</f>
        <v/>
      </c>
      <c r="AG226" s="21">
        <f>100*(AG92-AG91)</f>
        <v/>
      </c>
      <c r="AH226" s="21">
        <f>100*(AH92-AH91)</f>
        <v/>
      </c>
      <c r="AI226" s="21">
        <f>100*(AI92-AI91)</f>
        <v/>
      </c>
      <c r="AJ226" s="21">
        <f>100*(AJ92-AJ91)</f>
        <v/>
      </c>
      <c r="AK226" s="21">
        <f>100*(AK92-AK91)</f>
        <v/>
      </c>
      <c r="AL226" s="21">
        <f>100*(AL92-AL91)</f>
        <v/>
      </c>
      <c r="AM226" s="21">
        <f>100*(AM92-AM91)</f>
        <v/>
      </c>
      <c r="AN226" s="21">
        <f>100*(AN92-AN91)</f>
        <v/>
      </c>
      <c r="AO226" s="21">
        <f>100*(AO92-AO91)</f>
        <v/>
      </c>
      <c r="AP226" s="21">
        <f>100*(AP92-AP91)</f>
        <v/>
      </c>
      <c r="AQ226" s="21">
        <f>100*(AQ92-AQ91)</f>
        <v/>
      </c>
      <c r="AR226" s="21">
        <f>100*(AR92-AR91)</f>
        <v/>
      </c>
      <c r="AS226" s="21">
        <f>100*(AS92-AS91)</f>
        <v/>
      </c>
      <c r="AT226" s="21">
        <f>100*(AT92-AT91)</f>
        <v/>
      </c>
      <c r="AU226" s="21">
        <f>100*(AU92-AU91)</f>
        <v/>
      </c>
      <c r="AV226" s="21">
        <f>AVERAGE(C226:AU226)</f>
        <v/>
      </c>
    </row>
    <row r="227">
      <c r="A227" s="19">
        <f>A93</f>
        <v/>
      </c>
      <c r="B227" s="20">
        <f>B93</f>
        <v/>
      </c>
      <c r="C227" s="21">
        <f>100*(C93-C92)</f>
        <v/>
      </c>
      <c r="D227" s="21">
        <f>100*(D93-D92)</f>
        <v/>
      </c>
      <c r="E227" s="21">
        <f>100*(E93-E92)</f>
        <v/>
      </c>
      <c r="F227" s="21">
        <f>100*(F93-F92)</f>
        <v/>
      </c>
      <c r="G227" s="21">
        <f>100*(G93-G92)</f>
        <v/>
      </c>
      <c r="H227" s="21">
        <f>100*(H93-H92)</f>
        <v/>
      </c>
      <c r="I227" s="21">
        <f>100*(I93-I92)</f>
        <v/>
      </c>
      <c r="J227" s="21">
        <f>100*(J93-J92)</f>
        <v/>
      </c>
      <c r="K227" s="21">
        <f>100*(K93-K92)</f>
        <v/>
      </c>
      <c r="L227" s="21">
        <f>100*(L93-L92)</f>
        <v/>
      </c>
      <c r="M227" s="21">
        <f>100*(M93-M92)</f>
        <v/>
      </c>
      <c r="N227" s="21">
        <f>100*(N93-N92)</f>
        <v/>
      </c>
      <c r="O227" s="21">
        <f>100*(O93-O92)</f>
        <v/>
      </c>
      <c r="P227" s="21">
        <f>100*(P93-P92)</f>
        <v/>
      </c>
      <c r="Q227" s="21">
        <f>100*(Q93-Q92)</f>
        <v/>
      </c>
      <c r="R227" s="21">
        <f>100*(R93-R92)</f>
        <v/>
      </c>
      <c r="S227" s="21">
        <f>100*(S93-S92)</f>
        <v/>
      </c>
      <c r="T227" s="21">
        <f>100*(T93-T92)</f>
        <v/>
      </c>
      <c r="U227" s="21">
        <f>100*(U93-U92)</f>
        <v/>
      </c>
      <c r="V227" s="21">
        <f>100*(V93-V92)</f>
        <v/>
      </c>
      <c r="W227" s="21">
        <f>100*(W93-W92)</f>
        <v/>
      </c>
      <c r="X227" s="21">
        <f>100*(X93-X92)</f>
        <v/>
      </c>
      <c r="Y227" s="21">
        <f>100*(Y93-Y92)</f>
        <v/>
      </c>
      <c r="Z227" s="21">
        <f>100*(Z93-Z92)</f>
        <v/>
      </c>
      <c r="AA227" s="21">
        <f>100*(AA93-AA92)</f>
        <v/>
      </c>
      <c r="AB227" s="21">
        <f>100*(AB93-AB92)</f>
        <v/>
      </c>
      <c r="AC227" s="21">
        <f>100*(AC93-AC92)</f>
        <v/>
      </c>
      <c r="AD227" s="21">
        <f>100*(AD93-AD92)</f>
        <v/>
      </c>
      <c r="AE227" s="21">
        <f>100*(AE93-AE92)</f>
        <v/>
      </c>
      <c r="AF227" s="21">
        <f>100*(AF93-AF92)</f>
        <v/>
      </c>
      <c r="AG227" s="21">
        <f>100*(AG93-AG92)</f>
        <v/>
      </c>
      <c r="AH227" s="21">
        <f>100*(AH93-AH92)</f>
        <v/>
      </c>
      <c r="AI227" s="21">
        <f>100*(AI93-AI92)</f>
        <v/>
      </c>
      <c r="AJ227" s="21">
        <f>100*(AJ93-AJ92)</f>
        <v/>
      </c>
      <c r="AK227" s="21">
        <f>100*(AK93-AK92)</f>
        <v/>
      </c>
      <c r="AL227" s="21">
        <f>100*(AL93-AL92)</f>
        <v/>
      </c>
      <c r="AM227" s="21">
        <f>100*(AM93-AM92)</f>
        <v/>
      </c>
      <c r="AN227" s="21">
        <f>100*(AN93-AN92)</f>
        <v/>
      </c>
      <c r="AO227" s="21">
        <f>100*(AO93-AO92)</f>
        <v/>
      </c>
      <c r="AP227" s="21">
        <f>100*(AP93-AP92)</f>
        <v/>
      </c>
      <c r="AQ227" s="21">
        <f>100*(AQ93-AQ92)</f>
        <v/>
      </c>
      <c r="AR227" s="21">
        <f>100*(AR93-AR92)</f>
        <v/>
      </c>
      <c r="AS227" s="21">
        <f>100*(AS93-AS92)</f>
        <v/>
      </c>
      <c r="AT227" s="21">
        <f>100*(AT93-AT92)</f>
        <v/>
      </c>
      <c r="AU227" s="21">
        <f>100*(AU93-AU92)</f>
        <v/>
      </c>
      <c r="AV227" s="21">
        <f>AVERAGE(C227:AU227)</f>
        <v/>
      </c>
    </row>
    <row r="228">
      <c r="A228" s="19">
        <f>A94</f>
        <v/>
      </c>
      <c r="B228" s="20">
        <f>B94</f>
        <v/>
      </c>
      <c r="C228" s="21">
        <f>100*(C94-C93)</f>
        <v/>
      </c>
      <c r="D228" s="21">
        <f>100*(D94-D93)</f>
        <v/>
      </c>
      <c r="E228" s="21">
        <f>100*(E94-E93)</f>
        <v/>
      </c>
      <c r="F228" s="21">
        <f>100*(F94-F93)</f>
        <v/>
      </c>
      <c r="G228" s="21">
        <f>100*(G94-G93)</f>
        <v/>
      </c>
      <c r="H228" s="21">
        <f>100*(H94-H93)</f>
        <v/>
      </c>
      <c r="I228" s="21">
        <f>100*(I94-I93)</f>
        <v/>
      </c>
      <c r="J228" s="21">
        <f>100*(J94-J93)</f>
        <v/>
      </c>
      <c r="K228" s="21">
        <f>100*(K94-K93)</f>
        <v/>
      </c>
      <c r="L228" s="21">
        <f>100*(L94-L93)</f>
        <v/>
      </c>
      <c r="M228" s="21">
        <f>100*(M94-M93)</f>
        <v/>
      </c>
      <c r="N228" s="21">
        <f>100*(N94-N93)</f>
        <v/>
      </c>
      <c r="O228" s="21">
        <f>100*(O94-O93)</f>
        <v/>
      </c>
      <c r="P228" s="21">
        <f>100*(P94-P93)</f>
        <v/>
      </c>
      <c r="Q228" s="21">
        <f>100*(Q94-Q93)</f>
        <v/>
      </c>
      <c r="R228" s="21">
        <f>100*(R94-R93)</f>
        <v/>
      </c>
      <c r="S228" s="21">
        <f>100*(S94-S93)</f>
        <v/>
      </c>
      <c r="T228" s="21">
        <f>100*(T94-T93)</f>
        <v/>
      </c>
      <c r="U228" s="21">
        <f>100*(U94-U93)</f>
        <v/>
      </c>
      <c r="V228" s="21">
        <f>100*(V94-V93)</f>
        <v/>
      </c>
      <c r="W228" s="21">
        <f>100*(W94-W93)</f>
        <v/>
      </c>
      <c r="X228" s="21">
        <f>100*(X94-X93)</f>
        <v/>
      </c>
      <c r="Y228" s="21">
        <f>100*(Y94-Y93)</f>
        <v/>
      </c>
      <c r="Z228" s="21">
        <f>100*(Z94-Z93)</f>
        <v/>
      </c>
      <c r="AA228" s="21">
        <f>100*(AA94-AA93)</f>
        <v/>
      </c>
      <c r="AB228" s="21">
        <f>100*(AB94-AB93)</f>
        <v/>
      </c>
      <c r="AC228" s="21">
        <f>100*(AC94-AC93)</f>
        <v/>
      </c>
      <c r="AD228" s="21">
        <f>100*(AD94-AD93)</f>
        <v/>
      </c>
      <c r="AE228" s="21">
        <f>100*(AE94-AE93)</f>
        <v/>
      </c>
      <c r="AF228" s="21">
        <f>100*(AF94-AF93)</f>
        <v/>
      </c>
      <c r="AG228" s="21">
        <f>100*(AG94-AG93)</f>
        <v/>
      </c>
      <c r="AH228" s="21">
        <f>100*(AH94-AH93)</f>
        <v/>
      </c>
      <c r="AI228" s="21">
        <f>100*(AI94-AI93)</f>
        <v/>
      </c>
      <c r="AJ228" s="21">
        <f>100*(AJ94-AJ93)</f>
        <v/>
      </c>
      <c r="AK228" s="21">
        <f>100*(AK94-AK93)</f>
        <v/>
      </c>
      <c r="AL228" s="21">
        <f>100*(AL94-AL93)</f>
        <v/>
      </c>
      <c r="AM228" s="21">
        <f>100*(AM94-AM93)</f>
        <v/>
      </c>
      <c r="AN228" s="21">
        <f>100*(AN94-AN93)</f>
        <v/>
      </c>
      <c r="AO228" s="21">
        <f>100*(AO94-AO93)</f>
        <v/>
      </c>
      <c r="AP228" s="21">
        <f>100*(AP94-AP93)</f>
        <v/>
      </c>
      <c r="AQ228" s="21">
        <f>100*(AQ94-AQ93)</f>
        <v/>
      </c>
      <c r="AR228" s="21">
        <f>100*(AR94-AR93)</f>
        <v/>
      </c>
      <c r="AS228" s="21">
        <f>100*(AS94-AS93)</f>
        <v/>
      </c>
      <c r="AT228" s="21">
        <f>100*(AT94-AT93)</f>
        <v/>
      </c>
      <c r="AU228" s="21">
        <f>100*(AU94-AU93)</f>
        <v/>
      </c>
      <c r="AV228" s="21">
        <f>AVERAGE(C228:AU228)</f>
        <v/>
      </c>
    </row>
    <row r="229">
      <c r="A229" s="19">
        <f>A95</f>
        <v/>
      </c>
      <c r="B229" s="20">
        <f>B95</f>
        <v/>
      </c>
      <c r="C229" s="21">
        <f>100*(C95-C94)</f>
        <v/>
      </c>
      <c r="D229" s="21">
        <f>100*(D95-D94)</f>
        <v/>
      </c>
      <c r="E229" s="21">
        <f>100*(E95-E94)</f>
        <v/>
      </c>
      <c r="F229" s="21">
        <f>100*(F95-F94)</f>
        <v/>
      </c>
      <c r="G229" s="21">
        <f>100*(G95-G94)</f>
        <v/>
      </c>
      <c r="H229" s="21">
        <f>100*(H95-H94)</f>
        <v/>
      </c>
      <c r="I229" s="21">
        <f>100*(I95-I94)</f>
        <v/>
      </c>
      <c r="J229" s="21">
        <f>100*(J95-J94)</f>
        <v/>
      </c>
      <c r="K229" s="21">
        <f>100*(K95-K94)</f>
        <v/>
      </c>
      <c r="L229" s="21">
        <f>100*(L95-L94)</f>
        <v/>
      </c>
      <c r="M229" s="21">
        <f>100*(M95-M94)</f>
        <v/>
      </c>
      <c r="N229" s="21">
        <f>100*(N95-N94)</f>
        <v/>
      </c>
      <c r="O229" s="21">
        <f>100*(O95-O94)</f>
        <v/>
      </c>
      <c r="P229" s="21">
        <f>100*(P95-P94)</f>
        <v/>
      </c>
      <c r="Q229" s="21">
        <f>100*(Q95-Q94)</f>
        <v/>
      </c>
      <c r="R229" s="21">
        <f>100*(R95-R94)</f>
        <v/>
      </c>
      <c r="S229" s="21">
        <f>100*(S95-S94)</f>
        <v/>
      </c>
      <c r="T229" s="21">
        <f>100*(T95-T94)</f>
        <v/>
      </c>
      <c r="U229" s="21">
        <f>100*(U95-U94)</f>
        <v/>
      </c>
      <c r="V229" s="21">
        <f>100*(V95-V94)</f>
        <v/>
      </c>
      <c r="W229" s="21">
        <f>100*(W95-W94)</f>
        <v/>
      </c>
      <c r="X229" s="21">
        <f>100*(X95-X94)</f>
        <v/>
      </c>
      <c r="Y229" s="21">
        <f>100*(Y95-Y94)</f>
        <v/>
      </c>
      <c r="Z229" s="21">
        <f>100*(Z95-Z94)</f>
        <v/>
      </c>
      <c r="AA229" s="21">
        <f>100*(AA95-AA94)</f>
        <v/>
      </c>
      <c r="AB229" s="21">
        <f>100*(AB95-AB94)</f>
        <v/>
      </c>
      <c r="AC229" s="21">
        <f>100*(AC95-AC94)</f>
        <v/>
      </c>
      <c r="AD229" s="21">
        <f>100*(AD95-AD94)</f>
        <v/>
      </c>
      <c r="AE229" s="21">
        <f>100*(AE95-AE94)</f>
        <v/>
      </c>
      <c r="AF229" s="21">
        <f>100*(AF95-AF94)</f>
        <v/>
      </c>
      <c r="AG229" s="21">
        <f>100*(AG95-AG94)</f>
        <v/>
      </c>
      <c r="AH229" s="21">
        <f>100*(AH95-AH94)</f>
        <v/>
      </c>
      <c r="AI229" s="21">
        <f>100*(AI95-AI94)</f>
        <v/>
      </c>
      <c r="AJ229" s="21">
        <f>100*(AJ95-AJ94)</f>
        <v/>
      </c>
      <c r="AK229" s="21">
        <f>100*(AK95-AK94)</f>
        <v/>
      </c>
      <c r="AL229" s="21">
        <f>100*(AL95-AL94)</f>
        <v/>
      </c>
      <c r="AM229" s="21">
        <f>100*(AM95-AM94)</f>
        <v/>
      </c>
      <c r="AN229" s="21">
        <f>100*(AN95-AN94)</f>
        <v/>
      </c>
      <c r="AO229" s="21">
        <f>100*(AO95-AO94)</f>
        <v/>
      </c>
      <c r="AP229" s="21">
        <f>100*(AP95-AP94)</f>
        <v/>
      </c>
      <c r="AQ229" s="21">
        <f>100*(AQ95-AQ94)</f>
        <v/>
      </c>
      <c r="AR229" s="21">
        <f>100*(AR95-AR94)</f>
        <v/>
      </c>
      <c r="AS229" s="21">
        <f>100*(AS95-AS94)</f>
        <v/>
      </c>
      <c r="AT229" s="21">
        <f>100*(AT95-AT94)</f>
        <v/>
      </c>
      <c r="AU229" s="21">
        <f>100*(AU95-AU94)</f>
        <v/>
      </c>
      <c r="AV229" s="21">
        <f>AVERAGE(C229:AU229)</f>
        <v/>
      </c>
    </row>
    <row r="230">
      <c r="A230" s="19">
        <f>A96</f>
        <v/>
      </c>
      <c r="B230" s="20">
        <f>B96</f>
        <v/>
      </c>
      <c r="C230" s="21">
        <f>100*(C96-C95)</f>
        <v/>
      </c>
      <c r="D230" s="21">
        <f>100*(D96-D95)</f>
        <v/>
      </c>
      <c r="E230" s="21">
        <f>100*(E96-E95)</f>
        <v/>
      </c>
      <c r="F230" s="21">
        <f>100*(F96-F95)</f>
        <v/>
      </c>
      <c r="G230" s="21">
        <f>100*(G96-G95)</f>
        <v/>
      </c>
      <c r="H230" s="21">
        <f>100*(H96-H95)</f>
        <v/>
      </c>
      <c r="I230" s="21">
        <f>100*(I96-I95)</f>
        <v/>
      </c>
      <c r="J230" s="21">
        <f>100*(J96-J95)</f>
        <v/>
      </c>
      <c r="K230" s="21">
        <f>100*(K96-K95)</f>
        <v/>
      </c>
      <c r="L230" s="21">
        <f>100*(L96-L95)</f>
        <v/>
      </c>
      <c r="M230" s="21">
        <f>100*(M96-M95)</f>
        <v/>
      </c>
      <c r="N230" s="21">
        <f>100*(N96-N95)</f>
        <v/>
      </c>
      <c r="O230" s="21">
        <f>100*(O96-O95)</f>
        <v/>
      </c>
      <c r="P230" s="21">
        <f>100*(P96-P95)</f>
        <v/>
      </c>
      <c r="Q230" s="21">
        <f>100*(Q96-Q95)</f>
        <v/>
      </c>
      <c r="R230" s="21">
        <f>100*(R96-R95)</f>
        <v/>
      </c>
      <c r="S230" s="21">
        <f>100*(S96-S95)</f>
        <v/>
      </c>
      <c r="T230" s="21">
        <f>100*(T96-T95)</f>
        <v/>
      </c>
      <c r="U230" s="21">
        <f>100*(U96-U95)</f>
        <v/>
      </c>
      <c r="V230" s="21">
        <f>100*(V96-V95)</f>
        <v/>
      </c>
      <c r="W230" s="21">
        <f>100*(W96-W95)</f>
        <v/>
      </c>
      <c r="X230" s="21">
        <f>100*(X96-X95)</f>
        <v/>
      </c>
      <c r="Y230" s="21">
        <f>100*(Y96-Y95)</f>
        <v/>
      </c>
      <c r="Z230" s="21">
        <f>100*(Z96-Z95)</f>
        <v/>
      </c>
      <c r="AA230" s="21">
        <f>100*(AA96-AA95)</f>
        <v/>
      </c>
      <c r="AB230" s="21">
        <f>100*(AB96-AB95)</f>
        <v/>
      </c>
      <c r="AC230" s="21">
        <f>100*(AC96-AC95)</f>
        <v/>
      </c>
      <c r="AD230" s="21">
        <f>100*(AD96-AD95)</f>
        <v/>
      </c>
      <c r="AE230" s="21">
        <f>100*(AE96-AE95)</f>
        <v/>
      </c>
      <c r="AF230" s="21">
        <f>100*(AF96-AF95)</f>
        <v/>
      </c>
      <c r="AG230" s="21">
        <f>100*(AG96-AG95)</f>
        <v/>
      </c>
      <c r="AH230" s="21">
        <f>100*(AH96-AH95)</f>
        <v/>
      </c>
      <c r="AI230" s="21">
        <f>100*(AI96-AI95)</f>
        <v/>
      </c>
      <c r="AJ230" s="21">
        <f>100*(AJ96-AJ95)</f>
        <v/>
      </c>
      <c r="AK230" s="21">
        <f>100*(AK96-AK95)</f>
        <v/>
      </c>
      <c r="AL230" s="21">
        <f>100*(AL96-AL95)</f>
        <v/>
      </c>
      <c r="AM230" s="21">
        <f>100*(AM96-AM95)</f>
        <v/>
      </c>
      <c r="AN230" s="21">
        <f>100*(AN96-AN95)</f>
        <v/>
      </c>
      <c r="AO230" s="21">
        <f>100*(AO96-AO95)</f>
        <v/>
      </c>
      <c r="AP230" s="21">
        <f>100*(AP96-AP95)</f>
        <v/>
      </c>
      <c r="AQ230" s="21">
        <f>100*(AQ96-AQ95)</f>
        <v/>
      </c>
      <c r="AR230" s="21">
        <f>100*(AR96-AR95)</f>
        <v/>
      </c>
      <c r="AS230" s="21">
        <f>100*(AS96-AS95)</f>
        <v/>
      </c>
      <c r="AT230" s="21">
        <f>100*(AT96-AT95)</f>
        <v/>
      </c>
      <c r="AU230" s="21">
        <f>100*(AU96-AU95)</f>
        <v/>
      </c>
      <c r="AV230" s="21">
        <f>AVERAGE(C230:AU230)</f>
        <v/>
      </c>
    </row>
    <row r="231">
      <c r="A231" s="19">
        <f>A97</f>
        <v/>
      </c>
      <c r="B231" s="20">
        <f>B97</f>
        <v/>
      </c>
      <c r="C231" s="21">
        <f>100*(C97-C96)</f>
        <v/>
      </c>
      <c r="D231" s="21">
        <f>100*(D97-D96)</f>
        <v/>
      </c>
      <c r="E231" s="21">
        <f>100*(E97-E96)</f>
        <v/>
      </c>
      <c r="F231" s="21">
        <f>100*(F97-F96)</f>
        <v/>
      </c>
      <c r="G231" s="21">
        <f>100*(G97-G96)</f>
        <v/>
      </c>
      <c r="H231" s="21">
        <f>100*(H97-H96)</f>
        <v/>
      </c>
      <c r="I231" s="21">
        <f>100*(I97-I96)</f>
        <v/>
      </c>
      <c r="J231" s="21">
        <f>100*(J97-J96)</f>
        <v/>
      </c>
      <c r="K231" s="21">
        <f>100*(K97-K96)</f>
        <v/>
      </c>
      <c r="L231" s="21">
        <f>100*(L97-L96)</f>
        <v/>
      </c>
      <c r="M231" s="21">
        <f>100*(M97-M96)</f>
        <v/>
      </c>
      <c r="N231" s="21">
        <f>100*(N97-N96)</f>
        <v/>
      </c>
      <c r="O231" s="21">
        <f>100*(O97-O96)</f>
        <v/>
      </c>
      <c r="P231" s="21">
        <f>100*(P97-P96)</f>
        <v/>
      </c>
      <c r="Q231" s="21">
        <f>100*(Q97-Q96)</f>
        <v/>
      </c>
      <c r="R231" s="21">
        <f>100*(R97-R96)</f>
        <v/>
      </c>
      <c r="S231" s="21">
        <f>100*(S97-S96)</f>
        <v/>
      </c>
      <c r="T231" s="21">
        <f>100*(T97-T96)</f>
        <v/>
      </c>
      <c r="U231" s="21">
        <f>100*(U97-U96)</f>
        <v/>
      </c>
      <c r="V231" s="21">
        <f>100*(V97-V96)</f>
        <v/>
      </c>
      <c r="W231" s="21">
        <f>100*(W97-W96)</f>
        <v/>
      </c>
      <c r="X231" s="21">
        <f>100*(X97-X96)</f>
        <v/>
      </c>
      <c r="Y231" s="21">
        <f>100*(Y97-Y96)</f>
        <v/>
      </c>
      <c r="Z231" s="21">
        <f>100*(Z97-Z96)</f>
        <v/>
      </c>
      <c r="AA231" s="21">
        <f>100*(AA97-AA96)</f>
        <v/>
      </c>
      <c r="AB231" s="21">
        <f>100*(AB97-AB96)</f>
        <v/>
      </c>
      <c r="AC231" s="21">
        <f>100*(AC97-AC96)</f>
        <v/>
      </c>
      <c r="AD231" s="21">
        <f>100*(AD97-AD96)</f>
        <v/>
      </c>
      <c r="AE231" s="21">
        <f>100*(AE97-AE96)</f>
        <v/>
      </c>
      <c r="AF231" s="21">
        <f>100*(AF97-AF96)</f>
        <v/>
      </c>
      <c r="AG231" s="21">
        <f>100*(AG97-AG96)</f>
        <v/>
      </c>
      <c r="AH231" s="21">
        <f>100*(AH97-AH96)</f>
        <v/>
      </c>
      <c r="AI231" s="21">
        <f>100*(AI97-AI96)</f>
        <v/>
      </c>
      <c r="AJ231" s="21">
        <f>100*(AJ97-AJ96)</f>
        <v/>
      </c>
      <c r="AK231" s="21">
        <f>100*(AK97-AK96)</f>
        <v/>
      </c>
      <c r="AL231" s="21">
        <f>100*(AL97-AL96)</f>
        <v/>
      </c>
      <c r="AM231" s="21">
        <f>100*(AM97-AM96)</f>
        <v/>
      </c>
      <c r="AN231" s="21">
        <f>100*(AN97-AN96)</f>
        <v/>
      </c>
      <c r="AO231" s="21">
        <f>100*(AO97-AO96)</f>
        <v/>
      </c>
      <c r="AP231" s="21">
        <f>100*(AP97-AP96)</f>
        <v/>
      </c>
      <c r="AQ231" s="21">
        <f>100*(AQ97-AQ96)</f>
        <v/>
      </c>
      <c r="AR231" s="21">
        <f>100*(AR97-AR96)</f>
        <v/>
      </c>
      <c r="AS231" s="21">
        <f>100*(AS97-AS96)</f>
        <v/>
      </c>
      <c r="AT231" s="21">
        <f>100*(AT97-AT96)</f>
        <v/>
      </c>
      <c r="AU231" s="21">
        <f>100*(AU97-AU96)</f>
        <v/>
      </c>
      <c r="AV231" s="21">
        <f>AVERAGE(C231:AU231)</f>
        <v/>
      </c>
    </row>
    <row r="232">
      <c r="A232" s="19">
        <f>A98</f>
        <v/>
      </c>
      <c r="B232" s="20">
        <f>B98</f>
        <v/>
      </c>
      <c r="C232" s="21">
        <f>100*(C98-C97)</f>
        <v/>
      </c>
      <c r="D232" s="21">
        <f>100*(D98-D97)</f>
        <v/>
      </c>
      <c r="E232" s="21">
        <f>100*(E98-E97)</f>
        <v/>
      </c>
      <c r="F232" s="21">
        <f>100*(F98-F97)</f>
        <v/>
      </c>
      <c r="G232" s="21">
        <f>100*(G98-G97)</f>
        <v/>
      </c>
      <c r="H232" s="21">
        <f>100*(H98-H97)</f>
        <v/>
      </c>
      <c r="I232" s="21">
        <f>100*(I98-I97)</f>
        <v/>
      </c>
      <c r="J232" s="21">
        <f>100*(J98-J97)</f>
        <v/>
      </c>
      <c r="K232" s="21">
        <f>100*(K98-K97)</f>
        <v/>
      </c>
      <c r="L232" s="21">
        <f>100*(L98-L97)</f>
        <v/>
      </c>
      <c r="M232" s="21">
        <f>100*(M98-M97)</f>
        <v/>
      </c>
      <c r="N232" s="21">
        <f>100*(N98-N97)</f>
        <v/>
      </c>
      <c r="O232" s="21">
        <f>100*(O98-O97)</f>
        <v/>
      </c>
      <c r="P232" s="21">
        <f>100*(P98-P97)</f>
        <v/>
      </c>
      <c r="Q232" s="21">
        <f>100*(Q98-Q97)</f>
        <v/>
      </c>
      <c r="R232" s="21">
        <f>100*(R98-R97)</f>
        <v/>
      </c>
      <c r="S232" s="21">
        <f>100*(S98-S97)</f>
        <v/>
      </c>
      <c r="T232" s="21">
        <f>100*(T98-T97)</f>
        <v/>
      </c>
      <c r="U232" s="21">
        <f>100*(U98-U97)</f>
        <v/>
      </c>
      <c r="V232" s="21">
        <f>100*(V98-V97)</f>
        <v/>
      </c>
      <c r="W232" s="21">
        <f>100*(W98-W97)</f>
        <v/>
      </c>
      <c r="X232" s="21">
        <f>100*(X98-X97)</f>
        <v/>
      </c>
      <c r="Y232" s="21">
        <f>100*(Y98-Y97)</f>
        <v/>
      </c>
      <c r="Z232" s="21">
        <f>100*(Z98-Z97)</f>
        <v/>
      </c>
      <c r="AA232" s="21">
        <f>100*(AA98-AA97)</f>
        <v/>
      </c>
      <c r="AB232" s="21">
        <f>100*(AB98-AB97)</f>
        <v/>
      </c>
      <c r="AC232" s="21">
        <f>100*(AC98-AC97)</f>
        <v/>
      </c>
      <c r="AD232" s="21">
        <f>100*(AD98-AD97)</f>
        <v/>
      </c>
      <c r="AE232" s="21">
        <f>100*(AE98-AE97)</f>
        <v/>
      </c>
      <c r="AF232" s="21">
        <f>100*(AF98-AF97)</f>
        <v/>
      </c>
      <c r="AG232" s="21">
        <f>100*(AG98-AG97)</f>
        <v/>
      </c>
      <c r="AH232" s="21">
        <f>100*(AH98-AH97)</f>
        <v/>
      </c>
      <c r="AI232" s="21">
        <f>100*(AI98-AI97)</f>
        <v/>
      </c>
      <c r="AJ232" s="21">
        <f>100*(AJ98-AJ97)</f>
        <v/>
      </c>
      <c r="AK232" s="21">
        <f>100*(AK98-AK97)</f>
        <v/>
      </c>
      <c r="AL232" s="21">
        <f>100*(AL98-AL97)</f>
        <v/>
      </c>
      <c r="AM232" s="21">
        <f>100*(AM98-AM97)</f>
        <v/>
      </c>
      <c r="AN232" s="21">
        <f>100*(AN98-AN97)</f>
        <v/>
      </c>
      <c r="AO232" s="21">
        <f>100*(AO98-AO97)</f>
        <v/>
      </c>
      <c r="AP232" s="21">
        <f>100*(AP98-AP97)</f>
        <v/>
      </c>
      <c r="AQ232" s="21">
        <f>100*(AQ98-AQ97)</f>
        <v/>
      </c>
      <c r="AR232" s="21">
        <f>100*(AR98-AR97)</f>
        <v/>
      </c>
      <c r="AS232" s="21">
        <f>100*(AS98-AS97)</f>
        <v/>
      </c>
      <c r="AT232" s="21">
        <f>100*(AT98-AT97)</f>
        <v/>
      </c>
      <c r="AU232" s="21">
        <f>100*(AU98-AU97)</f>
        <v/>
      </c>
      <c r="AV232" s="21">
        <f>AVERAGE(C232:AU232)</f>
        <v/>
      </c>
    </row>
    <row r="233">
      <c r="A233" s="19">
        <f>A99</f>
        <v/>
      </c>
      <c r="B233" s="20">
        <f>B99</f>
        <v/>
      </c>
      <c r="C233" s="21">
        <f>100*(C99-C98)</f>
        <v/>
      </c>
      <c r="D233" s="21">
        <f>100*(D99-D98)</f>
        <v/>
      </c>
      <c r="E233" s="21">
        <f>100*(E99-E98)</f>
        <v/>
      </c>
      <c r="F233" s="21">
        <f>100*(F99-F98)</f>
        <v/>
      </c>
      <c r="G233" s="21">
        <f>100*(G99-G98)</f>
        <v/>
      </c>
      <c r="H233" s="21">
        <f>100*(H99-H98)</f>
        <v/>
      </c>
      <c r="I233" s="21">
        <f>100*(I99-I98)</f>
        <v/>
      </c>
      <c r="J233" s="21">
        <f>100*(J99-J98)</f>
        <v/>
      </c>
      <c r="K233" s="21">
        <f>100*(K99-K98)</f>
        <v/>
      </c>
      <c r="L233" s="21">
        <f>100*(L99-L98)</f>
        <v/>
      </c>
      <c r="M233" s="21">
        <f>100*(M99-M98)</f>
        <v/>
      </c>
      <c r="N233" s="21">
        <f>100*(N99-N98)</f>
        <v/>
      </c>
      <c r="O233" s="21">
        <f>100*(O99-O98)</f>
        <v/>
      </c>
      <c r="P233" s="21">
        <f>100*(P99-P98)</f>
        <v/>
      </c>
      <c r="Q233" s="21">
        <f>100*(Q99-Q98)</f>
        <v/>
      </c>
      <c r="R233" s="21">
        <f>100*(R99-R98)</f>
        <v/>
      </c>
      <c r="S233" s="21">
        <f>100*(S99-S98)</f>
        <v/>
      </c>
      <c r="T233" s="21">
        <f>100*(T99-T98)</f>
        <v/>
      </c>
      <c r="U233" s="21">
        <f>100*(U99-U98)</f>
        <v/>
      </c>
      <c r="V233" s="21">
        <f>100*(V99-V98)</f>
        <v/>
      </c>
      <c r="W233" s="21">
        <f>100*(W99-W98)</f>
        <v/>
      </c>
      <c r="X233" s="21">
        <f>100*(X99-X98)</f>
        <v/>
      </c>
      <c r="Y233" s="21">
        <f>100*(Y99-Y98)</f>
        <v/>
      </c>
      <c r="Z233" s="21">
        <f>100*(Z99-Z98)</f>
        <v/>
      </c>
      <c r="AA233" s="21">
        <f>100*(AA99-AA98)</f>
        <v/>
      </c>
      <c r="AB233" s="21">
        <f>100*(AB99-AB98)</f>
        <v/>
      </c>
      <c r="AC233" s="21">
        <f>100*(AC99-AC98)</f>
        <v/>
      </c>
      <c r="AD233" s="21">
        <f>100*(AD99-AD98)</f>
        <v/>
      </c>
      <c r="AE233" s="21">
        <f>100*(AE99-AE98)</f>
        <v/>
      </c>
      <c r="AF233" s="21">
        <f>100*(AF99-AF98)</f>
        <v/>
      </c>
      <c r="AG233" s="21">
        <f>100*(AG99-AG98)</f>
        <v/>
      </c>
      <c r="AH233" s="21">
        <f>100*(AH99-AH98)</f>
        <v/>
      </c>
      <c r="AI233" s="21">
        <f>100*(AI99-AI98)</f>
        <v/>
      </c>
      <c r="AJ233" s="21">
        <f>100*(AJ99-AJ98)</f>
        <v/>
      </c>
      <c r="AK233" s="21">
        <f>100*(AK99-AK98)</f>
        <v/>
      </c>
      <c r="AL233" s="21">
        <f>100*(AL99-AL98)</f>
        <v/>
      </c>
      <c r="AM233" s="21">
        <f>100*(AM99-AM98)</f>
        <v/>
      </c>
      <c r="AN233" s="21">
        <f>100*(AN99-AN98)</f>
        <v/>
      </c>
      <c r="AO233" s="21">
        <f>100*(AO99-AO98)</f>
        <v/>
      </c>
      <c r="AP233" s="21">
        <f>100*(AP99-AP98)</f>
        <v/>
      </c>
      <c r="AQ233" s="21">
        <f>100*(AQ99-AQ98)</f>
        <v/>
      </c>
      <c r="AR233" s="21">
        <f>100*(AR99-AR98)</f>
        <v/>
      </c>
      <c r="AS233" s="21">
        <f>100*(AS99-AS98)</f>
        <v/>
      </c>
      <c r="AT233" s="21">
        <f>100*(AT99-AT98)</f>
        <v/>
      </c>
      <c r="AU233" s="21">
        <f>100*(AU99-AU98)</f>
        <v/>
      </c>
      <c r="AV233" s="21">
        <f>AVERAGE(C233:AU233)</f>
        <v/>
      </c>
    </row>
    <row r="234">
      <c r="A234" s="19">
        <f>A100</f>
        <v/>
      </c>
      <c r="B234" s="20">
        <f>B100</f>
        <v/>
      </c>
      <c r="C234" s="21">
        <f>100*(C100-C99)</f>
        <v/>
      </c>
      <c r="D234" s="21">
        <f>100*(D100-D99)</f>
        <v/>
      </c>
      <c r="E234" s="21">
        <f>100*(E100-E99)</f>
        <v/>
      </c>
      <c r="F234" s="21">
        <f>100*(F100-F99)</f>
        <v/>
      </c>
      <c r="G234" s="21">
        <f>100*(G100-G99)</f>
        <v/>
      </c>
      <c r="H234" s="21">
        <f>100*(H100-H99)</f>
        <v/>
      </c>
      <c r="I234" s="21">
        <f>100*(I100-I99)</f>
        <v/>
      </c>
      <c r="J234" s="21">
        <f>100*(J100-J99)</f>
        <v/>
      </c>
      <c r="K234" s="21">
        <f>100*(K100-K99)</f>
        <v/>
      </c>
      <c r="L234" s="21">
        <f>100*(L100-L99)</f>
        <v/>
      </c>
      <c r="M234" s="21">
        <f>100*(M100-M99)</f>
        <v/>
      </c>
      <c r="N234" s="21">
        <f>100*(N100-N99)</f>
        <v/>
      </c>
      <c r="O234" s="21">
        <f>100*(O100-O99)</f>
        <v/>
      </c>
      <c r="P234" s="21">
        <f>100*(P100-P99)</f>
        <v/>
      </c>
      <c r="Q234" s="21">
        <f>100*(Q100-Q99)</f>
        <v/>
      </c>
      <c r="R234" s="21">
        <f>100*(R100-R99)</f>
        <v/>
      </c>
      <c r="S234" s="21">
        <f>100*(S100-S99)</f>
        <v/>
      </c>
      <c r="T234" s="21">
        <f>100*(T100-T99)</f>
        <v/>
      </c>
      <c r="U234" s="21">
        <f>100*(U100-U99)</f>
        <v/>
      </c>
      <c r="V234" s="21">
        <f>100*(V100-V99)</f>
        <v/>
      </c>
      <c r="W234" s="21">
        <f>100*(W100-W99)</f>
        <v/>
      </c>
      <c r="X234" s="21">
        <f>100*(X100-X99)</f>
        <v/>
      </c>
      <c r="Y234" s="21">
        <f>100*(Y100-Y99)</f>
        <v/>
      </c>
      <c r="Z234" s="21">
        <f>100*(Z100-Z99)</f>
        <v/>
      </c>
      <c r="AA234" s="21">
        <f>100*(AA100-AA99)</f>
        <v/>
      </c>
      <c r="AB234" s="21">
        <f>100*(AB100-AB99)</f>
        <v/>
      </c>
      <c r="AC234" s="21">
        <f>100*(AC100-AC99)</f>
        <v/>
      </c>
      <c r="AD234" s="21">
        <f>100*(AD100-AD99)</f>
        <v/>
      </c>
      <c r="AE234" s="21">
        <f>100*(AE100-AE99)</f>
        <v/>
      </c>
      <c r="AF234" s="21">
        <f>100*(AF100-AF99)</f>
        <v/>
      </c>
      <c r="AG234" s="21">
        <f>100*(AG100-AG99)</f>
        <v/>
      </c>
      <c r="AH234" s="21">
        <f>100*(AH100-AH99)</f>
        <v/>
      </c>
      <c r="AI234" s="21">
        <f>100*(AI100-AI99)</f>
        <v/>
      </c>
      <c r="AJ234" s="21">
        <f>100*(AJ100-AJ99)</f>
        <v/>
      </c>
      <c r="AK234" s="21">
        <f>100*(AK100-AK99)</f>
        <v/>
      </c>
      <c r="AL234" s="21">
        <f>100*(AL100-AL99)</f>
        <v/>
      </c>
      <c r="AM234" s="21">
        <f>100*(AM100-AM99)</f>
        <v/>
      </c>
      <c r="AN234" s="21">
        <f>100*(AN100-AN99)</f>
        <v/>
      </c>
      <c r="AO234" s="21">
        <f>100*(AO100-AO99)</f>
        <v/>
      </c>
      <c r="AP234" s="21">
        <f>100*(AP100-AP99)</f>
        <v/>
      </c>
      <c r="AQ234" s="21">
        <f>100*(AQ100-AQ99)</f>
        <v/>
      </c>
      <c r="AR234" s="21">
        <f>100*(AR100-AR99)</f>
        <v/>
      </c>
      <c r="AS234" s="21">
        <f>100*(AS100-AS99)</f>
        <v/>
      </c>
      <c r="AT234" s="21">
        <f>100*(AT100-AT99)</f>
        <v/>
      </c>
      <c r="AU234" s="21">
        <f>100*(AU100-AU99)</f>
        <v/>
      </c>
      <c r="AV234" s="21">
        <f>AVERAGE(C234:AU234)</f>
        <v/>
      </c>
    </row>
    <row r="235">
      <c r="A235" s="19">
        <f>A101</f>
        <v/>
      </c>
      <c r="B235" s="20">
        <f>B101</f>
        <v/>
      </c>
      <c r="C235" s="21">
        <f>100*(C101-C100)</f>
        <v/>
      </c>
      <c r="D235" s="21">
        <f>100*(D101-D100)</f>
        <v/>
      </c>
      <c r="E235" s="21">
        <f>100*(E101-E100)</f>
        <v/>
      </c>
      <c r="F235" s="21">
        <f>100*(F101-F100)</f>
        <v/>
      </c>
      <c r="G235" s="21">
        <f>100*(G101-G100)</f>
        <v/>
      </c>
      <c r="H235" s="21">
        <f>100*(H101-H100)</f>
        <v/>
      </c>
      <c r="I235" s="21">
        <f>100*(I101-I100)</f>
        <v/>
      </c>
      <c r="J235" s="21">
        <f>100*(J101-J100)</f>
        <v/>
      </c>
      <c r="K235" s="21">
        <f>100*(K101-K100)</f>
        <v/>
      </c>
      <c r="L235" s="21">
        <f>100*(L101-L100)</f>
        <v/>
      </c>
      <c r="M235" s="21">
        <f>100*(M101-M100)</f>
        <v/>
      </c>
      <c r="N235" s="21">
        <f>100*(N101-N100)</f>
        <v/>
      </c>
      <c r="O235" s="21">
        <f>100*(O101-O100)</f>
        <v/>
      </c>
      <c r="P235" s="21">
        <f>100*(P101-P100)</f>
        <v/>
      </c>
      <c r="Q235" s="21">
        <f>100*(Q101-Q100)</f>
        <v/>
      </c>
      <c r="R235" s="21">
        <f>100*(R101-R100)</f>
        <v/>
      </c>
      <c r="S235" s="21">
        <f>100*(S101-S100)</f>
        <v/>
      </c>
      <c r="T235" s="21">
        <f>100*(T101-T100)</f>
        <v/>
      </c>
      <c r="U235" s="21">
        <f>100*(U101-U100)</f>
        <v/>
      </c>
      <c r="V235" s="21">
        <f>100*(V101-V100)</f>
        <v/>
      </c>
      <c r="W235" s="21">
        <f>100*(W101-W100)</f>
        <v/>
      </c>
      <c r="X235" s="21">
        <f>100*(X101-X100)</f>
        <v/>
      </c>
      <c r="Y235" s="21">
        <f>100*(Y101-Y100)</f>
        <v/>
      </c>
      <c r="Z235" s="21">
        <f>100*(Z101-Z100)</f>
        <v/>
      </c>
      <c r="AA235" s="21">
        <f>100*(AA101-AA100)</f>
        <v/>
      </c>
      <c r="AB235" s="21">
        <f>100*(AB101-AB100)</f>
        <v/>
      </c>
      <c r="AC235" s="21">
        <f>100*(AC101-AC100)</f>
        <v/>
      </c>
      <c r="AD235" s="21">
        <f>100*(AD101-AD100)</f>
        <v/>
      </c>
      <c r="AE235" s="21">
        <f>100*(AE101-AE100)</f>
        <v/>
      </c>
      <c r="AF235" s="21">
        <f>100*(AF101-AF100)</f>
        <v/>
      </c>
      <c r="AG235" s="21">
        <f>100*(AG101-AG100)</f>
        <v/>
      </c>
      <c r="AH235" s="21">
        <f>100*(AH101-AH100)</f>
        <v/>
      </c>
      <c r="AI235" s="21">
        <f>100*(AI101-AI100)</f>
        <v/>
      </c>
      <c r="AJ235" s="21">
        <f>100*(AJ101-AJ100)</f>
        <v/>
      </c>
      <c r="AK235" s="21">
        <f>100*(AK101-AK100)</f>
        <v/>
      </c>
      <c r="AL235" s="21">
        <f>100*(AL101-AL100)</f>
        <v/>
      </c>
      <c r="AM235" s="21">
        <f>100*(AM101-AM100)</f>
        <v/>
      </c>
      <c r="AN235" s="21">
        <f>100*(AN101-AN100)</f>
        <v/>
      </c>
      <c r="AO235" s="21">
        <f>100*(AO101-AO100)</f>
        <v/>
      </c>
      <c r="AP235" s="21">
        <f>100*(AP101-AP100)</f>
        <v/>
      </c>
      <c r="AQ235" s="21">
        <f>100*(AQ101-AQ100)</f>
        <v/>
      </c>
      <c r="AR235" s="21">
        <f>100*(AR101-AR100)</f>
        <v/>
      </c>
      <c r="AS235" s="21">
        <f>100*(AS101-AS100)</f>
        <v/>
      </c>
      <c r="AT235" s="21">
        <f>100*(AT101-AT100)</f>
        <v/>
      </c>
      <c r="AU235" s="21">
        <f>100*(AU101-AU100)</f>
        <v/>
      </c>
      <c r="AV235" s="21">
        <f>AVERAGE(C235:AU235)</f>
        <v/>
      </c>
    </row>
    <row r="236">
      <c r="A236" s="19">
        <f>A102</f>
        <v/>
      </c>
      <c r="B236" s="20">
        <f>B102</f>
        <v/>
      </c>
      <c r="C236" s="21">
        <f>100*(C102-C101)</f>
        <v/>
      </c>
      <c r="D236" s="21">
        <f>100*(D102-D101)</f>
        <v/>
      </c>
      <c r="E236" s="21">
        <f>100*(E102-E101)</f>
        <v/>
      </c>
      <c r="F236" s="21">
        <f>100*(F102-F101)</f>
        <v/>
      </c>
      <c r="G236" s="21">
        <f>100*(G102-G101)</f>
        <v/>
      </c>
      <c r="H236" s="21">
        <f>100*(H102-H101)</f>
        <v/>
      </c>
      <c r="I236" s="21">
        <f>100*(I102-I101)</f>
        <v/>
      </c>
      <c r="J236" s="21">
        <f>100*(J102-J101)</f>
        <v/>
      </c>
      <c r="K236" s="21">
        <f>100*(K102-K101)</f>
        <v/>
      </c>
      <c r="L236" s="21">
        <f>100*(L102-L101)</f>
        <v/>
      </c>
      <c r="M236" s="21">
        <f>100*(M102-M101)</f>
        <v/>
      </c>
      <c r="N236" s="21">
        <f>100*(N102-N101)</f>
        <v/>
      </c>
      <c r="O236" s="21">
        <f>100*(O102-O101)</f>
        <v/>
      </c>
      <c r="P236" s="21">
        <f>100*(P102-P101)</f>
        <v/>
      </c>
      <c r="Q236" s="21">
        <f>100*(Q102-Q101)</f>
        <v/>
      </c>
      <c r="R236" s="21">
        <f>100*(R102-R101)</f>
        <v/>
      </c>
      <c r="S236" s="21">
        <f>100*(S102-S101)</f>
        <v/>
      </c>
      <c r="T236" s="21">
        <f>100*(T102-T101)</f>
        <v/>
      </c>
      <c r="U236" s="21">
        <f>100*(U102-U101)</f>
        <v/>
      </c>
      <c r="V236" s="21">
        <f>100*(V102-V101)</f>
        <v/>
      </c>
      <c r="W236" s="21">
        <f>100*(W102-W101)</f>
        <v/>
      </c>
      <c r="X236" s="21">
        <f>100*(X102-X101)</f>
        <v/>
      </c>
      <c r="Y236" s="21">
        <f>100*(Y102-Y101)</f>
        <v/>
      </c>
      <c r="Z236" s="21">
        <f>100*(Z102-Z101)</f>
        <v/>
      </c>
      <c r="AA236" s="21">
        <f>100*(AA102-AA101)</f>
        <v/>
      </c>
      <c r="AB236" s="21">
        <f>100*(AB102-AB101)</f>
        <v/>
      </c>
      <c r="AC236" s="21">
        <f>100*(AC102-AC101)</f>
        <v/>
      </c>
      <c r="AD236" s="21">
        <f>100*(AD102-AD101)</f>
        <v/>
      </c>
      <c r="AE236" s="21">
        <f>100*(AE102-AE101)</f>
        <v/>
      </c>
      <c r="AF236" s="21">
        <f>100*(AF102-AF101)</f>
        <v/>
      </c>
      <c r="AG236" s="21">
        <f>100*(AG102-AG101)</f>
        <v/>
      </c>
      <c r="AH236" s="21">
        <f>100*(AH102-AH101)</f>
        <v/>
      </c>
      <c r="AI236" s="21">
        <f>100*(AI102-AI101)</f>
        <v/>
      </c>
      <c r="AJ236" s="21">
        <f>100*(AJ102-AJ101)</f>
        <v/>
      </c>
      <c r="AK236" s="21">
        <f>100*(AK102-AK101)</f>
        <v/>
      </c>
      <c r="AL236" s="21">
        <f>100*(AL102-AL101)</f>
        <v/>
      </c>
      <c r="AM236" s="21">
        <f>100*(AM102-AM101)</f>
        <v/>
      </c>
      <c r="AN236" s="21">
        <f>100*(AN102-AN101)</f>
        <v/>
      </c>
      <c r="AO236" s="21">
        <f>100*(AO102-AO101)</f>
        <v/>
      </c>
      <c r="AP236" s="21">
        <f>100*(AP102-AP101)</f>
        <v/>
      </c>
      <c r="AQ236" s="21">
        <f>100*(AQ102-AQ101)</f>
        <v/>
      </c>
      <c r="AR236" s="21">
        <f>100*(AR102-AR101)</f>
        <v/>
      </c>
      <c r="AS236" s="21">
        <f>100*(AS102-AS101)</f>
        <v/>
      </c>
      <c r="AT236" s="21">
        <f>100*(AT102-AT101)</f>
        <v/>
      </c>
      <c r="AU236" s="21">
        <f>100*(AU102-AU101)</f>
        <v/>
      </c>
      <c r="AV236" s="21">
        <f>AVERAGE(C236:AU236)</f>
        <v/>
      </c>
    </row>
    <row r="237">
      <c r="A237" s="19">
        <f>A103</f>
        <v/>
      </c>
      <c r="B237" s="20">
        <f>B103</f>
        <v/>
      </c>
      <c r="C237" s="21">
        <f>100*(C103-C102)</f>
        <v/>
      </c>
      <c r="D237" s="21">
        <f>100*(D103-D102)</f>
        <v/>
      </c>
      <c r="E237" s="21">
        <f>100*(E103-E102)</f>
        <v/>
      </c>
      <c r="F237" s="21">
        <f>100*(F103-F102)</f>
        <v/>
      </c>
      <c r="G237" s="21">
        <f>100*(G103-G102)</f>
        <v/>
      </c>
      <c r="H237" s="21">
        <f>100*(H103-H102)</f>
        <v/>
      </c>
      <c r="I237" s="21">
        <f>100*(I103-I102)</f>
        <v/>
      </c>
      <c r="J237" s="21">
        <f>100*(J103-J102)</f>
        <v/>
      </c>
      <c r="K237" s="21">
        <f>100*(K103-K102)</f>
        <v/>
      </c>
      <c r="L237" s="21">
        <f>100*(L103-L102)</f>
        <v/>
      </c>
      <c r="M237" s="21">
        <f>100*(M103-M102)</f>
        <v/>
      </c>
      <c r="N237" s="21">
        <f>100*(N103-N102)</f>
        <v/>
      </c>
      <c r="O237" s="21">
        <f>100*(O103-O102)</f>
        <v/>
      </c>
      <c r="P237" s="21">
        <f>100*(P103-P102)</f>
        <v/>
      </c>
      <c r="Q237" s="21">
        <f>100*(Q103-Q102)</f>
        <v/>
      </c>
      <c r="R237" s="21">
        <f>100*(R103-R102)</f>
        <v/>
      </c>
      <c r="S237" s="21">
        <f>100*(S103-S102)</f>
        <v/>
      </c>
      <c r="T237" s="21">
        <f>100*(T103-T102)</f>
        <v/>
      </c>
      <c r="U237" s="21">
        <f>100*(U103-U102)</f>
        <v/>
      </c>
      <c r="V237" s="21">
        <f>100*(V103-V102)</f>
        <v/>
      </c>
      <c r="W237" s="21">
        <f>100*(W103-W102)</f>
        <v/>
      </c>
      <c r="X237" s="21">
        <f>100*(X103-X102)</f>
        <v/>
      </c>
      <c r="Y237" s="21">
        <f>100*(Y103-Y102)</f>
        <v/>
      </c>
      <c r="Z237" s="21">
        <f>100*(Z103-Z102)</f>
        <v/>
      </c>
      <c r="AA237" s="21">
        <f>100*(AA103-AA102)</f>
        <v/>
      </c>
      <c r="AB237" s="21">
        <f>100*(AB103-AB102)</f>
        <v/>
      </c>
      <c r="AC237" s="21">
        <f>100*(AC103-AC102)</f>
        <v/>
      </c>
      <c r="AD237" s="21">
        <f>100*(AD103-AD102)</f>
        <v/>
      </c>
      <c r="AE237" s="21">
        <f>100*(AE103-AE102)</f>
        <v/>
      </c>
      <c r="AF237" s="21">
        <f>100*(AF103-AF102)</f>
        <v/>
      </c>
      <c r="AG237" s="21">
        <f>100*(AG103-AG102)</f>
        <v/>
      </c>
      <c r="AH237" s="21">
        <f>100*(AH103-AH102)</f>
        <v/>
      </c>
      <c r="AI237" s="21">
        <f>100*(AI103-AI102)</f>
        <v/>
      </c>
      <c r="AJ237" s="21">
        <f>100*(AJ103-AJ102)</f>
        <v/>
      </c>
      <c r="AK237" s="21">
        <f>100*(AK103-AK102)</f>
        <v/>
      </c>
      <c r="AL237" s="21">
        <f>100*(AL103-AL102)</f>
        <v/>
      </c>
      <c r="AM237" s="21">
        <f>100*(AM103-AM102)</f>
        <v/>
      </c>
      <c r="AN237" s="21">
        <f>100*(AN103-AN102)</f>
        <v/>
      </c>
      <c r="AO237" s="21">
        <f>100*(AO103-AO102)</f>
        <v/>
      </c>
      <c r="AP237" s="21">
        <f>100*(AP103-AP102)</f>
        <v/>
      </c>
      <c r="AQ237" s="21">
        <f>100*(AQ103-AQ102)</f>
        <v/>
      </c>
      <c r="AR237" s="21">
        <f>100*(AR103-AR102)</f>
        <v/>
      </c>
      <c r="AS237" s="21">
        <f>100*(AS103-AS102)</f>
        <v/>
      </c>
      <c r="AT237" s="21">
        <f>100*(AT103-AT102)</f>
        <v/>
      </c>
      <c r="AU237" s="21">
        <f>100*(AU103-AU102)</f>
        <v/>
      </c>
      <c r="AV237" s="21">
        <f>AVERAGE(C237:AU237)</f>
        <v/>
      </c>
    </row>
    <row r="238">
      <c r="A238" s="19">
        <f>A104</f>
        <v/>
      </c>
      <c r="B238" s="20">
        <f>B104</f>
        <v/>
      </c>
      <c r="C238" s="21">
        <f>100*(C104-C103)</f>
        <v/>
      </c>
      <c r="D238" s="21">
        <f>100*(D104-D103)</f>
        <v/>
      </c>
      <c r="E238" s="21">
        <f>100*(E104-E103)</f>
        <v/>
      </c>
      <c r="F238" s="21">
        <f>100*(F104-F103)</f>
        <v/>
      </c>
      <c r="G238" s="21">
        <f>100*(G104-G103)</f>
        <v/>
      </c>
      <c r="H238" s="21">
        <f>100*(H104-H103)</f>
        <v/>
      </c>
      <c r="I238" s="21">
        <f>100*(I104-I103)</f>
        <v/>
      </c>
      <c r="J238" s="21">
        <f>100*(J104-J103)</f>
        <v/>
      </c>
      <c r="K238" s="21">
        <f>100*(K104-K103)</f>
        <v/>
      </c>
      <c r="L238" s="21">
        <f>100*(L104-L103)</f>
        <v/>
      </c>
      <c r="M238" s="21">
        <f>100*(M104-M103)</f>
        <v/>
      </c>
      <c r="N238" s="21">
        <f>100*(N104-N103)</f>
        <v/>
      </c>
      <c r="O238" s="21">
        <f>100*(O104-O103)</f>
        <v/>
      </c>
      <c r="P238" s="21">
        <f>100*(P104-P103)</f>
        <v/>
      </c>
      <c r="Q238" s="21">
        <f>100*(Q104-Q103)</f>
        <v/>
      </c>
      <c r="R238" s="21">
        <f>100*(R104-R103)</f>
        <v/>
      </c>
      <c r="S238" s="21">
        <f>100*(S104-S103)</f>
        <v/>
      </c>
      <c r="T238" s="21">
        <f>100*(T104-T103)</f>
        <v/>
      </c>
      <c r="U238" s="21">
        <f>100*(U104-U103)</f>
        <v/>
      </c>
      <c r="V238" s="21">
        <f>100*(V104-V103)</f>
        <v/>
      </c>
      <c r="W238" s="21">
        <f>100*(W104-W103)</f>
        <v/>
      </c>
      <c r="X238" s="21">
        <f>100*(X104-X103)</f>
        <v/>
      </c>
      <c r="Y238" s="21">
        <f>100*(Y104-Y103)</f>
        <v/>
      </c>
      <c r="Z238" s="21">
        <f>100*(Z104-Z103)</f>
        <v/>
      </c>
      <c r="AA238" s="21">
        <f>100*(AA104-AA103)</f>
        <v/>
      </c>
      <c r="AB238" s="21">
        <f>100*(AB104-AB103)</f>
        <v/>
      </c>
      <c r="AC238" s="21">
        <f>100*(AC104-AC103)</f>
        <v/>
      </c>
      <c r="AD238" s="21">
        <f>100*(AD104-AD103)</f>
        <v/>
      </c>
      <c r="AE238" s="21">
        <f>100*(AE104-AE103)</f>
        <v/>
      </c>
      <c r="AF238" s="21">
        <f>100*(AF104-AF103)</f>
        <v/>
      </c>
      <c r="AG238" s="21">
        <f>100*(AG104-AG103)</f>
        <v/>
      </c>
      <c r="AH238" s="21">
        <f>100*(AH104-AH103)</f>
        <v/>
      </c>
      <c r="AI238" s="21">
        <f>100*(AI104-AI103)</f>
        <v/>
      </c>
      <c r="AJ238" s="21">
        <f>100*(AJ104-AJ103)</f>
        <v/>
      </c>
      <c r="AK238" s="21">
        <f>100*(AK104-AK103)</f>
        <v/>
      </c>
      <c r="AL238" s="21">
        <f>100*(AL104-AL103)</f>
        <v/>
      </c>
      <c r="AM238" s="21">
        <f>100*(AM104-AM103)</f>
        <v/>
      </c>
      <c r="AN238" s="21">
        <f>100*(AN104-AN103)</f>
        <v/>
      </c>
      <c r="AO238" s="21">
        <f>100*(AO104-AO103)</f>
        <v/>
      </c>
      <c r="AP238" s="21">
        <f>100*(AP104-AP103)</f>
        <v/>
      </c>
      <c r="AQ238" s="21">
        <f>100*(AQ104-AQ103)</f>
        <v/>
      </c>
      <c r="AR238" s="21">
        <f>100*(AR104-AR103)</f>
        <v/>
      </c>
      <c r="AS238" s="21">
        <f>100*(AS104-AS103)</f>
        <v/>
      </c>
      <c r="AT238" s="21">
        <f>100*(AT104-AT103)</f>
        <v/>
      </c>
      <c r="AU238" s="21">
        <f>100*(AU104-AU103)</f>
        <v/>
      </c>
      <c r="AV238" s="21">
        <f>AVERAGE(C238:AU238)</f>
        <v/>
      </c>
    </row>
    <row r="239">
      <c r="A239" s="19">
        <f>A105</f>
        <v/>
      </c>
      <c r="B239" s="20">
        <f>B105</f>
        <v/>
      </c>
      <c r="C239" s="21">
        <f>100*(C105-C104)</f>
        <v/>
      </c>
      <c r="D239" s="21">
        <f>100*(D105-D104)</f>
        <v/>
      </c>
      <c r="E239" s="21">
        <f>100*(E105-E104)</f>
        <v/>
      </c>
      <c r="F239" s="21">
        <f>100*(F105-F104)</f>
        <v/>
      </c>
      <c r="G239" s="21">
        <f>100*(G105-G104)</f>
        <v/>
      </c>
      <c r="H239" s="21">
        <f>100*(H105-H104)</f>
        <v/>
      </c>
      <c r="I239" s="21">
        <f>100*(I105-I104)</f>
        <v/>
      </c>
      <c r="J239" s="21">
        <f>100*(J105-J104)</f>
        <v/>
      </c>
      <c r="K239" s="21">
        <f>100*(K105-K104)</f>
        <v/>
      </c>
      <c r="L239" s="21">
        <f>100*(L105-L104)</f>
        <v/>
      </c>
      <c r="M239" s="21">
        <f>100*(M105-M104)</f>
        <v/>
      </c>
      <c r="N239" s="21">
        <f>100*(N105-N104)</f>
        <v/>
      </c>
      <c r="O239" s="21">
        <f>100*(O105-O104)</f>
        <v/>
      </c>
      <c r="P239" s="21">
        <f>100*(P105-P104)</f>
        <v/>
      </c>
      <c r="Q239" s="21">
        <f>100*(Q105-Q104)</f>
        <v/>
      </c>
      <c r="R239" s="21">
        <f>100*(R105-R104)</f>
        <v/>
      </c>
      <c r="S239" s="21">
        <f>100*(S105-S104)</f>
        <v/>
      </c>
      <c r="T239" s="21">
        <f>100*(T105-T104)</f>
        <v/>
      </c>
      <c r="U239" s="21">
        <f>100*(U105-U104)</f>
        <v/>
      </c>
      <c r="V239" s="21">
        <f>100*(V105-V104)</f>
        <v/>
      </c>
      <c r="W239" s="21">
        <f>100*(W105-W104)</f>
        <v/>
      </c>
      <c r="X239" s="21">
        <f>100*(X105-X104)</f>
        <v/>
      </c>
      <c r="Y239" s="21">
        <f>100*(Y105-Y104)</f>
        <v/>
      </c>
      <c r="Z239" s="21">
        <f>100*(Z105-Z104)</f>
        <v/>
      </c>
      <c r="AA239" s="21">
        <f>100*(AA105-AA104)</f>
        <v/>
      </c>
      <c r="AB239" s="21">
        <f>100*(AB105-AB104)</f>
        <v/>
      </c>
      <c r="AC239" s="21">
        <f>100*(AC105-AC104)</f>
        <v/>
      </c>
      <c r="AD239" s="21">
        <f>100*(AD105-AD104)</f>
        <v/>
      </c>
      <c r="AE239" s="21">
        <f>100*(AE105-AE104)</f>
        <v/>
      </c>
      <c r="AF239" s="21">
        <f>100*(AF105-AF104)</f>
        <v/>
      </c>
      <c r="AG239" s="21">
        <f>100*(AG105-AG104)</f>
        <v/>
      </c>
      <c r="AH239" s="21">
        <f>100*(AH105-AH104)</f>
        <v/>
      </c>
      <c r="AI239" s="21">
        <f>100*(AI105-AI104)</f>
        <v/>
      </c>
      <c r="AJ239" s="21">
        <f>100*(AJ105-AJ104)</f>
        <v/>
      </c>
      <c r="AK239" s="21">
        <f>100*(AK105-AK104)</f>
        <v/>
      </c>
      <c r="AL239" s="21">
        <f>100*(AL105-AL104)</f>
        <v/>
      </c>
      <c r="AM239" s="21">
        <f>100*(AM105-AM104)</f>
        <v/>
      </c>
      <c r="AN239" s="21">
        <f>100*(AN105-AN104)</f>
        <v/>
      </c>
      <c r="AO239" s="21">
        <f>100*(AO105-AO104)</f>
        <v/>
      </c>
      <c r="AP239" s="21">
        <f>100*(AP105-AP104)</f>
        <v/>
      </c>
      <c r="AQ239" s="21">
        <f>100*(AQ105-AQ104)</f>
        <v/>
      </c>
      <c r="AR239" s="21">
        <f>100*(AR105-AR104)</f>
        <v/>
      </c>
      <c r="AS239" s="21">
        <f>100*(AS105-AS104)</f>
        <v/>
      </c>
      <c r="AT239" s="21">
        <f>100*(AT105-AT104)</f>
        <v/>
      </c>
      <c r="AU239" s="21">
        <f>100*(AU105-AU104)</f>
        <v/>
      </c>
      <c r="AV239" s="21">
        <f>AVERAGE(C239:AU239)</f>
        <v/>
      </c>
    </row>
    <row r="240">
      <c r="A240" s="19">
        <f>A106</f>
        <v/>
      </c>
      <c r="B240" s="20">
        <f>B106</f>
        <v/>
      </c>
      <c r="C240" s="21">
        <f>100*(C106-C105)</f>
        <v/>
      </c>
      <c r="D240" s="21">
        <f>100*(D106-D105)</f>
        <v/>
      </c>
      <c r="E240" s="21">
        <f>100*(E106-E105)</f>
        <v/>
      </c>
      <c r="F240" s="21">
        <f>100*(F106-F105)</f>
        <v/>
      </c>
      <c r="G240" s="21">
        <f>100*(G106-G105)</f>
        <v/>
      </c>
      <c r="H240" s="21">
        <f>100*(H106-H105)</f>
        <v/>
      </c>
      <c r="I240" s="21">
        <f>100*(I106-I105)</f>
        <v/>
      </c>
      <c r="J240" s="21">
        <f>100*(J106-J105)</f>
        <v/>
      </c>
      <c r="K240" s="21">
        <f>100*(K106-K105)</f>
        <v/>
      </c>
      <c r="L240" s="21">
        <f>100*(L106-L105)</f>
        <v/>
      </c>
      <c r="M240" s="21">
        <f>100*(M106-M105)</f>
        <v/>
      </c>
      <c r="N240" s="21">
        <f>100*(N106-N105)</f>
        <v/>
      </c>
      <c r="O240" s="21">
        <f>100*(O106-O105)</f>
        <v/>
      </c>
      <c r="P240" s="21">
        <f>100*(P106-P105)</f>
        <v/>
      </c>
      <c r="Q240" s="21">
        <f>100*(Q106-Q105)</f>
        <v/>
      </c>
      <c r="R240" s="21">
        <f>100*(R106-R105)</f>
        <v/>
      </c>
      <c r="S240" s="21">
        <f>100*(S106-S105)</f>
        <v/>
      </c>
      <c r="T240" s="21">
        <f>100*(T106-T105)</f>
        <v/>
      </c>
      <c r="U240" s="21">
        <f>100*(U106-U105)</f>
        <v/>
      </c>
      <c r="V240" s="21">
        <f>100*(V106-V105)</f>
        <v/>
      </c>
      <c r="W240" s="21">
        <f>100*(W106-W105)</f>
        <v/>
      </c>
      <c r="X240" s="21">
        <f>100*(X106-X105)</f>
        <v/>
      </c>
      <c r="Y240" s="21">
        <f>100*(Y106-Y105)</f>
        <v/>
      </c>
      <c r="Z240" s="21">
        <f>100*(Z106-Z105)</f>
        <v/>
      </c>
      <c r="AA240" s="21">
        <f>100*(AA106-AA105)</f>
        <v/>
      </c>
      <c r="AB240" s="21">
        <f>100*(AB106-AB105)</f>
        <v/>
      </c>
      <c r="AC240" s="21">
        <f>100*(AC106-AC105)</f>
        <v/>
      </c>
      <c r="AD240" s="21">
        <f>100*(AD106-AD105)</f>
        <v/>
      </c>
      <c r="AE240" s="21">
        <f>100*(AE106-AE105)</f>
        <v/>
      </c>
      <c r="AF240" s="21">
        <f>100*(AF106-AF105)</f>
        <v/>
      </c>
      <c r="AG240" s="21">
        <f>100*(AG106-AG105)</f>
        <v/>
      </c>
      <c r="AH240" s="21">
        <f>100*(AH106-AH105)</f>
        <v/>
      </c>
      <c r="AI240" s="21">
        <f>100*(AI106-AI105)</f>
        <v/>
      </c>
      <c r="AJ240" s="21">
        <f>100*(AJ106-AJ105)</f>
        <v/>
      </c>
      <c r="AK240" s="21">
        <f>100*(AK106-AK105)</f>
        <v/>
      </c>
      <c r="AL240" s="21">
        <f>100*(AL106-AL105)</f>
        <v/>
      </c>
      <c r="AM240" s="21">
        <f>100*(AM106-AM105)</f>
        <v/>
      </c>
      <c r="AN240" s="21">
        <f>100*(AN106-AN105)</f>
        <v/>
      </c>
      <c r="AO240" s="21">
        <f>100*(AO106-AO105)</f>
        <v/>
      </c>
      <c r="AP240" s="21">
        <f>100*(AP106-AP105)</f>
        <v/>
      </c>
      <c r="AQ240" s="21">
        <f>100*(AQ106-AQ105)</f>
        <v/>
      </c>
      <c r="AR240" s="21">
        <f>100*(AR106-AR105)</f>
        <v/>
      </c>
      <c r="AS240" s="21">
        <f>100*(AS106-AS105)</f>
        <v/>
      </c>
      <c r="AT240" s="21">
        <f>100*(AT106-AT105)</f>
        <v/>
      </c>
      <c r="AU240" s="21">
        <f>100*(AU106-AU105)</f>
        <v/>
      </c>
      <c r="AV240" s="21">
        <f>AVERAGE(C240:AU240)</f>
        <v/>
      </c>
    </row>
    <row r="241">
      <c r="A241" s="19">
        <f>A107</f>
        <v/>
      </c>
      <c r="B241" s="20">
        <f>B107</f>
        <v/>
      </c>
      <c r="C241" s="21">
        <f>100*(C107-C106)</f>
        <v/>
      </c>
      <c r="D241" s="21">
        <f>100*(D107-D106)</f>
        <v/>
      </c>
      <c r="E241" s="21">
        <f>100*(E107-E106)</f>
        <v/>
      </c>
      <c r="F241" s="21">
        <f>100*(F107-F106)</f>
        <v/>
      </c>
      <c r="G241" s="21">
        <f>100*(G107-G106)</f>
        <v/>
      </c>
      <c r="H241" s="21">
        <f>100*(H107-H106)</f>
        <v/>
      </c>
      <c r="I241" s="21">
        <f>100*(I107-I106)</f>
        <v/>
      </c>
      <c r="J241" s="21">
        <f>100*(J107-J106)</f>
        <v/>
      </c>
      <c r="K241" s="21">
        <f>100*(K107-K106)</f>
        <v/>
      </c>
      <c r="L241" s="21">
        <f>100*(L107-L106)</f>
        <v/>
      </c>
      <c r="M241" s="21">
        <f>100*(M107-M106)</f>
        <v/>
      </c>
      <c r="N241" s="21">
        <f>100*(N107-N106)</f>
        <v/>
      </c>
      <c r="O241" s="21">
        <f>100*(O107-O106)</f>
        <v/>
      </c>
      <c r="P241" s="21">
        <f>100*(P107-P106)</f>
        <v/>
      </c>
      <c r="Q241" s="21">
        <f>100*(Q107-Q106)</f>
        <v/>
      </c>
      <c r="R241" s="21">
        <f>100*(R107-R106)</f>
        <v/>
      </c>
      <c r="S241" s="21">
        <f>100*(S107-S106)</f>
        <v/>
      </c>
      <c r="T241" s="21">
        <f>100*(T107-T106)</f>
        <v/>
      </c>
      <c r="U241" s="21">
        <f>100*(U107-U106)</f>
        <v/>
      </c>
      <c r="V241" s="21">
        <f>100*(V107-V106)</f>
        <v/>
      </c>
      <c r="W241" s="21">
        <f>100*(W107-W106)</f>
        <v/>
      </c>
      <c r="X241" s="21">
        <f>100*(X107-X106)</f>
        <v/>
      </c>
      <c r="Y241" s="21">
        <f>100*(Y107-Y106)</f>
        <v/>
      </c>
      <c r="Z241" s="21">
        <f>100*(Z107-Z106)</f>
        <v/>
      </c>
      <c r="AA241" s="21">
        <f>100*(AA107-AA106)</f>
        <v/>
      </c>
      <c r="AB241" s="21">
        <f>100*(AB107-AB106)</f>
        <v/>
      </c>
      <c r="AC241" s="21">
        <f>100*(AC107-AC106)</f>
        <v/>
      </c>
      <c r="AD241" s="21">
        <f>100*(AD107-AD106)</f>
        <v/>
      </c>
      <c r="AE241" s="21">
        <f>100*(AE107-AE106)</f>
        <v/>
      </c>
      <c r="AF241" s="21">
        <f>100*(AF107-AF106)</f>
        <v/>
      </c>
      <c r="AG241" s="21">
        <f>100*(AG107-AG106)</f>
        <v/>
      </c>
      <c r="AH241" s="21">
        <f>100*(AH107-AH106)</f>
        <v/>
      </c>
      <c r="AI241" s="21">
        <f>100*(AI107-AI106)</f>
        <v/>
      </c>
      <c r="AJ241" s="21">
        <f>100*(AJ107-AJ106)</f>
        <v/>
      </c>
      <c r="AK241" s="21">
        <f>100*(AK107-AK106)</f>
        <v/>
      </c>
      <c r="AL241" s="21">
        <f>100*(AL107-AL106)</f>
        <v/>
      </c>
      <c r="AM241" s="21">
        <f>100*(AM107-AM106)</f>
        <v/>
      </c>
      <c r="AN241" s="21">
        <f>100*(AN107-AN106)</f>
        <v/>
      </c>
      <c r="AO241" s="21">
        <f>100*(AO107-AO106)</f>
        <v/>
      </c>
      <c r="AP241" s="21">
        <f>100*(AP107-AP106)</f>
        <v/>
      </c>
      <c r="AQ241" s="21">
        <f>100*(AQ107-AQ106)</f>
        <v/>
      </c>
      <c r="AR241" s="21">
        <f>100*(AR107-AR106)</f>
        <v/>
      </c>
      <c r="AS241" s="21">
        <f>100*(AS107-AS106)</f>
        <v/>
      </c>
      <c r="AT241" s="21">
        <f>100*(AT107-AT106)</f>
        <v/>
      </c>
      <c r="AU241" s="21">
        <f>100*(AU107-AU106)</f>
        <v/>
      </c>
      <c r="AV241" s="21">
        <f>AVERAGE(C241:AU241)</f>
        <v/>
      </c>
    </row>
    <row r="242">
      <c r="A242" s="19">
        <f>A108</f>
        <v/>
      </c>
      <c r="B242" s="20">
        <f>B108</f>
        <v/>
      </c>
      <c r="C242" s="21">
        <f>100*(C108-C107)</f>
        <v/>
      </c>
      <c r="D242" s="21">
        <f>100*(D108-D107)</f>
        <v/>
      </c>
      <c r="E242" s="21">
        <f>100*(E108-E107)</f>
        <v/>
      </c>
      <c r="F242" s="21">
        <f>100*(F108-F107)</f>
        <v/>
      </c>
      <c r="G242" s="21">
        <f>100*(G108-G107)</f>
        <v/>
      </c>
      <c r="H242" s="21">
        <f>100*(H108-H107)</f>
        <v/>
      </c>
      <c r="I242" s="21">
        <f>100*(I108-I107)</f>
        <v/>
      </c>
      <c r="J242" s="21">
        <f>100*(J108-J107)</f>
        <v/>
      </c>
      <c r="K242" s="21">
        <f>100*(K108-K107)</f>
        <v/>
      </c>
      <c r="L242" s="21">
        <f>100*(L108-L107)</f>
        <v/>
      </c>
      <c r="M242" s="21">
        <f>100*(M108-M107)</f>
        <v/>
      </c>
      <c r="N242" s="21">
        <f>100*(N108-N107)</f>
        <v/>
      </c>
      <c r="O242" s="21">
        <f>100*(O108-O107)</f>
        <v/>
      </c>
      <c r="P242" s="21">
        <f>100*(P108-P107)</f>
        <v/>
      </c>
      <c r="Q242" s="21">
        <f>100*(Q108-Q107)</f>
        <v/>
      </c>
      <c r="R242" s="21">
        <f>100*(R108-R107)</f>
        <v/>
      </c>
      <c r="S242" s="21">
        <f>100*(S108-S107)</f>
        <v/>
      </c>
      <c r="T242" s="21">
        <f>100*(T108-T107)</f>
        <v/>
      </c>
      <c r="U242" s="21">
        <f>100*(U108-U107)</f>
        <v/>
      </c>
      <c r="V242" s="21">
        <f>100*(V108-V107)</f>
        <v/>
      </c>
      <c r="W242" s="21">
        <f>100*(W108-W107)</f>
        <v/>
      </c>
      <c r="X242" s="21">
        <f>100*(X108-X107)</f>
        <v/>
      </c>
      <c r="Y242" s="21">
        <f>100*(Y108-Y107)</f>
        <v/>
      </c>
      <c r="Z242" s="21">
        <f>100*(Z108-Z107)</f>
        <v/>
      </c>
      <c r="AA242" s="21">
        <f>100*(AA108-AA107)</f>
        <v/>
      </c>
      <c r="AB242" s="21">
        <f>100*(AB108-AB107)</f>
        <v/>
      </c>
      <c r="AC242" s="21">
        <f>100*(AC108-AC107)</f>
        <v/>
      </c>
      <c r="AD242" s="21">
        <f>100*(AD108-AD107)</f>
        <v/>
      </c>
      <c r="AE242" s="21">
        <f>100*(AE108-AE107)</f>
        <v/>
      </c>
      <c r="AF242" s="21">
        <f>100*(AF108-AF107)</f>
        <v/>
      </c>
      <c r="AG242" s="21">
        <f>100*(AG108-AG107)</f>
        <v/>
      </c>
      <c r="AH242" s="21">
        <f>100*(AH108-AH107)</f>
        <v/>
      </c>
      <c r="AI242" s="21">
        <f>100*(AI108-AI107)</f>
        <v/>
      </c>
      <c r="AJ242" s="21">
        <f>100*(AJ108-AJ107)</f>
        <v/>
      </c>
      <c r="AK242" s="21">
        <f>100*(AK108-AK107)</f>
        <v/>
      </c>
      <c r="AL242" s="21">
        <f>100*(AL108-AL107)</f>
        <v/>
      </c>
      <c r="AM242" s="21">
        <f>100*(AM108-AM107)</f>
        <v/>
      </c>
      <c r="AN242" s="21">
        <f>100*(AN108-AN107)</f>
        <v/>
      </c>
      <c r="AO242" s="21">
        <f>100*(AO108-AO107)</f>
        <v/>
      </c>
      <c r="AP242" s="21">
        <f>100*(AP108-AP107)</f>
        <v/>
      </c>
      <c r="AQ242" s="21">
        <f>100*(AQ108-AQ107)</f>
        <v/>
      </c>
      <c r="AR242" s="21">
        <f>100*(AR108-AR107)</f>
        <v/>
      </c>
      <c r="AS242" s="21">
        <f>100*(AS108-AS107)</f>
        <v/>
      </c>
      <c r="AT242" s="21">
        <f>100*(AT108-AT107)</f>
        <v/>
      </c>
      <c r="AU242" s="21">
        <f>100*(AU108-AU107)</f>
        <v/>
      </c>
      <c r="AV242" s="21">
        <f>AVERAGE(C242:AU242)</f>
        <v/>
      </c>
    </row>
    <row r="243">
      <c r="A243" s="19">
        <f>A109</f>
        <v/>
      </c>
      <c r="B243" s="20">
        <f>B109</f>
        <v/>
      </c>
      <c r="C243" s="21">
        <f>100*(C109-C108)</f>
        <v/>
      </c>
      <c r="D243" s="21">
        <f>100*(D109-D108)</f>
        <v/>
      </c>
      <c r="E243" s="21">
        <f>100*(E109-E108)</f>
        <v/>
      </c>
      <c r="F243" s="21">
        <f>100*(F109-F108)</f>
        <v/>
      </c>
      <c r="G243" s="21">
        <f>100*(G109-G108)</f>
        <v/>
      </c>
      <c r="H243" s="21">
        <f>100*(H109-H108)</f>
        <v/>
      </c>
      <c r="I243" s="21">
        <f>100*(I109-I108)</f>
        <v/>
      </c>
      <c r="J243" s="21">
        <f>100*(J109-J108)</f>
        <v/>
      </c>
      <c r="K243" s="21">
        <f>100*(K109-K108)</f>
        <v/>
      </c>
      <c r="L243" s="21">
        <f>100*(L109-L108)</f>
        <v/>
      </c>
      <c r="M243" s="21">
        <f>100*(M109-M108)</f>
        <v/>
      </c>
      <c r="N243" s="21">
        <f>100*(N109-N108)</f>
        <v/>
      </c>
      <c r="O243" s="21">
        <f>100*(O109-O108)</f>
        <v/>
      </c>
      <c r="P243" s="21">
        <f>100*(P109-P108)</f>
        <v/>
      </c>
      <c r="Q243" s="21">
        <f>100*(Q109-Q108)</f>
        <v/>
      </c>
      <c r="R243" s="21">
        <f>100*(R109-R108)</f>
        <v/>
      </c>
      <c r="S243" s="21">
        <f>100*(S109-S108)</f>
        <v/>
      </c>
      <c r="T243" s="21">
        <f>100*(T109-T108)</f>
        <v/>
      </c>
      <c r="U243" s="21">
        <f>100*(U109-U108)</f>
        <v/>
      </c>
      <c r="V243" s="21">
        <f>100*(V109-V108)</f>
        <v/>
      </c>
      <c r="W243" s="21">
        <f>100*(W109-W108)</f>
        <v/>
      </c>
      <c r="X243" s="21">
        <f>100*(X109-X108)</f>
        <v/>
      </c>
      <c r="Y243" s="21">
        <f>100*(Y109-Y108)</f>
        <v/>
      </c>
      <c r="Z243" s="21">
        <f>100*(Z109-Z108)</f>
        <v/>
      </c>
      <c r="AA243" s="21">
        <f>100*(AA109-AA108)</f>
        <v/>
      </c>
      <c r="AB243" s="21">
        <f>100*(AB109-AB108)</f>
        <v/>
      </c>
      <c r="AC243" s="21">
        <f>100*(AC109-AC108)</f>
        <v/>
      </c>
      <c r="AD243" s="21">
        <f>100*(AD109-AD108)</f>
        <v/>
      </c>
      <c r="AE243" s="21">
        <f>100*(AE109-AE108)</f>
        <v/>
      </c>
      <c r="AF243" s="21">
        <f>100*(AF109-AF108)</f>
        <v/>
      </c>
      <c r="AG243" s="21">
        <f>100*(AG109-AG108)</f>
        <v/>
      </c>
      <c r="AH243" s="21">
        <f>100*(AH109-AH108)</f>
        <v/>
      </c>
      <c r="AI243" s="21">
        <f>100*(AI109-AI108)</f>
        <v/>
      </c>
      <c r="AJ243" s="21">
        <f>100*(AJ109-AJ108)</f>
        <v/>
      </c>
      <c r="AK243" s="21">
        <f>100*(AK109-AK108)</f>
        <v/>
      </c>
      <c r="AL243" s="21">
        <f>100*(AL109-AL108)</f>
        <v/>
      </c>
      <c r="AM243" s="21">
        <f>100*(AM109-AM108)</f>
        <v/>
      </c>
      <c r="AN243" s="21">
        <f>100*(AN109-AN108)</f>
        <v/>
      </c>
      <c r="AO243" s="21">
        <f>100*(AO109-AO108)</f>
        <v/>
      </c>
      <c r="AP243" s="21">
        <f>100*(AP109-AP108)</f>
        <v/>
      </c>
      <c r="AQ243" s="21">
        <f>100*(AQ109-AQ108)</f>
        <v/>
      </c>
      <c r="AR243" s="21">
        <f>100*(AR109-AR108)</f>
        <v/>
      </c>
      <c r="AS243" s="21">
        <f>100*(AS109-AS108)</f>
        <v/>
      </c>
      <c r="AT243" s="21">
        <f>100*(AT109-AT108)</f>
        <v/>
      </c>
      <c r="AU243" s="21">
        <f>100*(AU109-AU108)</f>
        <v/>
      </c>
      <c r="AV243" s="21">
        <f>AVERAGE(C243:AU243)</f>
        <v/>
      </c>
    </row>
    <row r="244">
      <c r="A244" s="19">
        <f>A110</f>
        <v/>
      </c>
      <c r="B244" s="20">
        <f>B110</f>
        <v/>
      </c>
      <c r="C244" s="21">
        <f>100*(C110-C109)</f>
        <v/>
      </c>
      <c r="D244" s="21">
        <f>100*(D110-D109)</f>
        <v/>
      </c>
      <c r="E244" s="21">
        <f>100*(E110-E109)</f>
        <v/>
      </c>
      <c r="F244" s="21">
        <f>100*(F110-F109)</f>
        <v/>
      </c>
      <c r="G244" s="21">
        <f>100*(G110-G109)</f>
        <v/>
      </c>
      <c r="H244" s="21">
        <f>100*(H110-H109)</f>
        <v/>
      </c>
      <c r="I244" s="21">
        <f>100*(I110-I109)</f>
        <v/>
      </c>
      <c r="J244" s="21">
        <f>100*(J110-J109)</f>
        <v/>
      </c>
      <c r="K244" s="21">
        <f>100*(K110-K109)</f>
        <v/>
      </c>
      <c r="L244" s="21">
        <f>100*(L110-L109)</f>
        <v/>
      </c>
      <c r="M244" s="21">
        <f>100*(M110-M109)</f>
        <v/>
      </c>
      <c r="N244" s="21">
        <f>100*(N110-N109)</f>
        <v/>
      </c>
      <c r="O244" s="21">
        <f>100*(O110-O109)</f>
        <v/>
      </c>
      <c r="P244" s="21">
        <f>100*(P110-P109)</f>
        <v/>
      </c>
      <c r="Q244" s="21">
        <f>100*(Q110-Q109)</f>
        <v/>
      </c>
      <c r="R244" s="21">
        <f>100*(R110-R109)</f>
        <v/>
      </c>
      <c r="S244" s="21">
        <f>100*(S110-S109)</f>
        <v/>
      </c>
      <c r="T244" s="21">
        <f>100*(T110-T109)</f>
        <v/>
      </c>
      <c r="U244" s="21">
        <f>100*(U110-U109)</f>
        <v/>
      </c>
      <c r="V244" s="21">
        <f>100*(V110-V109)</f>
        <v/>
      </c>
      <c r="W244" s="21">
        <f>100*(W110-W109)</f>
        <v/>
      </c>
      <c r="X244" s="21">
        <f>100*(X110-X109)</f>
        <v/>
      </c>
      <c r="Y244" s="21">
        <f>100*(Y110-Y109)</f>
        <v/>
      </c>
      <c r="Z244" s="21">
        <f>100*(Z110-Z109)</f>
        <v/>
      </c>
      <c r="AA244" s="21">
        <f>100*(AA110-AA109)</f>
        <v/>
      </c>
      <c r="AB244" s="21">
        <f>100*(AB110-AB109)</f>
        <v/>
      </c>
      <c r="AC244" s="21">
        <f>100*(AC110-AC109)</f>
        <v/>
      </c>
      <c r="AD244" s="21">
        <f>100*(AD110-AD109)</f>
        <v/>
      </c>
      <c r="AE244" s="21">
        <f>100*(AE110-AE109)</f>
        <v/>
      </c>
      <c r="AF244" s="21">
        <f>100*(AF110-AF109)</f>
        <v/>
      </c>
      <c r="AG244" s="21">
        <f>100*(AG110-AG109)</f>
        <v/>
      </c>
      <c r="AH244" s="21">
        <f>100*(AH110-AH109)</f>
        <v/>
      </c>
      <c r="AI244" s="21">
        <f>100*(AI110-AI109)</f>
        <v/>
      </c>
      <c r="AJ244" s="21">
        <f>100*(AJ110-AJ109)</f>
        <v/>
      </c>
      <c r="AK244" s="21">
        <f>100*(AK110-AK109)</f>
        <v/>
      </c>
      <c r="AL244" s="21">
        <f>100*(AL110-AL109)</f>
        <v/>
      </c>
      <c r="AM244" s="21">
        <f>100*(AM110-AM109)</f>
        <v/>
      </c>
      <c r="AN244" s="21">
        <f>100*(AN110-AN109)</f>
        <v/>
      </c>
      <c r="AO244" s="21">
        <f>100*(AO110-AO109)</f>
        <v/>
      </c>
      <c r="AP244" s="21">
        <f>100*(AP110-AP109)</f>
        <v/>
      </c>
      <c r="AQ244" s="21">
        <f>100*(AQ110-AQ109)</f>
        <v/>
      </c>
      <c r="AR244" s="21">
        <f>100*(AR110-AR109)</f>
        <v/>
      </c>
      <c r="AS244" s="21">
        <f>100*(AS110-AS109)</f>
        <v/>
      </c>
      <c r="AT244" s="21">
        <f>100*(AT110-AT109)</f>
        <v/>
      </c>
      <c r="AU244" s="21">
        <f>100*(AU110-AU109)</f>
        <v/>
      </c>
      <c r="AV244" s="21">
        <f>AVERAGE(C244:AU244)</f>
        <v/>
      </c>
    </row>
    <row r="245">
      <c r="A245" s="19">
        <f>A111</f>
        <v/>
      </c>
      <c r="B245" s="20">
        <f>B111</f>
        <v/>
      </c>
      <c r="C245" s="21">
        <f>100*(C111-C110)</f>
        <v/>
      </c>
      <c r="D245" s="21">
        <f>100*(D111-D110)</f>
        <v/>
      </c>
      <c r="E245" s="21">
        <f>100*(E111-E110)</f>
        <v/>
      </c>
      <c r="F245" s="21">
        <f>100*(F111-F110)</f>
        <v/>
      </c>
      <c r="G245" s="21">
        <f>100*(G111-G110)</f>
        <v/>
      </c>
      <c r="H245" s="21">
        <f>100*(H111-H110)</f>
        <v/>
      </c>
      <c r="I245" s="21">
        <f>100*(I111-I110)</f>
        <v/>
      </c>
      <c r="J245" s="21">
        <f>100*(J111-J110)</f>
        <v/>
      </c>
      <c r="K245" s="21">
        <f>100*(K111-K110)</f>
        <v/>
      </c>
      <c r="L245" s="21">
        <f>100*(L111-L110)</f>
        <v/>
      </c>
      <c r="M245" s="21">
        <f>100*(M111-M110)</f>
        <v/>
      </c>
      <c r="N245" s="21">
        <f>100*(N111-N110)</f>
        <v/>
      </c>
      <c r="O245" s="21">
        <f>100*(O111-O110)</f>
        <v/>
      </c>
      <c r="P245" s="21">
        <f>100*(P111-P110)</f>
        <v/>
      </c>
      <c r="Q245" s="21">
        <f>100*(Q111-Q110)</f>
        <v/>
      </c>
      <c r="R245" s="21">
        <f>100*(R111-R110)</f>
        <v/>
      </c>
      <c r="S245" s="21">
        <f>100*(S111-S110)</f>
        <v/>
      </c>
      <c r="T245" s="21">
        <f>100*(T111-T110)</f>
        <v/>
      </c>
      <c r="U245" s="21">
        <f>100*(U111-U110)</f>
        <v/>
      </c>
      <c r="V245" s="21">
        <f>100*(V111-V110)</f>
        <v/>
      </c>
      <c r="W245" s="21">
        <f>100*(W111-W110)</f>
        <v/>
      </c>
      <c r="X245" s="21">
        <f>100*(X111-X110)</f>
        <v/>
      </c>
      <c r="Y245" s="21">
        <f>100*(Y111-Y110)</f>
        <v/>
      </c>
      <c r="Z245" s="21">
        <f>100*(Z111-Z110)</f>
        <v/>
      </c>
      <c r="AA245" s="21">
        <f>100*(AA111-AA110)</f>
        <v/>
      </c>
      <c r="AB245" s="21">
        <f>100*(AB111-AB110)</f>
        <v/>
      </c>
      <c r="AC245" s="21">
        <f>100*(AC111-AC110)</f>
        <v/>
      </c>
      <c r="AD245" s="21">
        <f>100*(AD111-AD110)</f>
        <v/>
      </c>
      <c r="AE245" s="21">
        <f>100*(AE111-AE110)</f>
        <v/>
      </c>
      <c r="AF245" s="21">
        <f>100*(AF111-AF110)</f>
        <v/>
      </c>
      <c r="AG245" s="21">
        <f>100*(AG111-AG110)</f>
        <v/>
      </c>
      <c r="AH245" s="21">
        <f>100*(AH111-AH110)</f>
        <v/>
      </c>
      <c r="AI245" s="21">
        <f>100*(AI111-AI110)</f>
        <v/>
      </c>
      <c r="AJ245" s="21">
        <f>100*(AJ111-AJ110)</f>
        <v/>
      </c>
      <c r="AK245" s="21">
        <f>100*(AK111-AK110)</f>
        <v/>
      </c>
      <c r="AL245" s="21">
        <f>100*(AL111-AL110)</f>
        <v/>
      </c>
      <c r="AM245" s="21">
        <f>100*(AM111-AM110)</f>
        <v/>
      </c>
      <c r="AN245" s="21">
        <f>100*(AN111-AN110)</f>
        <v/>
      </c>
      <c r="AO245" s="21">
        <f>100*(AO111-AO110)</f>
        <v/>
      </c>
      <c r="AP245" s="21">
        <f>100*(AP111-AP110)</f>
        <v/>
      </c>
      <c r="AQ245" s="21">
        <f>100*(AQ111-AQ110)</f>
        <v/>
      </c>
      <c r="AR245" s="21">
        <f>100*(AR111-AR110)</f>
        <v/>
      </c>
      <c r="AS245" s="21">
        <f>100*(AS111-AS110)</f>
        <v/>
      </c>
      <c r="AT245" s="21">
        <f>100*(AT111-AT110)</f>
        <v/>
      </c>
      <c r="AU245" s="21">
        <f>100*(AU111-AU110)</f>
        <v/>
      </c>
      <c r="AV245" s="21">
        <f>AVERAGE(C245:AU245)</f>
        <v/>
      </c>
    </row>
    <row r="246">
      <c r="A246" s="19">
        <f>A112</f>
        <v/>
      </c>
      <c r="B246" s="20">
        <f>B112</f>
        <v/>
      </c>
      <c r="C246" s="21">
        <f>100*(C112-C111)</f>
        <v/>
      </c>
      <c r="D246" s="21">
        <f>100*(D112-D111)</f>
        <v/>
      </c>
      <c r="E246" s="21">
        <f>100*(E112-E111)</f>
        <v/>
      </c>
      <c r="F246" s="21">
        <f>100*(F112-F111)</f>
        <v/>
      </c>
      <c r="G246" s="21">
        <f>100*(G112-G111)</f>
        <v/>
      </c>
      <c r="H246" s="21">
        <f>100*(H112-H111)</f>
        <v/>
      </c>
      <c r="I246" s="21">
        <f>100*(I112-I111)</f>
        <v/>
      </c>
      <c r="J246" s="21">
        <f>100*(J112-J111)</f>
        <v/>
      </c>
      <c r="K246" s="21">
        <f>100*(K112-K111)</f>
        <v/>
      </c>
      <c r="L246" s="21">
        <f>100*(L112-L111)</f>
        <v/>
      </c>
      <c r="M246" s="21">
        <f>100*(M112-M111)</f>
        <v/>
      </c>
      <c r="N246" s="21">
        <f>100*(N112-N111)</f>
        <v/>
      </c>
      <c r="O246" s="21">
        <f>100*(O112-O111)</f>
        <v/>
      </c>
      <c r="P246" s="21">
        <f>100*(P112-P111)</f>
        <v/>
      </c>
      <c r="Q246" s="21">
        <f>100*(Q112-Q111)</f>
        <v/>
      </c>
      <c r="R246" s="21">
        <f>100*(R112-R111)</f>
        <v/>
      </c>
      <c r="S246" s="21">
        <f>100*(S112-S111)</f>
        <v/>
      </c>
      <c r="T246" s="21">
        <f>100*(T112-T111)</f>
        <v/>
      </c>
      <c r="U246" s="21">
        <f>100*(U112-U111)</f>
        <v/>
      </c>
      <c r="V246" s="21">
        <f>100*(V112-V111)</f>
        <v/>
      </c>
      <c r="W246" s="21">
        <f>100*(W112-W111)</f>
        <v/>
      </c>
      <c r="X246" s="21">
        <f>100*(X112-X111)</f>
        <v/>
      </c>
      <c r="Y246" s="21">
        <f>100*(Y112-Y111)</f>
        <v/>
      </c>
      <c r="Z246" s="21">
        <f>100*(Z112-Z111)</f>
        <v/>
      </c>
      <c r="AA246" s="21">
        <f>100*(AA112-AA111)</f>
        <v/>
      </c>
      <c r="AB246" s="21">
        <f>100*(AB112-AB111)</f>
        <v/>
      </c>
      <c r="AC246" s="21">
        <f>100*(AC112-AC111)</f>
        <v/>
      </c>
      <c r="AD246" s="21">
        <f>100*(AD112-AD111)</f>
        <v/>
      </c>
      <c r="AE246" s="21">
        <f>100*(AE112-AE111)</f>
        <v/>
      </c>
      <c r="AF246" s="21">
        <f>100*(AF112-AF111)</f>
        <v/>
      </c>
      <c r="AG246" s="21">
        <f>100*(AG112-AG111)</f>
        <v/>
      </c>
      <c r="AH246" s="21">
        <f>100*(AH112-AH111)</f>
        <v/>
      </c>
      <c r="AI246" s="21">
        <f>100*(AI112-AI111)</f>
        <v/>
      </c>
      <c r="AJ246" s="21">
        <f>100*(AJ112-AJ111)</f>
        <v/>
      </c>
      <c r="AK246" s="21">
        <f>100*(AK112-AK111)</f>
        <v/>
      </c>
      <c r="AL246" s="21">
        <f>100*(AL112-AL111)</f>
        <v/>
      </c>
      <c r="AM246" s="21">
        <f>100*(AM112-AM111)</f>
        <v/>
      </c>
      <c r="AN246" s="21">
        <f>100*(AN112-AN111)</f>
        <v/>
      </c>
      <c r="AO246" s="21">
        <f>100*(AO112-AO111)</f>
        <v/>
      </c>
      <c r="AP246" s="21">
        <f>100*(AP112-AP111)</f>
        <v/>
      </c>
      <c r="AQ246" s="21">
        <f>100*(AQ112-AQ111)</f>
        <v/>
      </c>
      <c r="AR246" s="21">
        <f>100*(AR112-AR111)</f>
        <v/>
      </c>
      <c r="AS246" s="21">
        <f>100*(AS112-AS111)</f>
        <v/>
      </c>
      <c r="AT246" s="21">
        <f>100*(AT112-AT111)</f>
        <v/>
      </c>
      <c r="AU246" s="21">
        <f>100*(AU112-AU111)</f>
        <v/>
      </c>
      <c r="AV246" s="21">
        <f>AVERAGE(C246:AU246)</f>
        <v/>
      </c>
    </row>
    <row r="247">
      <c r="A247" s="19">
        <f>A113</f>
        <v/>
      </c>
      <c r="B247" s="20">
        <f>B113</f>
        <v/>
      </c>
      <c r="C247" s="21">
        <f>100*(C113-C112)</f>
        <v/>
      </c>
      <c r="D247" s="21">
        <f>100*(D113-D112)</f>
        <v/>
      </c>
      <c r="E247" s="21">
        <f>100*(E113-E112)</f>
        <v/>
      </c>
      <c r="F247" s="21">
        <f>100*(F113-F112)</f>
        <v/>
      </c>
      <c r="G247" s="21">
        <f>100*(G113-G112)</f>
        <v/>
      </c>
      <c r="H247" s="21">
        <f>100*(H113-H112)</f>
        <v/>
      </c>
      <c r="I247" s="21">
        <f>100*(I113-I112)</f>
        <v/>
      </c>
      <c r="J247" s="21">
        <f>100*(J113-J112)</f>
        <v/>
      </c>
      <c r="K247" s="21">
        <f>100*(K113-K112)</f>
        <v/>
      </c>
      <c r="L247" s="21">
        <f>100*(L113-L112)</f>
        <v/>
      </c>
      <c r="M247" s="21">
        <f>100*(M113-M112)</f>
        <v/>
      </c>
      <c r="N247" s="21">
        <f>100*(N113-N112)</f>
        <v/>
      </c>
      <c r="O247" s="21">
        <f>100*(O113-O112)</f>
        <v/>
      </c>
      <c r="P247" s="21">
        <f>100*(P113-P112)</f>
        <v/>
      </c>
      <c r="Q247" s="21">
        <f>100*(Q113-Q112)</f>
        <v/>
      </c>
      <c r="R247" s="21">
        <f>100*(R113-R112)</f>
        <v/>
      </c>
      <c r="S247" s="21">
        <f>100*(S113-S112)</f>
        <v/>
      </c>
      <c r="T247" s="21">
        <f>100*(T113-T112)</f>
        <v/>
      </c>
      <c r="U247" s="21">
        <f>100*(U113-U112)</f>
        <v/>
      </c>
      <c r="V247" s="21">
        <f>100*(V113-V112)</f>
        <v/>
      </c>
      <c r="W247" s="21">
        <f>100*(W113-W112)</f>
        <v/>
      </c>
      <c r="X247" s="21">
        <f>100*(X113-X112)</f>
        <v/>
      </c>
      <c r="Y247" s="21">
        <f>100*(Y113-Y112)</f>
        <v/>
      </c>
      <c r="Z247" s="21">
        <f>100*(Z113-Z112)</f>
        <v/>
      </c>
      <c r="AA247" s="21">
        <f>100*(AA113-AA112)</f>
        <v/>
      </c>
      <c r="AB247" s="21">
        <f>100*(AB113-AB112)</f>
        <v/>
      </c>
      <c r="AC247" s="21">
        <f>100*(AC113-AC112)</f>
        <v/>
      </c>
      <c r="AD247" s="21">
        <f>100*(AD113-AD112)</f>
        <v/>
      </c>
      <c r="AE247" s="21">
        <f>100*(AE113-AE112)</f>
        <v/>
      </c>
      <c r="AF247" s="21">
        <f>100*(AF113-AF112)</f>
        <v/>
      </c>
      <c r="AG247" s="21">
        <f>100*(AG113-AG112)</f>
        <v/>
      </c>
      <c r="AH247" s="21">
        <f>100*(AH113-AH112)</f>
        <v/>
      </c>
      <c r="AI247" s="21">
        <f>100*(AI113-AI112)</f>
        <v/>
      </c>
      <c r="AJ247" s="21">
        <f>100*(AJ113-AJ112)</f>
        <v/>
      </c>
      <c r="AK247" s="21">
        <f>100*(AK113-AK112)</f>
        <v/>
      </c>
      <c r="AL247" s="21">
        <f>100*(AL113-AL112)</f>
        <v/>
      </c>
      <c r="AM247" s="21">
        <f>100*(AM113-AM112)</f>
        <v/>
      </c>
      <c r="AN247" s="21">
        <f>100*(AN113-AN112)</f>
        <v/>
      </c>
      <c r="AO247" s="21">
        <f>100*(AO113-AO112)</f>
        <v/>
      </c>
      <c r="AP247" s="21">
        <f>100*(AP113-AP112)</f>
        <v/>
      </c>
      <c r="AQ247" s="21">
        <f>100*(AQ113-AQ112)</f>
        <v/>
      </c>
      <c r="AR247" s="21">
        <f>100*(AR113-AR112)</f>
        <v/>
      </c>
      <c r="AS247" s="21">
        <f>100*(AS113-AS112)</f>
        <v/>
      </c>
      <c r="AT247" s="21">
        <f>100*(AT113-AT112)</f>
        <v/>
      </c>
      <c r="AU247" s="21">
        <f>100*(AU113-AU112)</f>
        <v/>
      </c>
      <c r="AV247" s="21">
        <f>AVERAGE(C247:AU247)</f>
        <v/>
      </c>
    </row>
    <row r="248">
      <c r="A248" s="19">
        <f>A114</f>
        <v/>
      </c>
      <c r="B248" s="20">
        <f>B114</f>
        <v/>
      </c>
      <c r="C248" s="21">
        <f>100*(C114-C113)</f>
        <v/>
      </c>
      <c r="D248" s="21">
        <f>100*(D114-D113)</f>
        <v/>
      </c>
      <c r="E248" s="21">
        <f>100*(E114-E113)</f>
        <v/>
      </c>
      <c r="F248" s="21">
        <f>100*(F114-F113)</f>
        <v/>
      </c>
      <c r="G248" s="21">
        <f>100*(G114-G113)</f>
        <v/>
      </c>
      <c r="H248" s="21">
        <f>100*(H114-H113)</f>
        <v/>
      </c>
      <c r="I248" s="21">
        <f>100*(I114-I113)</f>
        <v/>
      </c>
      <c r="J248" s="21">
        <f>100*(J114-J113)</f>
        <v/>
      </c>
      <c r="K248" s="21">
        <f>100*(K114-K113)</f>
        <v/>
      </c>
      <c r="L248" s="21">
        <f>100*(L114-L113)</f>
        <v/>
      </c>
      <c r="M248" s="21">
        <f>100*(M114-M113)</f>
        <v/>
      </c>
      <c r="N248" s="21">
        <f>100*(N114-N113)</f>
        <v/>
      </c>
      <c r="O248" s="21">
        <f>100*(O114-O113)</f>
        <v/>
      </c>
      <c r="P248" s="21">
        <f>100*(P114-P113)</f>
        <v/>
      </c>
      <c r="Q248" s="21">
        <f>100*(Q114-Q113)</f>
        <v/>
      </c>
      <c r="R248" s="21">
        <f>100*(R114-R113)</f>
        <v/>
      </c>
      <c r="S248" s="21">
        <f>100*(S114-S113)</f>
        <v/>
      </c>
      <c r="T248" s="21">
        <f>100*(T114-T113)</f>
        <v/>
      </c>
      <c r="U248" s="21">
        <f>100*(U114-U113)</f>
        <v/>
      </c>
      <c r="V248" s="21">
        <f>100*(V114-V113)</f>
        <v/>
      </c>
      <c r="W248" s="21">
        <f>100*(W114-W113)</f>
        <v/>
      </c>
      <c r="X248" s="21">
        <f>100*(X114-X113)</f>
        <v/>
      </c>
      <c r="Y248" s="21">
        <f>100*(Y114-Y113)</f>
        <v/>
      </c>
      <c r="Z248" s="21">
        <f>100*(Z114-Z113)</f>
        <v/>
      </c>
      <c r="AA248" s="21">
        <f>100*(AA114-AA113)</f>
        <v/>
      </c>
      <c r="AB248" s="21">
        <f>100*(AB114-AB113)</f>
        <v/>
      </c>
      <c r="AC248" s="21">
        <f>100*(AC114-AC113)</f>
        <v/>
      </c>
      <c r="AD248" s="21">
        <f>100*(AD114-AD113)</f>
        <v/>
      </c>
      <c r="AE248" s="21">
        <f>100*(AE114-AE113)</f>
        <v/>
      </c>
      <c r="AF248" s="21">
        <f>100*(AF114-AF113)</f>
        <v/>
      </c>
      <c r="AG248" s="21">
        <f>100*(AG114-AG113)</f>
        <v/>
      </c>
      <c r="AH248" s="21">
        <f>100*(AH114-AH113)</f>
        <v/>
      </c>
      <c r="AI248" s="21">
        <f>100*(AI114-AI113)</f>
        <v/>
      </c>
      <c r="AJ248" s="21">
        <f>100*(AJ114-AJ113)</f>
        <v/>
      </c>
      <c r="AK248" s="21">
        <f>100*(AK114-AK113)</f>
        <v/>
      </c>
      <c r="AL248" s="21">
        <f>100*(AL114-AL113)</f>
        <v/>
      </c>
      <c r="AM248" s="21">
        <f>100*(AM114-AM113)</f>
        <v/>
      </c>
      <c r="AN248" s="21">
        <f>100*(AN114-AN113)</f>
        <v/>
      </c>
      <c r="AO248" s="21">
        <f>100*(AO114-AO113)</f>
        <v/>
      </c>
      <c r="AP248" s="21">
        <f>100*(AP114-AP113)</f>
        <v/>
      </c>
      <c r="AQ248" s="21">
        <f>100*(AQ114-AQ113)</f>
        <v/>
      </c>
      <c r="AR248" s="21">
        <f>100*(AR114-AR113)</f>
        <v/>
      </c>
      <c r="AS248" s="21">
        <f>100*(AS114-AS113)</f>
        <v/>
      </c>
      <c r="AT248" s="21">
        <f>100*(AT114-AT113)</f>
        <v/>
      </c>
      <c r="AU248" s="21">
        <f>100*(AU114-AU113)</f>
        <v/>
      </c>
      <c r="AV248" s="21">
        <f>AVERAGE(C248:AU248)</f>
        <v/>
      </c>
    </row>
    <row r="249">
      <c r="A249" s="19">
        <f>A115</f>
        <v/>
      </c>
      <c r="B249" s="20">
        <f>B115</f>
        <v/>
      </c>
      <c r="C249" s="21">
        <f>100*(C115-C114)</f>
        <v/>
      </c>
      <c r="D249" s="21">
        <f>100*(D115-D114)</f>
        <v/>
      </c>
      <c r="E249" s="21">
        <f>100*(E115-E114)</f>
        <v/>
      </c>
      <c r="F249" s="21">
        <f>100*(F115-F114)</f>
        <v/>
      </c>
      <c r="G249" s="21">
        <f>100*(G115-G114)</f>
        <v/>
      </c>
      <c r="H249" s="21">
        <f>100*(H115-H114)</f>
        <v/>
      </c>
      <c r="I249" s="21">
        <f>100*(I115-I114)</f>
        <v/>
      </c>
      <c r="J249" s="21">
        <f>100*(J115-J114)</f>
        <v/>
      </c>
      <c r="K249" s="21">
        <f>100*(K115-K114)</f>
        <v/>
      </c>
      <c r="L249" s="21">
        <f>100*(L115-L114)</f>
        <v/>
      </c>
      <c r="M249" s="21">
        <f>100*(M115-M114)</f>
        <v/>
      </c>
      <c r="N249" s="21">
        <f>100*(N115-N114)</f>
        <v/>
      </c>
      <c r="O249" s="21">
        <f>100*(O115-O114)</f>
        <v/>
      </c>
      <c r="P249" s="21">
        <f>100*(P115-P114)</f>
        <v/>
      </c>
      <c r="Q249" s="21">
        <f>100*(Q115-Q114)</f>
        <v/>
      </c>
      <c r="R249" s="21">
        <f>100*(R115-R114)</f>
        <v/>
      </c>
      <c r="S249" s="21">
        <f>100*(S115-S114)</f>
        <v/>
      </c>
      <c r="T249" s="21">
        <f>100*(T115-T114)</f>
        <v/>
      </c>
      <c r="U249" s="21">
        <f>100*(U115-U114)</f>
        <v/>
      </c>
      <c r="V249" s="21">
        <f>100*(V115-V114)</f>
        <v/>
      </c>
      <c r="W249" s="21">
        <f>100*(W115-W114)</f>
        <v/>
      </c>
      <c r="X249" s="21">
        <f>100*(X115-X114)</f>
        <v/>
      </c>
      <c r="Y249" s="21">
        <f>100*(Y115-Y114)</f>
        <v/>
      </c>
      <c r="Z249" s="21">
        <f>100*(Z115-Z114)</f>
        <v/>
      </c>
      <c r="AA249" s="21">
        <f>100*(AA115-AA114)</f>
        <v/>
      </c>
      <c r="AB249" s="21">
        <f>100*(AB115-AB114)</f>
        <v/>
      </c>
      <c r="AC249" s="21">
        <f>100*(AC115-AC114)</f>
        <v/>
      </c>
      <c r="AD249" s="21">
        <f>100*(AD115-AD114)</f>
        <v/>
      </c>
      <c r="AE249" s="21">
        <f>100*(AE115-AE114)</f>
        <v/>
      </c>
      <c r="AF249" s="21">
        <f>100*(AF115-AF114)</f>
        <v/>
      </c>
      <c r="AG249" s="21">
        <f>100*(AG115-AG114)</f>
        <v/>
      </c>
      <c r="AH249" s="21">
        <f>100*(AH115-AH114)</f>
        <v/>
      </c>
      <c r="AI249" s="21">
        <f>100*(AI115-AI114)</f>
        <v/>
      </c>
      <c r="AJ249" s="21">
        <f>100*(AJ115-AJ114)</f>
        <v/>
      </c>
      <c r="AK249" s="21">
        <f>100*(AK115-AK114)</f>
        <v/>
      </c>
      <c r="AL249" s="21">
        <f>100*(AL115-AL114)</f>
        <v/>
      </c>
      <c r="AM249" s="21">
        <f>100*(AM115-AM114)</f>
        <v/>
      </c>
      <c r="AN249" s="21">
        <f>100*(AN115-AN114)</f>
        <v/>
      </c>
      <c r="AO249" s="21">
        <f>100*(AO115-AO114)</f>
        <v/>
      </c>
      <c r="AP249" s="21">
        <f>100*(AP115-AP114)</f>
        <v/>
      </c>
      <c r="AQ249" s="21">
        <f>100*(AQ115-AQ114)</f>
        <v/>
      </c>
      <c r="AR249" s="21">
        <f>100*(AR115-AR114)</f>
        <v/>
      </c>
      <c r="AS249" s="21">
        <f>100*(AS115-AS114)</f>
        <v/>
      </c>
      <c r="AT249" s="21">
        <f>100*(AT115-AT114)</f>
        <v/>
      </c>
      <c r="AU249" s="21">
        <f>100*(AU115-AU114)</f>
        <v/>
      </c>
      <c r="AV249" s="21">
        <f>AVERAGE(C249:AU249)</f>
        <v/>
      </c>
    </row>
    <row r="250">
      <c r="A250" s="19">
        <f>A116</f>
        <v/>
      </c>
      <c r="B250" s="20">
        <f>B116</f>
        <v/>
      </c>
      <c r="C250" s="21">
        <f>100*(C116-C115)</f>
        <v/>
      </c>
      <c r="D250" s="21">
        <f>100*(D116-D115)</f>
        <v/>
      </c>
      <c r="E250" s="21">
        <f>100*(E116-E115)</f>
        <v/>
      </c>
      <c r="F250" s="21">
        <f>100*(F116-F115)</f>
        <v/>
      </c>
      <c r="G250" s="21">
        <f>100*(G116-G115)</f>
        <v/>
      </c>
      <c r="H250" s="21">
        <f>100*(H116-H115)</f>
        <v/>
      </c>
      <c r="I250" s="21">
        <f>100*(I116-I115)</f>
        <v/>
      </c>
      <c r="J250" s="21">
        <f>100*(J116-J115)</f>
        <v/>
      </c>
      <c r="K250" s="21">
        <f>100*(K116-K115)</f>
        <v/>
      </c>
      <c r="L250" s="21">
        <f>100*(L116-L115)</f>
        <v/>
      </c>
      <c r="M250" s="21">
        <f>100*(M116-M115)</f>
        <v/>
      </c>
      <c r="N250" s="21">
        <f>100*(N116-N115)</f>
        <v/>
      </c>
      <c r="O250" s="21">
        <f>100*(O116-O115)</f>
        <v/>
      </c>
      <c r="P250" s="21">
        <f>100*(P116-P115)</f>
        <v/>
      </c>
      <c r="Q250" s="21">
        <f>100*(Q116-Q115)</f>
        <v/>
      </c>
      <c r="R250" s="21">
        <f>100*(R116-R115)</f>
        <v/>
      </c>
      <c r="S250" s="21">
        <f>100*(S116-S115)</f>
        <v/>
      </c>
      <c r="T250" s="21">
        <f>100*(T116-T115)</f>
        <v/>
      </c>
      <c r="U250" s="21">
        <f>100*(U116-U115)</f>
        <v/>
      </c>
      <c r="V250" s="21">
        <f>100*(V116-V115)</f>
        <v/>
      </c>
      <c r="W250" s="21">
        <f>100*(W116-W115)</f>
        <v/>
      </c>
      <c r="X250" s="21">
        <f>100*(X116-X115)</f>
        <v/>
      </c>
      <c r="Y250" s="21">
        <f>100*(Y116-Y115)</f>
        <v/>
      </c>
      <c r="Z250" s="21">
        <f>100*(Z116-Z115)</f>
        <v/>
      </c>
      <c r="AA250" s="21">
        <f>100*(AA116-AA115)</f>
        <v/>
      </c>
      <c r="AB250" s="21">
        <f>100*(AB116-AB115)</f>
        <v/>
      </c>
      <c r="AC250" s="21">
        <f>100*(AC116-AC115)</f>
        <v/>
      </c>
      <c r="AD250" s="21">
        <f>100*(AD116-AD115)</f>
        <v/>
      </c>
      <c r="AE250" s="21">
        <f>100*(AE116-AE115)</f>
        <v/>
      </c>
      <c r="AF250" s="21">
        <f>100*(AF116-AF115)</f>
        <v/>
      </c>
      <c r="AG250" s="21">
        <f>100*(AG116-AG115)</f>
        <v/>
      </c>
      <c r="AH250" s="21">
        <f>100*(AH116-AH115)</f>
        <v/>
      </c>
      <c r="AI250" s="21">
        <f>100*(AI116-AI115)</f>
        <v/>
      </c>
      <c r="AJ250" s="21">
        <f>100*(AJ116-AJ115)</f>
        <v/>
      </c>
      <c r="AK250" s="21">
        <f>100*(AK116-AK115)</f>
        <v/>
      </c>
      <c r="AL250" s="21">
        <f>100*(AL116-AL115)</f>
        <v/>
      </c>
      <c r="AM250" s="21">
        <f>100*(AM116-AM115)</f>
        <v/>
      </c>
      <c r="AN250" s="21">
        <f>100*(AN116-AN115)</f>
        <v/>
      </c>
      <c r="AO250" s="21">
        <f>100*(AO116-AO115)</f>
        <v/>
      </c>
      <c r="AP250" s="21">
        <f>100*(AP116-AP115)</f>
        <v/>
      </c>
      <c r="AQ250" s="21">
        <f>100*(AQ116-AQ115)</f>
        <v/>
      </c>
      <c r="AR250" s="21">
        <f>100*(AR116-AR115)</f>
        <v/>
      </c>
      <c r="AS250" s="21">
        <f>100*(AS116-AS115)</f>
        <v/>
      </c>
      <c r="AT250" s="21">
        <f>100*(AT116-AT115)</f>
        <v/>
      </c>
      <c r="AU250" s="21">
        <f>100*(AU116-AU115)</f>
        <v/>
      </c>
      <c r="AV250" s="21">
        <f>AVERAGE(C250:AU250)</f>
        <v/>
      </c>
    </row>
    <row r="251">
      <c r="A251" s="19">
        <f>A117</f>
        <v/>
      </c>
      <c r="B251" s="20">
        <f>B117</f>
        <v/>
      </c>
      <c r="C251" s="21">
        <f>100*(C117-C116)</f>
        <v/>
      </c>
      <c r="D251" s="21">
        <f>100*(D117-D116)</f>
        <v/>
      </c>
      <c r="E251" s="21">
        <f>100*(E117-E116)</f>
        <v/>
      </c>
      <c r="F251" s="21">
        <f>100*(F117-F116)</f>
        <v/>
      </c>
      <c r="G251" s="21">
        <f>100*(G117-G116)</f>
        <v/>
      </c>
      <c r="H251" s="21">
        <f>100*(H117-H116)</f>
        <v/>
      </c>
      <c r="I251" s="21">
        <f>100*(I117-I116)</f>
        <v/>
      </c>
      <c r="J251" s="21">
        <f>100*(J117-J116)</f>
        <v/>
      </c>
      <c r="K251" s="21">
        <f>100*(K117-K116)</f>
        <v/>
      </c>
      <c r="L251" s="21">
        <f>100*(L117-L116)</f>
        <v/>
      </c>
      <c r="M251" s="21">
        <f>100*(M117-M116)</f>
        <v/>
      </c>
      <c r="N251" s="21">
        <f>100*(N117-N116)</f>
        <v/>
      </c>
      <c r="O251" s="21">
        <f>100*(O117-O116)</f>
        <v/>
      </c>
      <c r="P251" s="21">
        <f>100*(P117-P116)</f>
        <v/>
      </c>
      <c r="Q251" s="21">
        <f>100*(Q117-Q116)</f>
        <v/>
      </c>
      <c r="R251" s="21">
        <f>100*(R117-R116)</f>
        <v/>
      </c>
      <c r="S251" s="21">
        <f>100*(S117-S116)</f>
        <v/>
      </c>
      <c r="T251" s="21">
        <f>100*(T117-T116)</f>
        <v/>
      </c>
      <c r="U251" s="21">
        <f>100*(U117-U116)</f>
        <v/>
      </c>
      <c r="V251" s="21">
        <f>100*(V117-V116)</f>
        <v/>
      </c>
      <c r="W251" s="21">
        <f>100*(W117-W116)</f>
        <v/>
      </c>
      <c r="X251" s="21">
        <f>100*(X117-X116)</f>
        <v/>
      </c>
      <c r="Y251" s="21">
        <f>100*(Y117-Y116)</f>
        <v/>
      </c>
      <c r="Z251" s="21">
        <f>100*(Z117-Z116)</f>
        <v/>
      </c>
      <c r="AA251" s="21">
        <f>100*(AA117-AA116)</f>
        <v/>
      </c>
      <c r="AB251" s="21">
        <f>100*(AB117-AB116)</f>
        <v/>
      </c>
      <c r="AC251" s="21">
        <f>100*(AC117-AC116)</f>
        <v/>
      </c>
      <c r="AD251" s="21">
        <f>100*(AD117-AD116)</f>
        <v/>
      </c>
      <c r="AE251" s="21">
        <f>100*(AE117-AE116)</f>
        <v/>
      </c>
      <c r="AF251" s="21">
        <f>100*(AF117-AF116)</f>
        <v/>
      </c>
      <c r="AG251" s="21">
        <f>100*(AG117-AG116)</f>
        <v/>
      </c>
      <c r="AH251" s="21">
        <f>100*(AH117-AH116)</f>
        <v/>
      </c>
      <c r="AI251" s="21">
        <f>100*(AI117-AI116)</f>
        <v/>
      </c>
      <c r="AJ251" s="21">
        <f>100*(AJ117-AJ116)</f>
        <v/>
      </c>
      <c r="AK251" s="21">
        <f>100*(AK117-AK116)</f>
        <v/>
      </c>
      <c r="AL251" s="21">
        <f>100*(AL117-AL116)</f>
        <v/>
      </c>
      <c r="AM251" s="21">
        <f>100*(AM117-AM116)</f>
        <v/>
      </c>
      <c r="AN251" s="21">
        <f>100*(AN117-AN116)</f>
        <v/>
      </c>
      <c r="AO251" s="21">
        <f>100*(AO117-AO116)</f>
        <v/>
      </c>
      <c r="AP251" s="21">
        <f>100*(AP117-AP116)</f>
        <v/>
      </c>
      <c r="AQ251" s="21">
        <f>100*(AQ117-AQ116)</f>
        <v/>
      </c>
      <c r="AR251" s="21">
        <f>100*(AR117-AR116)</f>
        <v/>
      </c>
      <c r="AS251" s="21">
        <f>100*(AS117-AS116)</f>
        <v/>
      </c>
      <c r="AT251" s="21">
        <f>100*(AT117-AT116)</f>
        <v/>
      </c>
      <c r="AU251" s="21">
        <f>100*(AU117-AU116)</f>
        <v/>
      </c>
      <c r="AV251" s="21">
        <f>AVERAGE(C251:AU251)</f>
        <v/>
      </c>
    </row>
    <row r="252">
      <c r="A252" s="19">
        <f>A118</f>
        <v/>
      </c>
      <c r="B252" s="20">
        <f>B118</f>
        <v/>
      </c>
      <c r="C252" s="21">
        <f>100*(C118-C117)</f>
        <v/>
      </c>
      <c r="D252" s="21">
        <f>100*(D118-D117)</f>
        <v/>
      </c>
      <c r="E252" s="21">
        <f>100*(E118-E117)</f>
        <v/>
      </c>
      <c r="F252" s="21">
        <f>100*(F118-F117)</f>
        <v/>
      </c>
      <c r="G252" s="21">
        <f>100*(G118-G117)</f>
        <v/>
      </c>
      <c r="H252" s="21">
        <f>100*(H118-H117)</f>
        <v/>
      </c>
      <c r="I252" s="21">
        <f>100*(I118-I117)</f>
        <v/>
      </c>
      <c r="J252" s="21">
        <f>100*(J118-J117)</f>
        <v/>
      </c>
      <c r="K252" s="21">
        <f>100*(K118-K117)</f>
        <v/>
      </c>
      <c r="L252" s="21">
        <f>100*(L118-L117)</f>
        <v/>
      </c>
      <c r="M252" s="21">
        <f>100*(M118-M117)</f>
        <v/>
      </c>
      <c r="N252" s="21">
        <f>100*(N118-N117)</f>
        <v/>
      </c>
      <c r="O252" s="21">
        <f>100*(O118-O117)</f>
        <v/>
      </c>
      <c r="P252" s="21">
        <f>100*(P118-P117)</f>
        <v/>
      </c>
      <c r="Q252" s="21">
        <f>100*(Q118-Q117)</f>
        <v/>
      </c>
      <c r="R252" s="21">
        <f>100*(R118-R117)</f>
        <v/>
      </c>
      <c r="S252" s="21">
        <f>100*(S118-S117)</f>
        <v/>
      </c>
      <c r="T252" s="21">
        <f>100*(T118-T117)</f>
        <v/>
      </c>
      <c r="U252" s="21">
        <f>100*(U118-U117)</f>
        <v/>
      </c>
      <c r="V252" s="21">
        <f>100*(V118-V117)</f>
        <v/>
      </c>
      <c r="W252" s="21">
        <f>100*(W118-W117)</f>
        <v/>
      </c>
      <c r="X252" s="21">
        <f>100*(X118-X117)</f>
        <v/>
      </c>
      <c r="Y252" s="21">
        <f>100*(Y118-Y117)</f>
        <v/>
      </c>
      <c r="Z252" s="21">
        <f>100*(Z118-Z117)</f>
        <v/>
      </c>
      <c r="AA252" s="21">
        <f>100*(AA118-AA117)</f>
        <v/>
      </c>
      <c r="AB252" s="21">
        <f>100*(AB118-AB117)</f>
        <v/>
      </c>
      <c r="AC252" s="21">
        <f>100*(AC118-AC117)</f>
        <v/>
      </c>
      <c r="AD252" s="21">
        <f>100*(AD118-AD117)</f>
        <v/>
      </c>
      <c r="AE252" s="21">
        <f>100*(AE118-AE117)</f>
        <v/>
      </c>
      <c r="AF252" s="21">
        <f>100*(AF118-AF117)</f>
        <v/>
      </c>
      <c r="AG252" s="21">
        <f>100*(AG118-AG117)</f>
        <v/>
      </c>
      <c r="AH252" s="21">
        <f>100*(AH118-AH117)</f>
        <v/>
      </c>
      <c r="AI252" s="21">
        <f>100*(AI118-AI117)</f>
        <v/>
      </c>
      <c r="AJ252" s="21">
        <f>100*(AJ118-AJ117)</f>
        <v/>
      </c>
      <c r="AK252" s="21">
        <f>100*(AK118-AK117)</f>
        <v/>
      </c>
      <c r="AL252" s="21">
        <f>100*(AL118-AL117)</f>
        <v/>
      </c>
      <c r="AM252" s="21">
        <f>100*(AM118-AM117)</f>
        <v/>
      </c>
      <c r="AN252" s="21">
        <f>100*(AN118-AN117)</f>
        <v/>
      </c>
      <c r="AO252" s="21">
        <f>100*(AO118-AO117)</f>
        <v/>
      </c>
      <c r="AP252" s="21">
        <f>100*(AP118-AP117)</f>
        <v/>
      </c>
      <c r="AQ252" s="21">
        <f>100*(AQ118-AQ117)</f>
        <v/>
      </c>
      <c r="AR252" s="21">
        <f>100*(AR118-AR117)</f>
        <v/>
      </c>
      <c r="AS252" s="21">
        <f>100*(AS118-AS117)</f>
        <v/>
      </c>
      <c r="AT252" s="21">
        <f>100*(AT118-AT117)</f>
        <v/>
      </c>
      <c r="AU252" s="21">
        <f>100*(AU118-AU117)</f>
        <v/>
      </c>
      <c r="AV252" s="21">
        <f>AVERAGE(C252:AU252)</f>
        <v/>
      </c>
    </row>
    <row r="253">
      <c r="A253" s="19">
        <f>A119</f>
        <v/>
      </c>
      <c r="B253" s="20">
        <f>B119</f>
        <v/>
      </c>
      <c r="C253" s="21">
        <f>100*(C119-C118)</f>
        <v/>
      </c>
      <c r="D253" s="21">
        <f>100*(D119-D118)</f>
        <v/>
      </c>
      <c r="E253" s="21">
        <f>100*(E119-E118)</f>
        <v/>
      </c>
      <c r="F253" s="21">
        <f>100*(F119-F118)</f>
        <v/>
      </c>
      <c r="G253" s="21">
        <f>100*(G119-G118)</f>
        <v/>
      </c>
      <c r="H253" s="21">
        <f>100*(H119-H118)</f>
        <v/>
      </c>
      <c r="I253" s="21">
        <f>100*(I119-I118)</f>
        <v/>
      </c>
      <c r="J253" s="21">
        <f>100*(J119-J118)</f>
        <v/>
      </c>
      <c r="K253" s="21">
        <f>100*(K119-K118)</f>
        <v/>
      </c>
      <c r="L253" s="21">
        <f>100*(L119-L118)</f>
        <v/>
      </c>
      <c r="M253" s="21">
        <f>100*(M119-M118)</f>
        <v/>
      </c>
      <c r="N253" s="21">
        <f>100*(N119-N118)</f>
        <v/>
      </c>
      <c r="O253" s="21">
        <f>100*(O119-O118)</f>
        <v/>
      </c>
      <c r="P253" s="21">
        <f>100*(P119-P118)</f>
        <v/>
      </c>
      <c r="Q253" s="21">
        <f>100*(Q119-Q118)</f>
        <v/>
      </c>
      <c r="R253" s="21">
        <f>100*(R119-R118)</f>
        <v/>
      </c>
      <c r="S253" s="21">
        <f>100*(S119-S118)</f>
        <v/>
      </c>
      <c r="T253" s="21">
        <f>100*(T119-T118)</f>
        <v/>
      </c>
      <c r="U253" s="21">
        <f>100*(U119-U118)</f>
        <v/>
      </c>
      <c r="V253" s="21">
        <f>100*(V119-V118)</f>
        <v/>
      </c>
      <c r="W253" s="21">
        <f>100*(W119-W118)</f>
        <v/>
      </c>
      <c r="X253" s="21">
        <f>100*(X119-X118)</f>
        <v/>
      </c>
      <c r="Y253" s="21">
        <f>100*(Y119-Y118)</f>
        <v/>
      </c>
      <c r="Z253" s="21">
        <f>100*(Z119-Z118)</f>
        <v/>
      </c>
      <c r="AA253" s="21">
        <f>100*(AA119-AA118)</f>
        <v/>
      </c>
      <c r="AB253" s="21">
        <f>100*(AB119-AB118)</f>
        <v/>
      </c>
      <c r="AC253" s="21">
        <f>100*(AC119-AC118)</f>
        <v/>
      </c>
      <c r="AD253" s="21">
        <f>100*(AD119-AD118)</f>
        <v/>
      </c>
      <c r="AE253" s="21">
        <f>100*(AE119-AE118)</f>
        <v/>
      </c>
      <c r="AF253" s="21">
        <f>100*(AF119-AF118)</f>
        <v/>
      </c>
      <c r="AG253" s="21">
        <f>100*(AG119-AG118)</f>
        <v/>
      </c>
      <c r="AH253" s="21">
        <f>100*(AH119-AH118)</f>
        <v/>
      </c>
      <c r="AI253" s="21">
        <f>100*(AI119-AI118)</f>
        <v/>
      </c>
      <c r="AJ253" s="21">
        <f>100*(AJ119-AJ118)</f>
        <v/>
      </c>
      <c r="AK253" s="21">
        <f>100*(AK119-AK118)</f>
        <v/>
      </c>
      <c r="AL253" s="21">
        <f>100*(AL119-AL118)</f>
        <v/>
      </c>
      <c r="AM253" s="21">
        <f>100*(AM119-AM118)</f>
        <v/>
      </c>
      <c r="AN253" s="21">
        <f>100*(AN119-AN118)</f>
        <v/>
      </c>
      <c r="AO253" s="21">
        <f>100*(AO119-AO118)</f>
        <v/>
      </c>
      <c r="AP253" s="21">
        <f>100*(AP119-AP118)</f>
        <v/>
      </c>
      <c r="AQ253" s="21">
        <f>100*(AQ119-AQ118)</f>
        <v/>
      </c>
      <c r="AR253" s="21">
        <f>100*(AR119-AR118)</f>
        <v/>
      </c>
      <c r="AS253" s="21">
        <f>100*(AS119-AS118)</f>
        <v/>
      </c>
      <c r="AT253" s="21">
        <f>100*(AT119-AT118)</f>
        <v/>
      </c>
      <c r="AU253" s="21">
        <f>100*(AU119-AU118)</f>
        <v/>
      </c>
      <c r="AV253" s="21">
        <f>AVERAGE(C253:AU253)</f>
        <v/>
      </c>
    </row>
    <row r="254">
      <c r="A254" s="19">
        <f>A120</f>
        <v/>
      </c>
      <c r="B254" s="20">
        <f>B120</f>
        <v/>
      </c>
      <c r="C254" s="21">
        <f>100*(C120-C119)</f>
        <v/>
      </c>
      <c r="D254" s="21">
        <f>100*(D120-D119)</f>
        <v/>
      </c>
      <c r="E254" s="21">
        <f>100*(E120-E119)</f>
        <v/>
      </c>
      <c r="F254" s="21">
        <f>100*(F120-F119)</f>
        <v/>
      </c>
      <c r="G254" s="21">
        <f>100*(G120-G119)</f>
        <v/>
      </c>
      <c r="H254" s="21">
        <f>100*(H120-H119)</f>
        <v/>
      </c>
      <c r="I254" s="21">
        <f>100*(I120-I119)</f>
        <v/>
      </c>
      <c r="J254" s="21">
        <f>100*(J120-J119)</f>
        <v/>
      </c>
      <c r="K254" s="21">
        <f>100*(K120-K119)</f>
        <v/>
      </c>
      <c r="L254" s="21">
        <f>100*(L120-L119)</f>
        <v/>
      </c>
      <c r="M254" s="21">
        <f>100*(M120-M119)</f>
        <v/>
      </c>
      <c r="N254" s="21">
        <f>100*(N120-N119)</f>
        <v/>
      </c>
      <c r="O254" s="21">
        <f>100*(O120-O119)</f>
        <v/>
      </c>
      <c r="P254" s="21">
        <f>100*(P120-P119)</f>
        <v/>
      </c>
      <c r="Q254" s="21">
        <f>100*(Q120-Q119)</f>
        <v/>
      </c>
      <c r="R254" s="21">
        <f>100*(R120-R119)</f>
        <v/>
      </c>
      <c r="S254" s="21">
        <f>100*(S120-S119)</f>
        <v/>
      </c>
      <c r="T254" s="21">
        <f>100*(T120-T119)</f>
        <v/>
      </c>
      <c r="U254" s="21">
        <f>100*(U120-U119)</f>
        <v/>
      </c>
      <c r="V254" s="21">
        <f>100*(V120-V119)</f>
        <v/>
      </c>
      <c r="W254" s="21">
        <f>100*(W120-W119)</f>
        <v/>
      </c>
      <c r="X254" s="21">
        <f>100*(X120-X119)</f>
        <v/>
      </c>
      <c r="Y254" s="21">
        <f>100*(Y120-Y119)</f>
        <v/>
      </c>
      <c r="Z254" s="21">
        <f>100*(Z120-Z119)</f>
        <v/>
      </c>
      <c r="AA254" s="21">
        <f>100*(AA120-AA119)</f>
        <v/>
      </c>
      <c r="AB254" s="21">
        <f>100*(AB120-AB119)</f>
        <v/>
      </c>
      <c r="AC254" s="21">
        <f>100*(AC120-AC119)</f>
        <v/>
      </c>
      <c r="AD254" s="21">
        <f>100*(AD120-AD119)</f>
        <v/>
      </c>
      <c r="AE254" s="21">
        <f>100*(AE120-AE119)</f>
        <v/>
      </c>
      <c r="AF254" s="21">
        <f>100*(AF120-AF119)</f>
        <v/>
      </c>
      <c r="AG254" s="21">
        <f>100*(AG120-AG119)</f>
        <v/>
      </c>
      <c r="AH254" s="21">
        <f>100*(AH120-AH119)</f>
        <v/>
      </c>
      <c r="AI254" s="21">
        <f>100*(AI120-AI119)</f>
        <v/>
      </c>
      <c r="AJ254" s="21">
        <f>100*(AJ120-AJ119)</f>
        <v/>
      </c>
      <c r="AK254" s="21">
        <f>100*(AK120-AK119)</f>
        <v/>
      </c>
      <c r="AL254" s="21">
        <f>100*(AL120-AL119)</f>
        <v/>
      </c>
      <c r="AM254" s="21">
        <f>100*(AM120-AM119)</f>
        <v/>
      </c>
      <c r="AN254" s="21">
        <f>100*(AN120-AN119)</f>
        <v/>
      </c>
      <c r="AO254" s="21">
        <f>100*(AO120-AO119)</f>
        <v/>
      </c>
      <c r="AP254" s="21">
        <f>100*(AP120-AP119)</f>
        <v/>
      </c>
      <c r="AQ254" s="21">
        <f>100*(AQ120-AQ119)</f>
        <v/>
      </c>
      <c r="AR254" s="21">
        <f>100*(AR120-AR119)</f>
        <v/>
      </c>
      <c r="AS254" s="21">
        <f>100*(AS120-AS119)</f>
        <v/>
      </c>
      <c r="AT254" s="21">
        <f>100*(AT120-AT119)</f>
        <v/>
      </c>
      <c r="AU254" s="21">
        <f>100*(AU120-AU119)</f>
        <v/>
      </c>
      <c r="AV254" s="21">
        <f>AVERAGE(C254:AU254)</f>
        <v/>
      </c>
    </row>
    <row r="255">
      <c r="A255" s="19">
        <f>A121</f>
        <v/>
      </c>
      <c r="B255" s="20">
        <f>B121</f>
        <v/>
      </c>
      <c r="C255" s="21">
        <f>100*(C121-C120)</f>
        <v/>
      </c>
      <c r="D255" s="21">
        <f>100*(D121-D120)</f>
        <v/>
      </c>
      <c r="E255" s="21">
        <f>100*(E121-E120)</f>
        <v/>
      </c>
      <c r="F255" s="21">
        <f>100*(F121-F120)</f>
        <v/>
      </c>
      <c r="G255" s="21">
        <f>100*(G121-G120)</f>
        <v/>
      </c>
      <c r="H255" s="21">
        <f>100*(H121-H120)</f>
        <v/>
      </c>
      <c r="I255" s="21">
        <f>100*(I121-I120)</f>
        <v/>
      </c>
      <c r="J255" s="21">
        <f>100*(J121-J120)</f>
        <v/>
      </c>
      <c r="K255" s="21">
        <f>100*(K121-K120)</f>
        <v/>
      </c>
      <c r="L255" s="21">
        <f>100*(L121-L120)</f>
        <v/>
      </c>
      <c r="M255" s="21">
        <f>100*(M121-M120)</f>
        <v/>
      </c>
      <c r="N255" s="21">
        <f>100*(N121-N120)</f>
        <v/>
      </c>
      <c r="O255" s="21">
        <f>100*(O121-O120)</f>
        <v/>
      </c>
      <c r="P255" s="21">
        <f>100*(P121-P120)</f>
        <v/>
      </c>
      <c r="Q255" s="21">
        <f>100*(Q121-Q120)</f>
        <v/>
      </c>
      <c r="R255" s="21">
        <f>100*(R121-R120)</f>
        <v/>
      </c>
      <c r="S255" s="21">
        <f>100*(S121-S120)</f>
        <v/>
      </c>
      <c r="T255" s="21">
        <f>100*(T121-T120)</f>
        <v/>
      </c>
      <c r="U255" s="21">
        <f>100*(U121-U120)</f>
        <v/>
      </c>
      <c r="V255" s="21">
        <f>100*(V121-V120)</f>
        <v/>
      </c>
      <c r="W255" s="21">
        <f>100*(W121-W120)</f>
        <v/>
      </c>
      <c r="X255" s="21">
        <f>100*(X121-X120)</f>
        <v/>
      </c>
      <c r="Y255" s="21">
        <f>100*(Y121-Y120)</f>
        <v/>
      </c>
      <c r="Z255" s="21">
        <f>100*(Z121-Z120)</f>
        <v/>
      </c>
      <c r="AA255" s="21">
        <f>100*(AA121-AA120)</f>
        <v/>
      </c>
      <c r="AB255" s="21">
        <f>100*(AB121-AB120)</f>
        <v/>
      </c>
      <c r="AC255" s="21">
        <f>100*(AC121-AC120)</f>
        <v/>
      </c>
      <c r="AD255" s="21">
        <f>100*(AD121-AD120)</f>
        <v/>
      </c>
      <c r="AE255" s="21">
        <f>100*(AE121-AE120)</f>
        <v/>
      </c>
      <c r="AF255" s="21">
        <f>100*(AF121-AF120)</f>
        <v/>
      </c>
      <c r="AG255" s="21">
        <f>100*(AG121-AG120)</f>
        <v/>
      </c>
      <c r="AH255" s="21">
        <f>100*(AH121-AH120)</f>
        <v/>
      </c>
      <c r="AI255" s="21">
        <f>100*(AI121-AI120)</f>
        <v/>
      </c>
      <c r="AJ255" s="21">
        <f>100*(AJ121-AJ120)</f>
        <v/>
      </c>
      <c r="AK255" s="21">
        <f>100*(AK121-AK120)</f>
        <v/>
      </c>
      <c r="AL255" s="21">
        <f>100*(AL121-AL120)</f>
        <v/>
      </c>
      <c r="AM255" s="21">
        <f>100*(AM121-AM120)</f>
        <v/>
      </c>
      <c r="AN255" s="21">
        <f>100*(AN121-AN120)</f>
        <v/>
      </c>
      <c r="AO255" s="21">
        <f>100*(AO121-AO120)</f>
        <v/>
      </c>
      <c r="AP255" s="21">
        <f>100*(AP121-AP120)</f>
        <v/>
      </c>
      <c r="AQ255" s="21">
        <f>100*(AQ121-AQ120)</f>
        <v/>
      </c>
      <c r="AR255" s="21">
        <f>100*(AR121-AR120)</f>
        <v/>
      </c>
      <c r="AS255" s="21">
        <f>100*(AS121-AS120)</f>
        <v/>
      </c>
      <c r="AT255" s="21">
        <f>100*(AT121-AT120)</f>
        <v/>
      </c>
      <c r="AU255" s="21">
        <f>100*(AU121-AU120)</f>
        <v/>
      </c>
      <c r="AV255" s="21">
        <f>AVERAGE(C255:AU255)</f>
        <v/>
      </c>
    </row>
    <row r="256">
      <c r="A256" s="19">
        <f>A122</f>
        <v/>
      </c>
      <c r="B256" s="20">
        <f>B122</f>
        <v/>
      </c>
      <c r="C256" s="21">
        <f>100*(C122-C121)</f>
        <v/>
      </c>
      <c r="D256" s="21">
        <f>100*(D122-D121)</f>
        <v/>
      </c>
      <c r="E256" s="21">
        <f>100*(E122-E121)</f>
        <v/>
      </c>
      <c r="F256" s="21">
        <f>100*(F122-F121)</f>
        <v/>
      </c>
      <c r="G256" s="21">
        <f>100*(G122-G121)</f>
        <v/>
      </c>
      <c r="H256" s="21">
        <f>100*(H122-H121)</f>
        <v/>
      </c>
      <c r="I256" s="21">
        <f>100*(I122-I121)</f>
        <v/>
      </c>
      <c r="J256" s="21">
        <f>100*(J122-J121)</f>
        <v/>
      </c>
      <c r="K256" s="21">
        <f>100*(K122-K121)</f>
        <v/>
      </c>
      <c r="L256" s="21">
        <f>100*(L122-L121)</f>
        <v/>
      </c>
      <c r="M256" s="21">
        <f>100*(M122-M121)</f>
        <v/>
      </c>
      <c r="N256" s="21">
        <f>100*(N122-N121)</f>
        <v/>
      </c>
      <c r="O256" s="21">
        <f>100*(O122-O121)</f>
        <v/>
      </c>
      <c r="P256" s="21">
        <f>100*(P122-P121)</f>
        <v/>
      </c>
      <c r="Q256" s="21">
        <f>100*(Q122-Q121)</f>
        <v/>
      </c>
      <c r="R256" s="21">
        <f>100*(R122-R121)</f>
        <v/>
      </c>
      <c r="S256" s="21">
        <f>100*(S122-S121)</f>
        <v/>
      </c>
      <c r="T256" s="21">
        <f>100*(T122-T121)</f>
        <v/>
      </c>
      <c r="U256" s="21">
        <f>100*(U122-U121)</f>
        <v/>
      </c>
      <c r="V256" s="21">
        <f>100*(V122-V121)</f>
        <v/>
      </c>
      <c r="W256" s="21">
        <f>100*(W122-W121)</f>
        <v/>
      </c>
      <c r="X256" s="21">
        <f>100*(X122-X121)</f>
        <v/>
      </c>
      <c r="Y256" s="21">
        <f>100*(Y122-Y121)</f>
        <v/>
      </c>
      <c r="Z256" s="21">
        <f>100*(Z122-Z121)</f>
        <v/>
      </c>
      <c r="AA256" s="21">
        <f>100*(AA122-AA121)</f>
        <v/>
      </c>
      <c r="AB256" s="21">
        <f>100*(AB122-AB121)</f>
        <v/>
      </c>
      <c r="AC256" s="21">
        <f>100*(AC122-AC121)</f>
        <v/>
      </c>
      <c r="AD256" s="21">
        <f>100*(AD122-AD121)</f>
        <v/>
      </c>
      <c r="AE256" s="21">
        <f>100*(AE122-AE121)</f>
        <v/>
      </c>
      <c r="AF256" s="21">
        <f>100*(AF122-AF121)</f>
        <v/>
      </c>
      <c r="AG256" s="21">
        <f>100*(AG122-AG121)</f>
        <v/>
      </c>
      <c r="AH256" s="21">
        <f>100*(AH122-AH121)</f>
        <v/>
      </c>
      <c r="AI256" s="21">
        <f>100*(AI122-AI121)</f>
        <v/>
      </c>
      <c r="AJ256" s="21">
        <f>100*(AJ122-AJ121)</f>
        <v/>
      </c>
      <c r="AK256" s="21">
        <f>100*(AK122-AK121)</f>
        <v/>
      </c>
      <c r="AL256" s="21">
        <f>100*(AL122-AL121)</f>
        <v/>
      </c>
      <c r="AM256" s="21">
        <f>100*(AM122-AM121)</f>
        <v/>
      </c>
      <c r="AN256" s="21">
        <f>100*(AN122-AN121)</f>
        <v/>
      </c>
      <c r="AO256" s="21">
        <f>100*(AO122-AO121)</f>
        <v/>
      </c>
      <c r="AP256" s="21">
        <f>100*(AP122-AP121)</f>
        <v/>
      </c>
      <c r="AQ256" s="21">
        <f>100*(AQ122-AQ121)</f>
        <v/>
      </c>
      <c r="AR256" s="21">
        <f>100*(AR122-AR121)</f>
        <v/>
      </c>
      <c r="AS256" s="21">
        <f>100*(AS122-AS121)</f>
        <v/>
      </c>
      <c r="AT256" s="21">
        <f>100*(AT122-AT121)</f>
        <v/>
      </c>
      <c r="AU256" s="21">
        <f>100*(AU122-AU121)</f>
        <v/>
      </c>
      <c r="AV256" s="21">
        <f>AVERAGE(C256:AU256)</f>
        <v/>
      </c>
    </row>
    <row r="257">
      <c r="A257" s="19">
        <f>A123</f>
        <v/>
      </c>
      <c r="B257" s="20">
        <f>B123</f>
        <v/>
      </c>
      <c r="C257" s="21">
        <f>100*(C123-C122)</f>
        <v/>
      </c>
      <c r="D257" s="21">
        <f>100*(D123-D122)</f>
        <v/>
      </c>
      <c r="E257" s="21">
        <f>100*(E123-E122)</f>
        <v/>
      </c>
      <c r="F257" s="21">
        <f>100*(F123-F122)</f>
        <v/>
      </c>
      <c r="G257" s="21">
        <f>100*(G123-G122)</f>
        <v/>
      </c>
      <c r="H257" s="21">
        <f>100*(H123-H122)</f>
        <v/>
      </c>
      <c r="I257" s="21">
        <f>100*(I123-I122)</f>
        <v/>
      </c>
      <c r="J257" s="21">
        <f>100*(J123-J122)</f>
        <v/>
      </c>
      <c r="K257" s="21">
        <f>100*(K123-K122)</f>
        <v/>
      </c>
      <c r="L257" s="21">
        <f>100*(L123-L122)</f>
        <v/>
      </c>
      <c r="M257" s="21">
        <f>100*(M123-M122)</f>
        <v/>
      </c>
      <c r="N257" s="21">
        <f>100*(N123-N122)</f>
        <v/>
      </c>
      <c r="O257" s="21">
        <f>100*(O123-O122)</f>
        <v/>
      </c>
      <c r="P257" s="21">
        <f>100*(P123-P122)</f>
        <v/>
      </c>
      <c r="Q257" s="21">
        <f>100*(Q123-Q122)</f>
        <v/>
      </c>
      <c r="R257" s="21">
        <f>100*(R123-R122)</f>
        <v/>
      </c>
      <c r="S257" s="21">
        <f>100*(S123-S122)</f>
        <v/>
      </c>
      <c r="T257" s="21">
        <f>100*(T123-T122)</f>
        <v/>
      </c>
      <c r="U257" s="21">
        <f>100*(U123-U122)</f>
        <v/>
      </c>
      <c r="V257" s="21">
        <f>100*(V123-V122)</f>
        <v/>
      </c>
      <c r="W257" s="21">
        <f>100*(W123-W122)</f>
        <v/>
      </c>
      <c r="X257" s="21">
        <f>100*(X123-X122)</f>
        <v/>
      </c>
      <c r="Y257" s="21">
        <f>100*(Y123-Y122)</f>
        <v/>
      </c>
      <c r="Z257" s="21">
        <f>100*(Z123-Z122)</f>
        <v/>
      </c>
      <c r="AA257" s="21">
        <f>100*(AA123-AA122)</f>
        <v/>
      </c>
      <c r="AB257" s="21">
        <f>100*(AB123-AB122)</f>
        <v/>
      </c>
      <c r="AC257" s="21">
        <f>100*(AC123-AC122)</f>
        <v/>
      </c>
      <c r="AD257" s="21">
        <f>100*(AD123-AD122)</f>
        <v/>
      </c>
      <c r="AE257" s="21">
        <f>100*(AE123-AE122)</f>
        <v/>
      </c>
      <c r="AF257" s="21">
        <f>100*(AF123-AF122)</f>
        <v/>
      </c>
      <c r="AG257" s="21">
        <f>100*(AG123-AG122)</f>
        <v/>
      </c>
      <c r="AH257" s="21">
        <f>100*(AH123-AH122)</f>
        <v/>
      </c>
      <c r="AI257" s="21">
        <f>100*(AI123-AI122)</f>
        <v/>
      </c>
      <c r="AJ257" s="21">
        <f>100*(AJ123-AJ122)</f>
        <v/>
      </c>
      <c r="AK257" s="21">
        <f>100*(AK123-AK122)</f>
        <v/>
      </c>
      <c r="AL257" s="21">
        <f>100*(AL123-AL122)</f>
        <v/>
      </c>
      <c r="AM257" s="21">
        <f>100*(AM123-AM122)</f>
        <v/>
      </c>
      <c r="AN257" s="21">
        <f>100*(AN123-AN122)</f>
        <v/>
      </c>
      <c r="AO257" s="21">
        <f>100*(AO123-AO122)</f>
        <v/>
      </c>
      <c r="AP257" s="21">
        <f>100*(AP123-AP122)</f>
        <v/>
      </c>
      <c r="AQ257" s="21">
        <f>100*(AQ123-AQ122)</f>
        <v/>
      </c>
      <c r="AR257" s="21">
        <f>100*(AR123-AR122)</f>
        <v/>
      </c>
      <c r="AS257" s="21">
        <f>100*(AS123-AS122)</f>
        <v/>
      </c>
      <c r="AT257" s="21">
        <f>100*(AT123-AT122)</f>
        <v/>
      </c>
      <c r="AU257" s="21">
        <f>100*(AU123-AU122)</f>
        <v/>
      </c>
      <c r="AV257" s="21">
        <f>AVERAGE(C257:AU257)</f>
        <v/>
      </c>
    </row>
    <row r="258">
      <c r="A258" s="19">
        <f>A124</f>
        <v/>
      </c>
      <c r="B258" s="20">
        <f>B124</f>
        <v/>
      </c>
      <c r="C258" s="21">
        <f>100*(C124-C123)</f>
        <v/>
      </c>
      <c r="D258" s="21">
        <f>100*(D124-D123)</f>
        <v/>
      </c>
      <c r="E258" s="21">
        <f>100*(E124-E123)</f>
        <v/>
      </c>
      <c r="F258" s="21">
        <f>100*(F124-F123)</f>
        <v/>
      </c>
      <c r="G258" s="21">
        <f>100*(G124-G123)</f>
        <v/>
      </c>
      <c r="H258" s="21">
        <f>100*(H124-H123)</f>
        <v/>
      </c>
      <c r="I258" s="21">
        <f>100*(I124-I123)</f>
        <v/>
      </c>
      <c r="J258" s="21">
        <f>100*(J124-J123)</f>
        <v/>
      </c>
      <c r="K258" s="21">
        <f>100*(K124-K123)</f>
        <v/>
      </c>
      <c r="L258" s="21">
        <f>100*(L124-L123)</f>
        <v/>
      </c>
      <c r="M258" s="21">
        <f>100*(M124-M123)</f>
        <v/>
      </c>
      <c r="N258" s="21">
        <f>100*(N124-N123)</f>
        <v/>
      </c>
      <c r="O258" s="21">
        <f>100*(O124-O123)</f>
        <v/>
      </c>
      <c r="P258" s="21">
        <f>100*(P124-P123)</f>
        <v/>
      </c>
      <c r="Q258" s="21">
        <f>100*(Q124-Q123)</f>
        <v/>
      </c>
      <c r="R258" s="21">
        <f>100*(R124-R123)</f>
        <v/>
      </c>
      <c r="S258" s="21">
        <f>100*(S124-S123)</f>
        <v/>
      </c>
      <c r="T258" s="21">
        <f>100*(T124-T123)</f>
        <v/>
      </c>
      <c r="U258" s="21">
        <f>100*(U124-U123)</f>
        <v/>
      </c>
      <c r="V258" s="21">
        <f>100*(V124-V123)</f>
        <v/>
      </c>
      <c r="W258" s="21">
        <f>100*(W124-W123)</f>
        <v/>
      </c>
      <c r="X258" s="21">
        <f>100*(X124-X123)</f>
        <v/>
      </c>
      <c r="Y258" s="21">
        <f>100*(Y124-Y123)</f>
        <v/>
      </c>
      <c r="Z258" s="21">
        <f>100*(Z124-Z123)</f>
        <v/>
      </c>
      <c r="AA258" s="21">
        <f>100*(AA124-AA123)</f>
        <v/>
      </c>
      <c r="AB258" s="21">
        <f>100*(AB124-AB123)</f>
        <v/>
      </c>
      <c r="AC258" s="21">
        <f>100*(AC124-AC123)</f>
        <v/>
      </c>
      <c r="AD258" s="21">
        <f>100*(AD124-AD123)</f>
        <v/>
      </c>
      <c r="AE258" s="21">
        <f>100*(AE124-AE123)</f>
        <v/>
      </c>
      <c r="AF258" s="21">
        <f>100*(AF124-AF123)</f>
        <v/>
      </c>
      <c r="AG258" s="21">
        <f>100*(AG124-AG123)</f>
        <v/>
      </c>
      <c r="AH258" s="21">
        <f>100*(AH124-AH123)</f>
        <v/>
      </c>
      <c r="AI258" s="21">
        <f>100*(AI124-AI123)</f>
        <v/>
      </c>
      <c r="AJ258" s="21">
        <f>100*(AJ124-AJ123)</f>
        <v/>
      </c>
      <c r="AK258" s="21">
        <f>100*(AK124-AK123)</f>
        <v/>
      </c>
      <c r="AL258" s="21">
        <f>100*(AL124-AL123)</f>
        <v/>
      </c>
      <c r="AM258" s="21">
        <f>100*(AM124-AM123)</f>
        <v/>
      </c>
      <c r="AN258" s="21">
        <f>100*(AN124-AN123)</f>
        <v/>
      </c>
      <c r="AO258" s="21">
        <f>100*(AO124-AO123)</f>
        <v/>
      </c>
      <c r="AP258" s="21">
        <f>100*(AP124-AP123)</f>
        <v/>
      </c>
      <c r="AQ258" s="21">
        <f>100*(AQ124-AQ123)</f>
        <v/>
      </c>
      <c r="AR258" s="21">
        <f>100*(AR124-AR123)</f>
        <v/>
      </c>
      <c r="AS258" s="21">
        <f>100*(AS124-AS123)</f>
        <v/>
      </c>
      <c r="AT258" s="21">
        <f>100*(AT124-AT123)</f>
        <v/>
      </c>
      <c r="AU258" s="21">
        <f>100*(AU124-AU123)</f>
        <v/>
      </c>
      <c r="AV258" s="21">
        <f>AVERAGE(C258:AU258)</f>
        <v/>
      </c>
    </row>
    <row r="259">
      <c r="A259" s="19">
        <f>A125</f>
        <v/>
      </c>
      <c r="B259" s="20">
        <f>B125</f>
        <v/>
      </c>
      <c r="C259" s="21">
        <f>100*(C125-C124)</f>
        <v/>
      </c>
      <c r="D259" s="21">
        <f>100*(D125-D124)</f>
        <v/>
      </c>
      <c r="E259" s="21">
        <f>100*(E125-E124)</f>
        <v/>
      </c>
      <c r="F259" s="21">
        <f>100*(F125-F124)</f>
        <v/>
      </c>
      <c r="G259" s="21">
        <f>100*(G125-G124)</f>
        <v/>
      </c>
      <c r="H259" s="21">
        <f>100*(H125-H124)</f>
        <v/>
      </c>
      <c r="I259" s="21">
        <f>100*(I125-I124)</f>
        <v/>
      </c>
      <c r="J259" s="21">
        <f>100*(J125-J124)</f>
        <v/>
      </c>
      <c r="K259" s="21">
        <f>100*(K125-K124)</f>
        <v/>
      </c>
      <c r="L259" s="21">
        <f>100*(L125-L124)</f>
        <v/>
      </c>
      <c r="M259" s="21">
        <f>100*(M125-M124)</f>
        <v/>
      </c>
      <c r="N259" s="21">
        <f>100*(N125-N124)</f>
        <v/>
      </c>
      <c r="O259" s="21">
        <f>100*(O125-O124)</f>
        <v/>
      </c>
      <c r="P259" s="21">
        <f>100*(P125-P124)</f>
        <v/>
      </c>
      <c r="Q259" s="21">
        <f>100*(Q125-Q124)</f>
        <v/>
      </c>
      <c r="R259" s="21">
        <f>100*(R125-R124)</f>
        <v/>
      </c>
      <c r="S259" s="21">
        <f>100*(S125-S124)</f>
        <v/>
      </c>
      <c r="T259" s="21">
        <f>100*(T125-T124)</f>
        <v/>
      </c>
      <c r="U259" s="21">
        <f>100*(U125-U124)</f>
        <v/>
      </c>
      <c r="V259" s="21">
        <f>100*(V125-V124)</f>
        <v/>
      </c>
      <c r="W259" s="21">
        <f>100*(W125-W124)</f>
        <v/>
      </c>
      <c r="X259" s="21">
        <f>100*(X125-X124)</f>
        <v/>
      </c>
      <c r="Y259" s="21">
        <f>100*(Y125-Y124)</f>
        <v/>
      </c>
      <c r="Z259" s="21">
        <f>100*(Z125-Z124)</f>
        <v/>
      </c>
      <c r="AA259" s="21">
        <f>100*(AA125-AA124)</f>
        <v/>
      </c>
      <c r="AB259" s="21">
        <f>100*(AB125-AB124)</f>
        <v/>
      </c>
      <c r="AC259" s="21">
        <f>100*(AC125-AC124)</f>
        <v/>
      </c>
      <c r="AD259" s="21">
        <f>100*(AD125-AD124)</f>
        <v/>
      </c>
      <c r="AE259" s="21">
        <f>100*(AE125-AE124)</f>
        <v/>
      </c>
      <c r="AF259" s="21">
        <f>100*(AF125-AF124)</f>
        <v/>
      </c>
      <c r="AG259" s="21">
        <f>100*(AG125-AG124)</f>
        <v/>
      </c>
      <c r="AH259" s="21">
        <f>100*(AH125-AH124)</f>
        <v/>
      </c>
      <c r="AI259" s="21">
        <f>100*(AI125-AI124)</f>
        <v/>
      </c>
      <c r="AJ259" s="21">
        <f>100*(AJ125-AJ124)</f>
        <v/>
      </c>
      <c r="AK259" s="21">
        <f>100*(AK125-AK124)</f>
        <v/>
      </c>
      <c r="AL259" s="21">
        <f>100*(AL125-AL124)</f>
        <v/>
      </c>
      <c r="AM259" s="21">
        <f>100*(AM125-AM124)</f>
        <v/>
      </c>
      <c r="AN259" s="21">
        <f>100*(AN125-AN124)</f>
        <v/>
      </c>
      <c r="AO259" s="21">
        <f>100*(AO125-AO124)</f>
        <v/>
      </c>
      <c r="AP259" s="21">
        <f>100*(AP125-AP124)</f>
        <v/>
      </c>
      <c r="AQ259" s="21">
        <f>100*(AQ125-AQ124)</f>
        <v/>
      </c>
      <c r="AR259" s="21">
        <f>100*(AR125-AR124)</f>
        <v/>
      </c>
      <c r="AS259" s="21">
        <f>100*(AS125-AS124)</f>
        <v/>
      </c>
      <c r="AT259" s="21">
        <f>100*(AT125-AT124)</f>
        <v/>
      </c>
      <c r="AU259" s="21">
        <f>100*(AU125-AU124)</f>
        <v/>
      </c>
      <c r="AV259" s="21">
        <f>AVERAGE(C259:AU259)</f>
        <v/>
      </c>
    </row>
    <row r="260">
      <c r="A260" s="19">
        <f>A126</f>
        <v/>
      </c>
      <c r="B260" s="20">
        <f>B126</f>
        <v/>
      </c>
      <c r="C260" s="21">
        <f>100*(C126-C125)</f>
        <v/>
      </c>
      <c r="D260" s="21">
        <f>100*(D126-D125)</f>
        <v/>
      </c>
      <c r="E260" s="21">
        <f>100*(E126-E125)</f>
        <v/>
      </c>
      <c r="F260" s="21">
        <f>100*(F126-F125)</f>
        <v/>
      </c>
      <c r="G260" s="21">
        <f>100*(G126-G125)</f>
        <v/>
      </c>
      <c r="H260" s="21">
        <f>100*(H126-H125)</f>
        <v/>
      </c>
      <c r="I260" s="21">
        <f>100*(I126-I125)</f>
        <v/>
      </c>
      <c r="J260" s="21">
        <f>100*(J126-J125)</f>
        <v/>
      </c>
      <c r="K260" s="21">
        <f>100*(K126-K125)</f>
        <v/>
      </c>
      <c r="L260" s="21">
        <f>100*(L126-L125)</f>
        <v/>
      </c>
      <c r="M260" s="21">
        <f>100*(M126-M125)</f>
        <v/>
      </c>
      <c r="N260" s="21">
        <f>100*(N126-N125)</f>
        <v/>
      </c>
      <c r="O260" s="21">
        <f>100*(O126-O125)</f>
        <v/>
      </c>
      <c r="P260" s="21">
        <f>100*(P126-P125)</f>
        <v/>
      </c>
      <c r="Q260" s="21">
        <f>100*(Q126-Q125)</f>
        <v/>
      </c>
      <c r="R260" s="21">
        <f>100*(R126-R125)</f>
        <v/>
      </c>
      <c r="S260" s="21">
        <f>100*(S126-S125)</f>
        <v/>
      </c>
      <c r="T260" s="21">
        <f>100*(T126-T125)</f>
        <v/>
      </c>
      <c r="U260" s="21">
        <f>100*(U126-U125)</f>
        <v/>
      </c>
      <c r="V260" s="21">
        <f>100*(V126-V125)</f>
        <v/>
      </c>
      <c r="W260" s="21">
        <f>100*(W126-W125)</f>
        <v/>
      </c>
      <c r="X260" s="21">
        <f>100*(X126-X125)</f>
        <v/>
      </c>
      <c r="Y260" s="21">
        <f>100*(Y126-Y125)</f>
        <v/>
      </c>
      <c r="Z260" s="21">
        <f>100*(Z126-Z125)</f>
        <v/>
      </c>
      <c r="AA260" s="21">
        <f>100*(AA126-AA125)</f>
        <v/>
      </c>
      <c r="AB260" s="21">
        <f>100*(AB126-AB125)</f>
        <v/>
      </c>
      <c r="AC260" s="21">
        <f>100*(AC126-AC125)</f>
        <v/>
      </c>
      <c r="AD260" s="21">
        <f>100*(AD126-AD125)</f>
        <v/>
      </c>
      <c r="AE260" s="21">
        <f>100*(AE126-AE125)</f>
        <v/>
      </c>
      <c r="AF260" s="21">
        <f>100*(AF126-AF125)</f>
        <v/>
      </c>
      <c r="AG260" s="21">
        <f>100*(AG126-AG125)</f>
        <v/>
      </c>
      <c r="AH260" s="21">
        <f>100*(AH126-AH125)</f>
        <v/>
      </c>
      <c r="AI260" s="21">
        <f>100*(AI126-AI125)</f>
        <v/>
      </c>
      <c r="AJ260" s="21">
        <f>100*(AJ126-AJ125)</f>
        <v/>
      </c>
      <c r="AK260" s="21">
        <f>100*(AK126-AK125)</f>
        <v/>
      </c>
      <c r="AL260" s="21">
        <f>100*(AL126-AL125)</f>
        <v/>
      </c>
      <c r="AM260" s="21">
        <f>100*(AM126-AM125)</f>
        <v/>
      </c>
      <c r="AN260" s="21">
        <f>100*(AN126-AN125)</f>
        <v/>
      </c>
      <c r="AO260" s="21">
        <f>100*(AO126-AO125)</f>
        <v/>
      </c>
      <c r="AP260" s="21">
        <f>100*(AP126-AP125)</f>
        <v/>
      </c>
      <c r="AQ260" s="21">
        <f>100*(AQ126-AQ125)</f>
        <v/>
      </c>
      <c r="AR260" s="21">
        <f>100*(AR126-AR125)</f>
        <v/>
      </c>
      <c r="AS260" s="21">
        <f>100*(AS126-AS125)</f>
        <v/>
      </c>
      <c r="AT260" s="21">
        <f>100*(AT126-AT125)</f>
        <v/>
      </c>
      <c r="AU260" s="21">
        <f>100*(AU126-AU125)</f>
        <v/>
      </c>
      <c r="AV260" s="21">
        <f>AVERAGE(C260:AU260)</f>
        <v/>
      </c>
    </row>
    <row r="261">
      <c r="A261" s="19">
        <f>A127</f>
        <v/>
      </c>
      <c r="B261" s="20">
        <f>B127</f>
        <v/>
      </c>
      <c r="C261" s="21">
        <f>100*(C127-C126)</f>
        <v/>
      </c>
      <c r="D261" s="21">
        <f>100*(D127-D126)</f>
        <v/>
      </c>
      <c r="E261" s="21">
        <f>100*(E127-E126)</f>
        <v/>
      </c>
      <c r="F261" s="21">
        <f>100*(F127-F126)</f>
        <v/>
      </c>
      <c r="G261" s="21">
        <f>100*(G127-G126)</f>
        <v/>
      </c>
      <c r="H261" s="21">
        <f>100*(H127-H126)</f>
        <v/>
      </c>
      <c r="I261" s="21">
        <f>100*(I127-I126)</f>
        <v/>
      </c>
      <c r="J261" s="21">
        <f>100*(J127-J126)</f>
        <v/>
      </c>
      <c r="K261" s="21">
        <f>100*(K127-K126)</f>
        <v/>
      </c>
      <c r="L261" s="21">
        <f>100*(L127-L126)</f>
        <v/>
      </c>
      <c r="M261" s="21">
        <f>100*(M127-M126)</f>
        <v/>
      </c>
      <c r="N261" s="21">
        <f>100*(N127-N126)</f>
        <v/>
      </c>
      <c r="O261" s="21">
        <f>100*(O127-O126)</f>
        <v/>
      </c>
      <c r="P261" s="21">
        <f>100*(P127-P126)</f>
        <v/>
      </c>
      <c r="Q261" s="21">
        <f>100*(Q127-Q126)</f>
        <v/>
      </c>
      <c r="R261" s="21">
        <f>100*(R127-R126)</f>
        <v/>
      </c>
      <c r="S261" s="21">
        <f>100*(S127-S126)</f>
        <v/>
      </c>
      <c r="T261" s="21">
        <f>100*(T127-T126)</f>
        <v/>
      </c>
      <c r="U261" s="21">
        <f>100*(U127-U126)</f>
        <v/>
      </c>
      <c r="V261" s="21">
        <f>100*(V127-V126)</f>
        <v/>
      </c>
      <c r="W261" s="21">
        <f>100*(W127-W126)</f>
        <v/>
      </c>
      <c r="X261" s="21">
        <f>100*(X127-X126)</f>
        <v/>
      </c>
      <c r="Y261" s="21">
        <f>100*(Y127-Y126)</f>
        <v/>
      </c>
      <c r="Z261" s="21">
        <f>100*(Z127-Z126)</f>
        <v/>
      </c>
      <c r="AA261" s="21">
        <f>100*(AA127-AA126)</f>
        <v/>
      </c>
      <c r="AB261" s="21">
        <f>100*(AB127-AB126)</f>
        <v/>
      </c>
      <c r="AC261" s="21">
        <f>100*(AC127-AC126)</f>
        <v/>
      </c>
      <c r="AD261" s="21">
        <f>100*(AD127-AD126)</f>
        <v/>
      </c>
      <c r="AE261" s="21">
        <f>100*(AE127-AE126)</f>
        <v/>
      </c>
      <c r="AF261" s="21">
        <f>100*(AF127-AF126)</f>
        <v/>
      </c>
      <c r="AG261" s="21">
        <f>100*(AG127-AG126)</f>
        <v/>
      </c>
      <c r="AH261" s="21">
        <f>100*(AH127-AH126)</f>
        <v/>
      </c>
      <c r="AI261" s="21">
        <f>100*(AI127-AI126)</f>
        <v/>
      </c>
      <c r="AJ261" s="21">
        <f>100*(AJ127-AJ126)</f>
        <v/>
      </c>
      <c r="AK261" s="21">
        <f>100*(AK127-AK126)</f>
        <v/>
      </c>
      <c r="AL261" s="21">
        <f>100*(AL127-AL126)</f>
        <v/>
      </c>
      <c r="AM261" s="21">
        <f>100*(AM127-AM126)</f>
        <v/>
      </c>
      <c r="AN261" s="21">
        <f>100*(AN127-AN126)</f>
        <v/>
      </c>
      <c r="AO261" s="21">
        <f>100*(AO127-AO126)</f>
        <v/>
      </c>
      <c r="AP261" s="21">
        <f>100*(AP127-AP126)</f>
        <v/>
      </c>
      <c r="AQ261" s="21">
        <f>100*(AQ127-AQ126)</f>
        <v/>
      </c>
      <c r="AR261" s="21">
        <f>100*(AR127-AR126)</f>
        <v/>
      </c>
      <c r="AS261" s="21">
        <f>100*(AS127-AS126)</f>
        <v/>
      </c>
      <c r="AT261" s="21">
        <f>100*(AT127-AT126)</f>
        <v/>
      </c>
      <c r="AU261" s="21">
        <f>100*(AU127-AU126)</f>
        <v/>
      </c>
      <c r="AV261" s="21">
        <f>AVERAGE(C261:AU261)</f>
        <v/>
      </c>
    </row>
    <row r="262">
      <c r="A262" s="19">
        <f>A128</f>
        <v/>
      </c>
      <c r="B262" s="20">
        <f>B128</f>
        <v/>
      </c>
      <c r="C262" s="21">
        <f>100*(C128-C127)</f>
        <v/>
      </c>
      <c r="D262" s="21">
        <f>100*(D128-D127)</f>
        <v/>
      </c>
      <c r="E262" s="21">
        <f>100*(E128-E127)</f>
        <v/>
      </c>
      <c r="F262" s="21">
        <f>100*(F128-F127)</f>
        <v/>
      </c>
      <c r="G262" s="21">
        <f>100*(G128-G127)</f>
        <v/>
      </c>
      <c r="H262" s="21">
        <f>100*(H128-H127)</f>
        <v/>
      </c>
      <c r="I262" s="21">
        <f>100*(I128-I127)</f>
        <v/>
      </c>
      <c r="J262" s="21">
        <f>100*(J128-J127)</f>
        <v/>
      </c>
      <c r="K262" s="21">
        <f>100*(K128-K127)</f>
        <v/>
      </c>
      <c r="L262" s="21">
        <f>100*(L128-L127)</f>
        <v/>
      </c>
      <c r="M262" s="21">
        <f>100*(M128-M127)</f>
        <v/>
      </c>
      <c r="N262" s="21">
        <f>100*(N128-N127)</f>
        <v/>
      </c>
      <c r="O262" s="21">
        <f>100*(O128-O127)</f>
        <v/>
      </c>
      <c r="P262" s="21">
        <f>100*(P128-P127)</f>
        <v/>
      </c>
      <c r="Q262" s="21">
        <f>100*(Q128-Q127)</f>
        <v/>
      </c>
      <c r="R262" s="21">
        <f>100*(R128-R127)</f>
        <v/>
      </c>
      <c r="S262" s="21">
        <f>100*(S128-S127)</f>
        <v/>
      </c>
      <c r="T262" s="21">
        <f>100*(T128-T127)</f>
        <v/>
      </c>
      <c r="U262" s="21">
        <f>100*(U128-U127)</f>
        <v/>
      </c>
      <c r="V262" s="21">
        <f>100*(V128-V127)</f>
        <v/>
      </c>
      <c r="W262" s="21">
        <f>100*(W128-W127)</f>
        <v/>
      </c>
      <c r="X262" s="21">
        <f>100*(X128-X127)</f>
        <v/>
      </c>
      <c r="Y262" s="21">
        <f>100*(Y128-Y127)</f>
        <v/>
      </c>
      <c r="Z262" s="21">
        <f>100*(Z128-Z127)</f>
        <v/>
      </c>
      <c r="AA262" s="21">
        <f>100*(AA128-AA127)</f>
        <v/>
      </c>
      <c r="AB262" s="21">
        <f>100*(AB128-AB127)</f>
        <v/>
      </c>
      <c r="AC262" s="21">
        <f>100*(AC128-AC127)</f>
        <v/>
      </c>
      <c r="AD262" s="21">
        <f>100*(AD128-AD127)</f>
        <v/>
      </c>
      <c r="AE262" s="21">
        <f>100*(AE128-AE127)</f>
        <v/>
      </c>
      <c r="AF262" s="21">
        <f>100*(AF128-AF127)</f>
        <v/>
      </c>
      <c r="AG262" s="21">
        <f>100*(AG128-AG127)</f>
        <v/>
      </c>
      <c r="AH262" s="21">
        <f>100*(AH128-AH127)</f>
        <v/>
      </c>
      <c r="AI262" s="21">
        <f>100*(AI128-AI127)</f>
        <v/>
      </c>
      <c r="AJ262" s="21">
        <f>100*(AJ128-AJ127)</f>
        <v/>
      </c>
      <c r="AK262" s="21">
        <f>100*(AK128-AK127)</f>
        <v/>
      </c>
      <c r="AL262" s="21">
        <f>100*(AL128-AL127)</f>
        <v/>
      </c>
      <c r="AM262" s="21">
        <f>100*(AM128-AM127)</f>
        <v/>
      </c>
      <c r="AN262" s="21">
        <f>100*(AN128-AN127)</f>
        <v/>
      </c>
      <c r="AO262" s="21">
        <f>100*(AO128-AO127)</f>
        <v/>
      </c>
      <c r="AP262" s="21">
        <f>100*(AP128-AP127)</f>
        <v/>
      </c>
      <c r="AQ262" s="21">
        <f>100*(AQ128-AQ127)</f>
        <v/>
      </c>
      <c r="AR262" s="21">
        <f>100*(AR128-AR127)</f>
        <v/>
      </c>
      <c r="AS262" s="21">
        <f>100*(AS128-AS127)</f>
        <v/>
      </c>
      <c r="AT262" s="21">
        <f>100*(AT128-AT127)</f>
        <v/>
      </c>
      <c r="AU262" s="21">
        <f>100*(AU128-AU127)</f>
        <v/>
      </c>
      <c r="AV262" s="21">
        <f>AVERAGE(C262:AU262)</f>
        <v/>
      </c>
    </row>
    <row r="263">
      <c r="A263" s="19">
        <f>A129</f>
        <v/>
      </c>
      <c r="B263" s="20">
        <f>B129</f>
        <v/>
      </c>
      <c r="C263" s="21">
        <f>100*(C129-C128)</f>
        <v/>
      </c>
      <c r="D263" s="21">
        <f>100*(D129-D128)</f>
        <v/>
      </c>
      <c r="E263" s="21">
        <f>100*(E129-E128)</f>
        <v/>
      </c>
      <c r="F263" s="21">
        <f>100*(F129-F128)</f>
        <v/>
      </c>
      <c r="G263" s="21">
        <f>100*(G129-G128)</f>
        <v/>
      </c>
      <c r="H263" s="21">
        <f>100*(H129-H128)</f>
        <v/>
      </c>
      <c r="I263" s="21">
        <f>100*(I129-I128)</f>
        <v/>
      </c>
      <c r="J263" s="21">
        <f>100*(J129-J128)</f>
        <v/>
      </c>
      <c r="K263" s="21">
        <f>100*(K129-K128)</f>
        <v/>
      </c>
      <c r="L263" s="21">
        <f>100*(L129-L128)</f>
        <v/>
      </c>
      <c r="M263" s="21">
        <f>100*(M129-M128)</f>
        <v/>
      </c>
      <c r="N263" s="21">
        <f>100*(N129-N128)</f>
        <v/>
      </c>
      <c r="O263" s="21">
        <f>100*(O129-O128)</f>
        <v/>
      </c>
      <c r="P263" s="21">
        <f>100*(P129-P128)</f>
        <v/>
      </c>
      <c r="Q263" s="21">
        <f>100*(Q129-Q128)</f>
        <v/>
      </c>
      <c r="R263" s="21">
        <f>100*(R129-R128)</f>
        <v/>
      </c>
      <c r="S263" s="21">
        <f>100*(S129-S128)</f>
        <v/>
      </c>
      <c r="T263" s="21">
        <f>100*(T129-T128)</f>
        <v/>
      </c>
      <c r="U263" s="21">
        <f>100*(U129-U128)</f>
        <v/>
      </c>
      <c r="V263" s="21">
        <f>100*(V129-V128)</f>
        <v/>
      </c>
      <c r="W263" s="21">
        <f>100*(W129-W128)</f>
        <v/>
      </c>
      <c r="X263" s="21">
        <f>100*(X129-X128)</f>
        <v/>
      </c>
      <c r="Y263" s="21">
        <f>100*(Y129-Y128)</f>
        <v/>
      </c>
      <c r="Z263" s="21">
        <f>100*(Z129-Z128)</f>
        <v/>
      </c>
      <c r="AA263" s="21">
        <f>100*(AA129-AA128)</f>
        <v/>
      </c>
      <c r="AB263" s="21">
        <f>100*(AB129-AB128)</f>
        <v/>
      </c>
      <c r="AC263" s="21">
        <f>100*(AC129-AC128)</f>
        <v/>
      </c>
      <c r="AD263" s="21">
        <f>100*(AD129-AD128)</f>
        <v/>
      </c>
      <c r="AE263" s="21">
        <f>100*(AE129-AE128)</f>
        <v/>
      </c>
      <c r="AF263" s="21">
        <f>100*(AF129-AF128)</f>
        <v/>
      </c>
      <c r="AG263" s="21">
        <f>100*(AG129-AG128)</f>
        <v/>
      </c>
      <c r="AH263" s="21">
        <f>100*(AH129-AH128)</f>
        <v/>
      </c>
      <c r="AI263" s="21">
        <f>100*(AI129-AI128)</f>
        <v/>
      </c>
      <c r="AJ263" s="21">
        <f>100*(AJ129-AJ128)</f>
        <v/>
      </c>
      <c r="AK263" s="21">
        <f>100*(AK129-AK128)</f>
        <v/>
      </c>
      <c r="AL263" s="21">
        <f>100*(AL129-AL128)</f>
        <v/>
      </c>
      <c r="AM263" s="21">
        <f>100*(AM129-AM128)</f>
        <v/>
      </c>
      <c r="AN263" s="21">
        <f>100*(AN129-AN128)</f>
        <v/>
      </c>
      <c r="AO263" s="21">
        <f>100*(AO129-AO128)</f>
        <v/>
      </c>
      <c r="AP263" s="21">
        <f>100*(AP129-AP128)</f>
        <v/>
      </c>
      <c r="AQ263" s="21">
        <f>100*(AQ129-AQ128)</f>
        <v/>
      </c>
      <c r="AR263" s="21">
        <f>100*(AR129-AR128)</f>
        <v/>
      </c>
      <c r="AS263" s="21">
        <f>100*(AS129-AS128)</f>
        <v/>
      </c>
      <c r="AT263" s="21">
        <f>100*(AT129-AT128)</f>
        <v/>
      </c>
      <c r="AU263" s="21">
        <f>100*(AU129-AU128)</f>
        <v/>
      </c>
      <c r="AV263" s="21">
        <f>AVERAGE(C263:AU263)</f>
        <v/>
      </c>
    </row>
    <row r="264">
      <c r="A264" s="19">
        <f>A130</f>
        <v/>
      </c>
      <c r="B264" s="20">
        <f>B130</f>
        <v/>
      </c>
      <c r="C264" s="21">
        <f>100*(C130-C129)</f>
        <v/>
      </c>
      <c r="D264" s="21">
        <f>100*(D130-D129)</f>
        <v/>
      </c>
      <c r="E264" s="21">
        <f>100*(E130-E129)</f>
        <v/>
      </c>
      <c r="F264" s="21">
        <f>100*(F130-F129)</f>
        <v/>
      </c>
      <c r="G264" s="21">
        <f>100*(G130-G129)</f>
        <v/>
      </c>
      <c r="H264" s="21">
        <f>100*(H130-H129)</f>
        <v/>
      </c>
      <c r="I264" s="21">
        <f>100*(I130-I129)</f>
        <v/>
      </c>
      <c r="J264" s="21">
        <f>100*(J130-J129)</f>
        <v/>
      </c>
      <c r="K264" s="21">
        <f>100*(K130-K129)</f>
        <v/>
      </c>
      <c r="L264" s="21">
        <f>100*(L130-L129)</f>
        <v/>
      </c>
      <c r="M264" s="21">
        <f>100*(M130-M129)</f>
        <v/>
      </c>
      <c r="N264" s="21">
        <f>100*(N130-N129)</f>
        <v/>
      </c>
      <c r="O264" s="21">
        <f>100*(O130-O129)</f>
        <v/>
      </c>
      <c r="P264" s="21">
        <f>100*(P130-P129)</f>
        <v/>
      </c>
      <c r="Q264" s="21">
        <f>100*(Q130-Q129)</f>
        <v/>
      </c>
      <c r="R264" s="21">
        <f>100*(R130-R129)</f>
        <v/>
      </c>
      <c r="S264" s="21">
        <f>100*(S130-S129)</f>
        <v/>
      </c>
      <c r="T264" s="21">
        <f>100*(T130-T129)</f>
        <v/>
      </c>
      <c r="U264" s="21">
        <f>100*(U130-U129)</f>
        <v/>
      </c>
      <c r="V264" s="21">
        <f>100*(V130-V129)</f>
        <v/>
      </c>
      <c r="W264" s="21">
        <f>100*(W130-W129)</f>
        <v/>
      </c>
      <c r="X264" s="21">
        <f>100*(X130-X129)</f>
        <v/>
      </c>
      <c r="Y264" s="21">
        <f>100*(Y130-Y129)</f>
        <v/>
      </c>
      <c r="Z264" s="21">
        <f>100*(Z130-Z129)</f>
        <v/>
      </c>
      <c r="AA264" s="21">
        <f>100*(AA130-AA129)</f>
        <v/>
      </c>
      <c r="AB264" s="21">
        <f>100*(AB130-AB129)</f>
        <v/>
      </c>
      <c r="AC264" s="21">
        <f>100*(AC130-AC129)</f>
        <v/>
      </c>
      <c r="AD264" s="21">
        <f>100*(AD130-AD129)</f>
        <v/>
      </c>
      <c r="AE264" s="21">
        <f>100*(AE130-AE129)</f>
        <v/>
      </c>
      <c r="AF264" s="21">
        <f>100*(AF130-AF129)</f>
        <v/>
      </c>
      <c r="AG264" s="21">
        <f>100*(AG130-AG129)</f>
        <v/>
      </c>
      <c r="AH264" s="21">
        <f>100*(AH130-AH129)</f>
        <v/>
      </c>
      <c r="AI264" s="21">
        <f>100*(AI130-AI129)</f>
        <v/>
      </c>
      <c r="AJ264" s="21">
        <f>100*(AJ130-AJ129)</f>
        <v/>
      </c>
      <c r="AK264" s="21">
        <f>100*(AK130-AK129)</f>
        <v/>
      </c>
      <c r="AL264" s="21">
        <f>100*(AL130-AL129)</f>
        <v/>
      </c>
      <c r="AM264" s="21">
        <f>100*(AM130-AM129)</f>
        <v/>
      </c>
      <c r="AN264" s="21">
        <f>100*(AN130-AN129)</f>
        <v/>
      </c>
      <c r="AO264" s="21">
        <f>100*(AO130-AO129)</f>
        <v/>
      </c>
      <c r="AP264" s="21">
        <f>100*(AP130-AP129)</f>
        <v/>
      </c>
      <c r="AQ264" s="21">
        <f>100*(AQ130-AQ129)</f>
        <v/>
      </c>
      <c r="AR264" s="21">
        <f>100*(AR130-AR129)</f>
        <v/>
      </c>
      <c r="AS264" s="21">
        <f>100*(AS130-AS129)</f>
        <v/>
      </c>
      <c r="AT264" s="21">
        <f>100*(AT130-AT129)</f>
        <v/>
      </c>
      <c r="AU264" s="21">
        <f>100*(AU130-AU129)</f>
        <v/>
      </c>
      <c r="AV264" s="21">
        <f>AVERAGE(C264:AU264)</f>
        <v/>
      </c>
    </row>
    <row r="265">
      <c r="A265" s="19">
        <f>A131</f>
        <v/>
      </c>
      <c r="B265" s="20">
        <f>B131</f>
        <v/>
      </c>
      <c r="C265" s="21">
        <f>100*(C131-C130)</f>
        <v/>
      </c>
      <c r="D265" s="21">
        <f>100*(D131-D130)</f>
        <v/>
      </c>
      <c r="E265" s="21">
        <f>100*(E131-E130)</f>
        <v/>
      </c>
      <c r="F265" s="21">
        <f>100*(F131-F130)</f>
        <v/>
      </c>
      <c r="G265" s="21">
        <f>100*(G131-G130)</f>
        <v/>
      </c>
      <c r="H265" s="21">
        <f>100*(H131-H130)</f>
        <v/>
      </c>
      <c r="I265" s="21">
        <f>100*(I131-I130)</f>
        <v/>
      </c>
      <c r="J265" s="21">
        <f>100*(J131-J130)</f>
        <v/>
      </c>
      <c r="K265" s="21">
        <f>100*(K131-K130)</f>
        <v/>
      </c>
      <c r="L265" s="21">
        <f>100*(L131-L130)</f>
        <v/>
      </c>
      <c r="M265" s="21">
        <f>100*(M131-M130)</f>
        <v/>
      </c>
      <c r="N265" s="21">
        <f>100*(N131-N130)</f>
        <v/>
      </c>
      <c r="O265" s="21">
        <f>100*(O131-O130)</f>
        <v/>
      </c>
      <c r="P265" s="21">
        <f>100*(P131-P130)</f>
        <v/>
      </c>
      <c r="Q265" s="21">
        <f>100*(Q131-Q130)</f>
        <v/>
      </c>
      <c r="R265" s="21">
        <f>100*(R131-R130)</f>
        <v/>
      </c>
      <c r="S265" s="21">
        <f>100*(S131-S130)</f>
        <v/>
      </c>
      <c r="T265" s="21">
        <f>100*(T131-T130)</f>
        <v/>
      </c>
      <c r="U265" s="21">
        <f>100*(U131-U130)</f>
        <v/>
      </c>
      <c r="V265" s="21">
        <f>100*(V131-V130)</f>
        <v/>
      </c>
      <c r="W265" s="21">
        <f>100*(W131-W130)</f>
        <v/>
      </c>
      <c r="X265" s="21">
        <f>100*(X131-X130)</f>
        <v/>
      </c>
      <c r="Y265" s="21">
        <f>100*(Y131-Y130)</f>
        <v/>
      </c>
      <c r="Z265" s="21">
        <f>100*(Z131-Z130)</f>
        <v/>
      </c>
      <c r="AA265" s="21">
        <f>100*(AA131-AA130)</f>
        <v/>
      </c>
      <c r="AB265" s="21">
        <f>100*(AB131-AB130)</f>
        <v/>
      </c>
      <c r="AC265" s="21">
        <f>100*(AC131-AC130)</f>
        <v/>
      </c>
      <c r="AD265" s="21">
        <f>100*(AD131-AD130)</f>
        <v/>
      </c>
      <c r="AE265" s="21">
        <f>100*(AE131-AE130)</f>
        <v/>
      </c>
      <c r="AF265" s="21">
        <f>100*(AF131-AF130)</f>
        <v/>
      </c>
      <c r="AG265" s="21">
        <f>100*(AG131-AG130)</f>
        <v/>
      </c>
      <c r="AH265" s="21">
        <f>100*(AH131-AH130)</f>
        <v/>
      </c>
      <c r="AI265" s="21">
        <f>100*(AI131-AI130)</f>
        <v/>
      </c>
      <c r="AJ265" s="21">
        <f>100*(AJ131-AJ130)</f>
        <v/>
      </c>
      <c r="AK265" s="21">
        <f>100*(AK131-AK130)</f>
        <v/>
      </c>
      <c r="AL265" s="21">
        <f>100*(AL131-AL130)</f>
        <v/>
      </c>
      <c r="AM265" s="21">
        <f>100*(AM131-AM130)</f>
        <v/>
      </c>
      <c r="AN265" s="21">
        <f>100*(AN131-AN130)</f>
        <v/>
      </c>
      <c r="AO265" s="21">
        <f>100*(AO131-AO130)</f>
        <v/>
      </c>
      <c r="AP265" s="21">
        <f>100*(AP131-AP130)</f>
        <v/>
      </c>
      <c r="AQ265" s="21">
        <f>100*(AQ131-AQ130)</f>
        <v/>
      </c>
      <c r="AR265" s="21">
        <f>100*(AR131-AR130)</f>
        <v/>
      </c>
      <c r="AS265" s="21">
        <f>100*(AS131-AS130)</f>
        <v/>
      </c>
      <c r="AT265" s="21">
        <f>100*(AT131-AT130)</f>
        <v/>
      </c>
      <c r="AU265" s="21">
        <f>100*(AU131-AU130)</f>
        <v/>
      </c>
      <c r="AV265" s="21">
        <f>AVERAGE(C265:AU265)</f>
        <v/>
      </c>
    </row>
    <row r="266">
      <c r="A266" s="19">
        <f>A132</f>
        <v/>
      </c>
      <c r="B266" s="20">
        <f>B132</f>
        <v/>
      </c>
      <c r="C266" s="21">
        <f>100*(C132-C131)</f>
        <v/>
      </c>
      <c r="D266" s="21">
        <f>100*(D132-D131)</f>
        <v/>
      </c>
      <c r="E266" s="21">
        <f>100*(E132-E131)</f>
        <v/>
      </c>
      <c r="F266" s="21">
        <f>100*(F132-F131)</f>
        <v/>
      </c>
      <c r="G266" s="21">
        <f>100*(G132-G131)</f>
        <v/>
      </c>
      <c r="H266" s="21">
        <f>100*(H132-H131)</f>
        <v/>
      </c>
      <c r="I266" s="21">
        <f>100*(I132-I131)</f>
        <v/>
      </c>
      <c r="J266" s="21">
        <f>100*(J132-J131)</f>
        <v/>
      </c>
      <c r="K266" s="21">
        <f>100*(K132-K131)</f>
        <v/>
      </c>
      <c r="L266" s="21">
        <f>100*(L132-L131)</f>
        <v/>
      </c>
      <c r="M266" s="21">
        <f>100*(M132-M131)</f>
        <v/>
      </c>
      <c r="N266" s="21">
        <f>100*(N132-N131)</f>
        <v/>
      </c>
      <c r="O266" s="21">
        <f>100*(O132-O131)</f>
        <v/>
      </c>
      <c r="P266" s="21">
        <f>100*(P132-P131)</f>
        <v/>
      </c>
      <c r="Q266" s="21">
        <f>100*(Q132-Q131)</f>
        <v/>
      </c>
      <c r="R266" s="21">
        <f>100*(R132-R131)</f>
        <v/>
      </c>
      <c r="S266" s="21">
        <f>100*(S132-S131)</f>
        <v/>
      </c>
      <c r="T266" s="21">
        <f>100*(T132-T131)</f>
        <v/>
      </c>
      <c r="U266" s="21">
        <f>100*(U132-U131)</f>
        <v/>
      </c>
      <c r="V266" s="21">
        <f>100*(V132-V131)</f>
        <v/>
      </c>
      <c r="W266" s="21">
        <f>100*(W132-W131)</f>
        <v/>
      </c>
      <c r="X266" s="21">
        <f>100*(X132-X131)</f>
        <v/>
      </c>
      <c r="Y266" s="21">
        <f>100*(Y132-Y131)</f>
        <v/>
      </c>
      <c r="Z266" s="21">
        <f>100*(Z132-Z131)</f>
        <v/>
      </c>
      <c r="AA266" s="21">
        <f>100*(AA132-AA131)</f>
        <v/>
      </c>
      <c r="AB266" s="21">
        <f>100*(AB132-AB131)</f>
        <v/>
      </c>
      <c r="AC266" s="21">
        <f>100*(AC132-AC131)</f>
        <v/>
      </c>
      <c r="AD266" s="21">
        <f>100*(AD132-AD131)</f>
        <v/>
      </c>
      <c r="AE266" s="21">
        <f>100*(AE132-AE131)</f>
        <v/>
      </c>
      <c r="AF266" s="21">
        <f>100*(AF132-AF131)</f>
        <v/>
      </c>
      <c r="AG266" s="21">
        <f>100*(AG132-AG131)</f>
        <v/>
      </c>
      <c r="AH266" s="21">
        <f>100*(AH132-AH131)</f>
        <v/>
      </c>
      <c r="AI266" s="21">
        <f>100*(AI132-AI131)</f>
        <v/>
      </c>
      <c r="AJ266" s="21">
        <f>100*(AJ132-AJ131)</f>
        <v/>
      </c>
      <c r="AK266" s="21">
        <f>100*(AK132-AK131)</f>
        <v/>
      </c>
      <c r="AL266" s="21">
        <f>100*(AL132-AL131)</f>
        <v/>
      </c>
      <c r="AM266" s="21">
        <f>100*(AM132-AM131)</f>
        <v/>
      </c>
      <c r="AN266" s="21">
        <f>100*(AN132-AN131)</f>
        <v/>
      </c>
      <c r="AO266" s="21">
        <f>100*(AO132-AO131)</f>
        <v/>
      </c>
      <c r="AP266" s="21">
        <f>100*(AP132-AP131)</f>
        <v/>
      </c>
      <c r="AQ266" s="21">
        <f>100*(AQ132-AQ131)</f>
        <v/>
      </c>
      <c r="AR266" s="21">
        <f>100*(AR132-AR131)</f>
        <v/>
      </c>
      <c r="AS266" s="21">
        <f>100*(AS132-AS131)</f>
        <v/>
      </c>
      <c r="AT266" s="21">
        <f>100*(AT132-AT131)</f>
        <v/>
      </c>
      <c r="AU266" s="21">
        <f>100*(AU132-AU131)</f>
        <v/>
      </c>
      <c r="AV266" s="21">
        <f>AVERAGE(C266:AU266)</f>
        <v/>
      </c>
    </row>
    <row r="267">
      <c r="A267" s="19">
        <f>A133</f>
        <v/>
      </c>
      <c r="B267" s="20">
        <f>B133</f>
        <v/>
      </c>
      <c r="C267" s="21">
        <f>100*(C133-C132)</f>
        <v/>
      </c>
      <c r="D267" s="21">
        <f>100*(D133-D132)</f>
        <v/>
      </c>
      <c r="E267" s="21">
        <f>100*(E133-E132)</f>
        <v/>
      </c>
      <c r="F267" s="21">
        <f>100*(F133-F132)</f>
        <v/>
      </c>
      <c r="G267" s="21">
        <f>100*(G133-G132)</f>
        <v/>
      </c>
      <c r="H267" s="21">
        <f>100*(H133-H132)</f>
        <v/>
      </c>
      <c r="I267" s="21">
        <f>100*(I133-I132)</f>
        <v/>
      </c>
      <c r="J267" s="21">
        <f>100*(J133-J132)</f>
        <v/>
      </c>
      <c r="K267" s="21">
        <f>100*(K133-K132)</f>
        <v/>
      </c>
      <c r="L267" s="21">
        <f>100*(L133-L132)</f>
        <v/>
      </c>
      <c r="M267" s="21">
        <f>100*(M133-M132)</f>
        <v/>
      </c>
      <c r="N267" s="21">
        <f>100*(N133-N132)</f>
        <v/>
      </c>
      <c r="O267" s="21">
        <f>100*(O133-O132)</f>
        <v/>
      </c>
      <c r="P267" s="21">
        <f>100*(P133-P132)</f>
        <v/>
      </c>
      <c r="Q267" s="21">
        <f>100*(Q133-Q132)</f>
        <v/>
      </c>
      <c r="R267" s="21">
        <f>100*(R133-R132)</f>
        <v/>
      </c>
      <c r="S267" s="21">
        <f>100*(S133-S132)</f>
        <v/>
      </c>
      <c r="T267" s="21">
        <f>100*(T133-T132)</f>
        <v/>
      </c>
      <c r="U267" s="21">
        <f>100*(U133-U132)</f>
        <v/>
      </c>
      <c r="V267" s="21">
        <f>100*(V133-V132)</f>
        <v/>
      </c>
      <c r="W267" s="21">
        <f>100*(W133-W132)</f>
        <v/>
      </c>
      <c r="X267" s="21">
        <f>100*(X133-X132)</f>
        <v/>
      </c>
      <c r="Y267" s="21">
        <f>100*(Y133-Y132)</f>
        <v/>
      </c>
      <c r="Z267" s="21">
        <f>100*(Z133-Z132)</f>
        <v/>
      </c>
      <c r="AA267" s="21">
        <f>100*(AA133-AA132)</f>
        <v/>
      </c>
      <c r="AB267" s="21">
        <f>100*(AB133-AB132)</f>
        <v/>
      </c>
      <c r="AC267" s="21">
        <f>100*(AC133-AC132)</f>
        <v/>
      </c>
      <c r="AD267" s="21">
        <f>100*(AD133-AD132)</f>
        <v/>
      </c>
      <c r="AE267" s="21">
        <f>100*(AE133-AE132)</f>
        <v/>
      </c>
      <c r="AF267" s="21">
        <f>100*(AF133-AF132)</f>
        <v/>
      </c>
      <c r="AG267" s="21">
        <f>100*(AG133-AG132)</f>
        <v/>
      </c>
      <c r="AH267" s="21">
        <f>100*(AH133-AH132)</f>
        <v/>
      </c>
      <c r="AI267" s="21">
        <f>100*(AI133-AI132)</f>
        <v/>
      </c>
      <c r="AJ267" s="21">
        <f>100*(AJ133-AJ132)</f>
        <v/>
      </c>
      <c r="AK267" s="21">
        <f>100*(AK133-AK132)</f>
        <v/>
      </c>
      <c r="AL267" s="21">
        <f>100*(AL133-AL132)</f>
        <v/>
      </c>
      <c r="AM267" s="21">
        <f>100*(AM133-AM132)</f>
        <v/>
      </c>
      <c r="AN267" s="21">
        <f>100*(AN133-AN132)</f>
        <v/>
      </c>
      <c r="AO267" s="21">
        <f>100*(AO133-AO132)</f>
        <v/>
      </c>
      <c r="AP267" s="21">
        <f>100*(AP133-AP132)</f>
        <v/>
      </c>
      <c r="AQ267" s="21">
        <f>100*(AQ133-AQ132)</f>
        <v/>
      </c>
      <c r="AR267" s="21">
        <f>100*(AR133-AR132)</f>
        <v/>
      </c>
      <c r="AS267" s="21">
        <f>100*(AS133-AS132)</f>
        <v/>
      </c>
      <c r="AT267" s="21">
        <f>100*(AT133-AT132)</f>
        <v/>
      </c>
      <c r="AU267" s="21">
        <f>100*(AU133-AU132)</f>
        <v/>
      </c>
      <c r="AV267" s="21">
        <f>AVERAGE(C267:AU267)</f>
        <v/>
      </c>
    </row>
    <row r="268">
      <c r="A268" s="19">
        <f>A134</f>
        <v/>
      </c>
      <c r="B268" s="20">
        <f>B134</f>
        <v/>
      </c>
      <c r="C268" s="21">
        <f>100*(C134-C133)</f>
        <v/>
      </c>
      <c r="D268" s="21">
        <f>100*(D134-D133)</f>
        <v/>
      </c>
      <c r="E268" s="21">
        <f>100*(E134-E133)</f>
        <v/>
      </c>
      <c r="F268" s="21">
        <f>100*(F134-F133)</f>
        <v/>
      </c>
      <c r="G268" s="21">
        <f>100*(G134-G133)</f>
        <v/>
      </c>
      <c r="H268" s="21">
        <f>100*(H134-H133)</f>
        <v/>
      </c>
      <c r="I268" s="21">
        <f>100*(I134-I133)</f>
        <v/>
      </c>
      <c r="J268" s="21">
        <f>100*(J134-J133)</f>
        <v/>
      </c>
      <c r="K268" s="21">
        <f>100*(K134-K133)</f>
        <v/>
      </c>
      <c r="L268" s="21">
        <f>100*(L134-L133)</f>
        <v/>
      </c>
      <c r="M268" s="21">
        <f>100*(M134-M133)</f>
        <v/>
      </c>
      <c r="N268" s="21">
        <f>100*(N134-N133)</f>
        <v/>
      </c>
      <c r="O268" s="21">
        <f>100*(O134-O133)</f>
        <v/>
      </c>
      <c r="P268" s="21">
        <f>100*(P134-P133)</f>
        <v/>
      </c>
      <c r="Q268" s="21">
        <f>100*(Q134-Q133)</f>
        <v/>
      </c>
      <c r="R268" s="21">
        <f>100*(R134-R133)</f>
        <v/>
      </c>
      <c r="S268" s="21">
        <f>100*(S134-S133)</f>
        <v/>
      </c>
      <c r="T268" s="21">
        <f>100*(T134-T133)</f>
        <v/>
      </c>
      <c r="U268" s="21">
        <f>100*(U134-U133)</f>
        <v/>
      </c>
      <c r="V268" s="21">
        <f>100*(V134-V133)</f>
        <v/>
      </c>
      <c r="W268" s="21">
        <f>100*(W134-W133)</f>
        <v/>
      </c>
      <c r="X268" s="21">
        <f>100*(X134-X133)</f>
        <v/>
      </c>
      <c r="Y268" s="21">
        <f>100*(Y134-Y133)</f>
        <v/>
      </c>
      <c r="Z268" s="21">
        <f>100*(Z134-Z133)</f>
        <v/>
      </c>
      <c r="AA268" s="21">
        <f>100*(AA134-AA133)</f>
        <v/>
      </c>
      <c r="AB268" s="21">
        <f>100*(AB134-AB133)</f>
        <v/>
      </c>
      <c r="AC268" s="21">
        <f>100*(AC134-AC133)</f>
        <v/>
      </c>
      <c r="AD268" s="21">
        <f>100*(AD134-AD133)</f>
        <v/>
      </c>
      <c r="AE268" s="21">
        <f>100*(AE134-AE133)</f>
        <v/>
      </c>
      <c r="AF268" s="21">
        <f>100*(AF134-AF133)</f>
        <v/>
      </c>
      <c r="AG268" s="21">
        <f>100*(AG134-AG133)</f>
        <v/>
      </c>
      <c r="AH268" s="21">
        <f>100*(AH134-AH133)</f>
        <v/>
      </c>
      <c r="AI268" s="21">
        <f>100*(AI134-AI133)</f>
        <v/>
      </c>
      <c r="AJ268" s="21">
        <f>100*(AJ134-AJ133)</f>
        <v/>
      </c>
      <c r="AK268" s="21">
        <f>100*(AK134-AK133)</f>
        <v/>
      </c>
      <c r="AL268" s="21">
        <f>100*(AL134-AL133)</f>
        <v/>
      </c>
      <c r="AM268" s="21">
        <f>100*(AM134-AM133)</f>
        <v/>
      </c>
      <c r="AN268" s="21">
        <f>100*(AN134-AN133)</f>
        <v/>
      </c>
      <c r="AO268" s="21">
        <f>100*(AO134-AO133)</f>
        <v/>
      </c>
      <c r="AP268" s="21">
        <f>100*(AP134-AP133)</f>
        <v/>
      </c>
      <c r="AQ268" s="21">
        <f>100*(AQ134-AQ133)</f>
        <v/>
      </c>
      <c r="AR268" s="21">
        <f>100*(AR134-AR133)</f>
        <v/>
      </c>
      <c r="AS268" s="21">
        <f>100*(AS134-AS133)</f>
        <v/>
      </c>
      <c r="AT268" s="21">
        <f>100*(AT134-AT133)</f>
        <v/>
      </c>
      <c r="AU268" s="21">
        <f>100*(AU134-AU133)</f>
        <v/>
      </c>
      <c r="AV268" s="21">
        <f>AVERAGE(C268:AU268)</f>
        <v/>
      </c>
    </row>
    <row r="269">
      <c r="A269" s="19">
        <f>A135</f>
        <v/>
      </c>
      <c r="B269" s="20">
        <f>B135</f>
        <v/>
      </c>
      <c r="C269" s="21">
        <f>100*(C135-C134)</f>
        <v/>
      </c>
      <c r="D269" s="21">
        <f>100*(D135-D134)</f>
        <v/>
      </c>
      <c r="E269" s="21">
        <f>100*(E135-E134)</f>
        <v/>
      </c>
      <c r="F269" s="21">
        <f>100*(F135-F134)</f>
        <v/>
      </c>
      <c r="G269" s="21">
        <f>100*(G135-G134)</f>
        <v/>
      </c>
      <c r="H269" s="21">
        <f>100*(H135-H134)</f>
        <v/>
      </c>
      <c r="I269" s="21">
        <f>100*(I135-I134)</f>
        <v/>
      </c>
      <c r="J269" s="21">
        <f>100*(J135-J134)</f>
        <v/>
      </c>
      <c r="K269" s="21">
        <f>100*(K135-K134)</f>
        <v/>
      </c>
      <c r="L269" s="21">
        <f>100*(L135-L134)</f>
        <v/>
      </c>
      <c r="M269" s="21">
        <f>100*(M135-M134)</f>
        <v/>
      </c>
      <c r="N269" s="21">
        <f>100*(N135-N134)</f>
        <v/>
      </c>
      <c r="O269" s="21">
        <f>100*(O135-O134)</f>
        <v/>
      </c>
      <c r="P269" s="21">
        <f>100*(P135-P134)</f>
        <v/>
      </c>
      <c r="Q269" s="21">
        <f>100*(Q135-Q134)</f>
        <v/>
      </c>
      <c r="R269" s="21">
        <f>100*(R135-R134)</f>
        <v/>
      </c>
      <c r="S269" s="21">
        <f>100*(S135-S134)</f>
        <v/>
      </c>
      <c r="T269" s="21">
        <f>100*(T135-T134)</f>
        <v/>
      </c>
      <c r="U269" s="21">
        <f>100*(U135-U134)</f>
        <v/>
      </c>
      <c r="V269" s="21">
        <f>100*(V135-V134)</f>
        <v/>
      </c>
      <c r="W269" s="21">
        <f>100*(W135-W134)</f>
        <v/>
      </c>
      <c r="X269" s="21">
        <f>100*(X135-X134)</f>
        <v/>
      </c>
      <c r="Y269" s="21">
        <f>100*(Y135-Y134)</f>
        <v/>
      </c>
      <c r="Z269" s="21">
        <f>100*(Z135-Z134)</f>
        <v/>
      </c>
      <c r="AA269" s="21">
        <f>100*(AA135-AA134)</f>
        <v/>
      </c>
      <c r="AB269" s="21">
        <f>100*(AB135-AB134)</f>
        <v/>
      </c>
      <c r="AC269" s="21">
        <f>100*(AC135-AC134)</f>
        <v/>
      </c>
      <c r="AD269" s="21">
        <f>100*(AD135-AD134)</f>
        <v/>
      </c>
      <c r="AE269" s="21">
        <f>100*(AE135-AE134)</f>
        <v/>
      </c>
      <c r="AF269" s="21">
        <f>100*(AF135-AF134)</f>
        <v/>
      </c>
      <c r="AG269" s="21">
        <f>100*(AG135-AG134)</f>
        <v/>
      </c>
      <c r="AH269" s="21">
        <f>100*(AH135-AH134)</f>
        <v/>
      </c>
      <c r="AI269" s="21">
        <f>100*(AI135-AI134)</f>
        <v/>
      </c>
      <c r="AJ269" s="21">
        <f>100*(AJ135-AJ134)</f>
        <v/>
      </c>
      <c r="AK269" s="21">
        <f>100*(AK135-AK134)</f>
        <v/>
      </c>
      <c r="AL269" s="21">
        <f>100*(AL135-AL134)</f>
        <v/>
      </c>
      <c r="AM269" s="21">
        <f>100*(AM135-AM134)</f>
        <v/>
      </c>
      <c r="AN269" s="21">
        <f>100*(AN135-AN134)</f>
        <v/>
      </c>
      <c r="AO269" s="21">
        <f>100*(AO135-AO134)</f>
        <v/>
      </c>
      <c r="AP269" s="21">
        <f>100*(AP135-AP134)</f>
        <v/>
      </c>
      <c r="AQ269" s="21">
        <f>100*(AQ135-AQ134)</f>
        <v/>
      </c>
      <c r="AR269" s="21">
        <f>100*(AR135-AR134)</f>
        <v/>
      </c>
      <c r="AS269" s="21">
        <f>100*(AS135-AS134)</f>
        <v/>
      </c>
      <c r="AT269" s="21">
        <f>100*(AT135-AT134)</f>
        <v/>
      </c>
      <c r="AU269" s="21">
        <f>100*(AU135-AU134)</f>
        <v/>
      </c>
      <c r="AV269" s="21">
        <f>AVERAGE(C269:AU269)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5" t="inlineStr">
        <is>
          <t>A4: 1 5/8% Treasury Gilt 2028, auction 15 Mar 2018 - M2 with control B-β (decision #13)</t>
        </is>
      </c>
    </row>
    <row r="3">
      <c r="A3" s="3" t="inlineStr">
        <is>
          <t>k</t>
        </is>
      </c>
      <c r="B3" s="3" t="inlineStr">
        <is>
          <t>Date</t>
        </is>
      </c>
      <c r="C3" s="3" t="inlineStr">
        <is>
          <t>Model yield y (%)</t>
        </is>
      </c>
      <c r="D3" s="3" t="inlineStr">
        <is>
          <t>Δy (bp)</t>
        </is>
      </c>
      <c r="E3" s="3" t="inlineStr">
        <is>
          <t>Δc (bp), from control sheet</t>
        </is>
      </c>
      <c r="F3" s="3" t="inlineStr">
        <is>
          <t>In β window (1/0)</t>
        </is>
      </c>
      <c r="G3" s="3" t="inlineStr">
        <is>
          <t>AR B-β = Δy - β·Δc</t>
        </is>
      </c>
      <c r="H3" s="3" t="inlineStr">
        <is>
          <t>CAR B-β (base T-6)</t>
        </is>
      </c>
      <c r="I3" s="3" t="inlineStr">
        <is>
          <t>AR B (β = 1)</t>
        </is>
      </c>
      <c r="J3" s="3" t="inlineStr">
        <is>
          <t>CAR B</t>
        </is>
      </c>
      <c r="K3" s="3" t="inlineStr">
        <is>
          <t>Raw cumulative Δy</t>
        </is>
      </c>
    </row>
    <row r="4">
      <c r="A4" s="9" t="n">
        <v>-121</v>
      </c>
      <c r="B4" s="7" t="n">
        <v>43000</v>
      </c>
      <c r="C4" s="14" t="n">
        <v>1.43713402977</v>
      </c>
      <c r="F4" s="9" t="n">
        <v>0</v>
      </c>
    </row>
    <row r="5">
      <c r="A5" s="9" t="n">
        <v>-120</v>
      </c>
      <c r="B5" s="7" t="n">
        <v>43003</v>
      </c>
      <c r="C5" s="14" t="n">
        <v>1.40732565093</v>
      </c>
      <c r="D5" s="21">
        <f>100*(C5-C4)</f>
        <v/>
      </c>
      <c r="E5" s="22">
        <f>'A4 control'!AV139</f>
        <v/>
      </c>
      <c r="F5" s="9" t="n">
        <v>1</v>
      </c>
    </row>
    <row r="6">
      <c r="A6" s="9" t="n">
        <v>-119</v>
      </c>
      <c r="B6" s="7" t="n">
        <v>43004</v>
      </c>
      <c r="C6" s="14" t="n">
        <v>1.40813176145</v>
      </c>
      <c r="D6" s="21">
        <f>100*(C6-C5)</f>
        <v/>
      </c>
      <c r="E6" s="22">
        <f>'A4 control'!AV140</f>
        <v/>
      </c>
      <c r="F6" s="9" t="n">
        <v>1</v>
      </c>
    </row>
    <row r="7">
      <c r="A7" s="9" t="n">
        <v>-118</v>
      </c>
      <c r="B7" s="7" t="n">
        <v>43005</v>
      </c>
      <c r="C7" s="14" t="n">
        <v>1.45398558972</v>
      </c>
      <c r="D7" s="21">
        <f>100*(C7-C6)</f>
        <v/>
      </c>
      <c r="E7" s="22">
        <f>'A4 control'!AV141</f>
        <v/>
      </c>
      <c r="F7" s="9" t="n">
        <v>1</v>
      </c>
    </row>
    <row r="8">
      <c r="A8" s="9" t="n">
        <v>-117</v>
      </c>
      <c r="B8" s="7" t="n">
        <v>43006</v>
      </c>
      <c r="C8" s="14" t="n">
        <v>1.45403736943</v>
      </c>
      <c r="D8" s="21">
        <f>100*(C8-C7)</f>
        <v/>
      </c>
      <c r="E8" s="22">
        <f>'A4 control'!AV142</f>
        <v/>
      </c>
      <c r="F8" s="9" t="n">
        <v>1</v>
      </c>
    </row>
    <row r="9">
      <c r="A9" s="9" t="n">
        <v>-116</v>
      </c>
      <c r="B9" s="7" t="n">
        <v>43007</v>
      </c>
      <c r="C9" s="14" t="n">
        <v>1.43145111952</v>
      </c>
      <c r="D9" s="21">
        <f>100*(C9-C8)</f>
        <v/>
      </c>
      <c r="E9" s="22">
        <f>'A4 control'!AV143</f>
        <v/>
      </c>
      <c r="F9" s="9" t="n">
        <v>1</v>
      </c>
    </row>
    <row r="10">
      <c r="A10" s="9" t="n">
        <v>-115</v>
      </c>
      <c r="B10" s="7" t="n">
        <v>43010</v>
      </c>
      <c r="C10" s="14" t="n">
        <v>1.39917234039</v>
      </c>
      <c r="D10" s="21">
        <f>100*(C10-C9)</f>
        <v/>
      </c>
      <c r="E10" s="22">
        <f>'A4 control'!AV144</f>
        <v/>
      </c>
      <c r="F10" s="9" t="n">
        <v>1</v>
      </c>
    </row>
    <row r="11">
      <c r="A11" s="9" t="n">
        <v>-114</v>
      </c>
      <c r="B11" s="7" t="n">
        <v>43011</v>
      </c>
      <c r="C11" s="14" t="n">
        <v>1.43006857853</v>
      </c>
      <c r="D11" s="21">
        <f>100*(C11-C10)</f>
        <v/>
      </c>
      <c r="E11" s="22">
        <f>'A4 control'!AV145</f>
        <v/>
      </c>
      <c r="F11" s="9" t="n">
        <v>1</v>
      </c>
    </row>
    <row r="12">
      <c r="A12" s="9" t="n">
        <v>-113</v>
      </c>
      <c r="B12" s="7" t="n">
        <v>43012</v>
      </c>
      <c r="C12" s="14" t="n">
        <v>1.44311566931</v>
      </c>
      <c r="D12" s="21">
        <f>100*(C12-C11)</f>
        <v/>
      </c>
      <c r="E12" s="22">
        <f>'A4 control'!AV146</f>
        <v/>
      </c>
      <c r="F12" s="9" t="n">
        <v>1</v>
      </c>
    </row>
    <row r="13">
      <c r="A13" s="9" t="n">
        <v>-112</v>
      </c>
      <c r="B13" s="7" t="n">
        <v>43013</v>
      </c>
      <c r="C13" s="14" t="n">
        <v>1.46154074002</v>
      </c>
      <c r="D13" s="21">
        <f>100*(C13-C12)</f>
        <v/>
      </c>
      <c r="E13" s="22">
        <f>'A4 control'!AV147</f>
        <v/>
      </c>
      <c r="F13" s="9" t="n">
        <v>1</v>
      </c>
    </row>
    <row r="14">
      <c r="A14" s="9" t="n">
        <v>-111</v>
      </c>
      <c r="B14" s="7" t="n">
        <v>43014</v>
      </c>
      <c r="C14" s="14" t="n">
        <v>1.44255513823</v>
      </c>
      <c r="D14" s="21">
        <f>100*(C14-C13)</f>
        <v/>
      </c>
      <c r="E14" s="22">
        <f>'A4 control'!AV148</f>
        <v/>
      </c>
      <c r="F14" s="9" t="n">
        <v>1</v>
      </c>
    </row>
    <row r="15">
      <c r="A15" s="9" t="n">
        <v>-110</v>
      </c>
      <c r="B15" s="7" t="n">
        <v>43017</v>
      </c>
      <c r="C15" s="14" t="n">
        <v>1.43521729775</v>
      </c>
      <c r="D15" s="21">
        <f>100*(C15-C14)</f>
        <v/>
      </c>
      <c r="E15" s="22">
        <f>'A4 control'!AV149</f>
        <v/>
      </c>
      <c r="F15" s="9" t="n">
        <v>1</v>
      </c>
    </row>
    <row r="16">
      <c r="A16" s="9" t="n">
        <v>-109</v>
      </c>
      <c r="B16" s="7" t="n">
        <v>43018</v>
      </c>
      <c r="C16" s="14" t="n">
        <v>1.44182706239</v>
      </c>
      <c r="D16" s="21">
        <f>100*(C16-C15)</f>
        <v/>
      </c>
      <c r="E16" s="22">
        <f>'A4 control'!AV150</f>
        <v/>
      </c>
      <c r="F16" s="9" t="n">
        <v>1</v>
      </c>
    </row>
    <row r="17">
      <c r="A17" s="9" t="n">
        <v>-108</v>
      </c>
      <c r="B17" s="7" t="n">
        <v>43019</v>
      </c>
      <c r="C17" s="14" t="n">
        <v>1.45453023944</v>
      </c>
      <c r="D17" s="21">
        <f>100*(C17-C16)</f>
        <v/>
      </c>
      <c r="E17" s="22">
        <f>'A4 control'!AV151</f>
        <v/>
      </c>
      <c r="F17" s="9" t="n">
        <v>1</v>
      </c>
    </row>
    <row r="18">
      <c r="A18" s="9" t="n">
        <v>-107</v>
      </c>
      <c r="B18" s="7" t="n">
        <v>43020</v>
      </c>
      <c r="C18" s="14" t="n">
        <v>1.45386729622</v>
      </c>
      <c r="D18" s="21">
        <f>100*(C18-C17)</f>
        <v/>
      </c>
      <c r="E18" s="22">
        <f>'A4 control'!AV152</f>
        <v/>
      </c>
      <c r="F18" s="9" t="n">
        <v>1</v>
      </c>
    </row>
    <row r="19">
      <c r="A19" s="9" t="n">
        <v>-106</v>
      </c>
      <c r="B19" s="7" t="n">
        <v>43021</v>
      </c>
      <c r="C19" s="14" t="n">
        <v>1.44236000397</v>
      </c>
      <c r="D19" s="21">
        <f>100*(C19-C18)</f>
        <v/>
      </c>
      <c r="E19" s="22">
        <f>'A4 control'!AV153</f>
        <v/>
      </c>
      <c r="F19" s="9" t="n">
        <v>1</v>
      </c>
    </row>
    <row r="20">
      <c r="A20" s="9" t="n">
        <v>-105</v>
      </c>
      <c r="B20" s="7" t="n">
        <v>43024</v>
      </c>
      <c r="C20" s="14" t="n">
        <v>1.41556405059</v>
      </c>
      <c r="D20" s="21">
        <f>100*(C20-C19)</f>
        <v/>
      </c>
      <c r="E20" s="22">
        <f>'A4 control'!AV154</f>
        <v/>
      </c>
      <c r="F20" s="9" t="n">
        <v>1</v>
      </c>
    </row>
    <row r="21">
      <c r="A21" s="9" t="n">
        <v>-104</v>
      </c>
      <c r="B21" s="7" t="n">
        <v>43025</v>
      </c>
      <c r="C21" s="14" t="n">
        <v>1.3599904766</v>
      </c>
      <c r="D21" s="21">
        <f>100*(C21-C20)</f>
        <v/>
      </c>
      <c r="E21" s="22">
        <f>'A4 control'!AV155</f>
        <v/>
      </c>
      <c r="F21" s="9" t="n">
        <v>1</v>
      </c>
    </row>
    <row r="22">
      <c r="A22" s="9" t="n">
        <v>-103</v>
      </c>
      <c r="B22" s="7" t="n">
        <v>43026</v>
      </c>
      <c r="C22" s="14" t="n">
        <v>1.39135044653</v>
      </c>
      <c r="D22" s="21">
        <f>100*(C22-C21)</f>
        <v/>
      </c>
      <c r="E22" s="22">
        <f>'A4 control'!AV156</f>
        <v/>
      </c>
      <c r="F22" s="9" t="n">
        <v>1</v>
      </c>
    </row>
    <row r="23">
      <c r="A23" s="9" t="n">
        <v>-102</v>
      </c>
      <c r="B23" s="7" t="n">
        <v>43027</v>
      </c>
      <c r="C23" s="14" t="n">
        <v>1.3515678934</v>
      </c>
      <c r="D23" s="21">
        <f>100*(C23-C22)</f>
        <v/>
      </c>
      <c r="E23" s="22">
        <f>'A4 control'!AV157</f>
        <v/>
      </c>
      <c r="F23" s="9" t="n">
        <v>1</v>
      </c>
    </row>
    <row r="24">
      <c r="A24" s="9" t="n">
        <v>-101</v>
      </c>
      <c r="B24" s="7" t="n">
        <v>43028</v>
      </c>
      <c r="C24" s="14" t="n">
        <v>1.41068279146</v>
      </c>
      <c r="D24" s="21">
        <f>100*(C24-C23)</f>
        <v/>
      </c>
      <c r="E24" s="22">
        <f>'A4 control'!AV158</f>
        <v/>
      </c>
      <c r="F24" s="9" t="n">
        <v>1</v>
      </c>
    </row>
    <row r="25">
      <c r="A25" s="9" t="n">
        <v>-100</v>
      </c>
      <c r="B25" s="7" t="n">
        <v>43031</v>
      </c>
      <c r="C25" s="14" t="n">
        <v>1.39006874601</v>
      </c>
      <c r="D25" s="21">
        <f>100*(C25-C24)</f>
        <v/>
      </c>
      <c r="E25" s="22">
        <f>'A4 control'!AV159</f>
        <v/>
      </c>
      <c r="F25" s="9" t="n">
        <v>1</v>
      </c>
    </row>
    <row r="26">
      <c r="A26" s="9" t="n">
        <v>-99</v>
      </c>
      <c r="B26" s="7" t="n">
        <v>43032</v>
      </c>
      <c r="C26" s="14" t="n">
        <v>1.43487698647</v>
      </c>
      <c r="D26" s="21">
        <f>100*(C26-C25)</f>
        <v/>
      </c>
      <c r="E26" s="22">
        <f>'A4 control'!AV160</f>
        <v/>
      </c>
      <c r="F26" s="9" t="n">
        <v>1</v>
      </c>
    </row>
    <row r="27">
      <c r="A27" s="9" t="n">
        <v>-98</v>
      </c>
      <c r="B27" s="7" t="n">
        <v>43033</v>
      </c>
      <c r="C27" s="14" t="n">
        <v>1.49473295096</v>
      </c>
      <c r="D27" s="21">
        <f>100*(C27-C26)</f>
        <v/>
      </c>
      <c r="E27" s="22">
        <f>'A4 control'!AV161</f>
        <v/>
      </c>
      <c r="F27" s="9" t="n">
        <v>1</v>
      </c>
    </row>
    <row r="28">
      <c r="A28" s="9" t="n">
        <v>-97</v>
      </c>
      <c r="B28" s="7" t="n">
        <v>43034</v>
      </c>
      <c r="C28" s="14" t="n">
        <v>1.48654663485</v>
      </c>
      <c r="D28" s="21">
        <f>100*(C28-C27)</f>
        <v/>
      </c>
      <c r="E28" s="22">
        <f>'A4 control'!AV162</f>
        <v/>
      </c>
      <c r="F28" s="9" t="n">
        <v>1</v>
      </c>
    </row>
    <row r="29">
      <c r="A29" s="9" t="n">
        <v>-96</v>
      </c>
      <c r="B29" s="7" t="n">
        <v>43035</v>
      </c>
      <c r="C29" s="14" t="n">
        <v>1.44292339568</v>
      </c>
      <c r="D29" s="21">
        <f>100*(C29-C28)</f>
        <v/>
      </c>
      <c r="E29" s="22">
        <f>'A4 control'!AV163</f>
        <v/>
      </c>
      <c r="F29" s="9" t="n">
        <v>1</v>
      </c>
    </row>
    <row r="30">
      <c r="A30" s="9" t="n">
        <v>-95</v>
      </c>
      <c r="B30" s="7" t="n">
        <v>43038</v>
      </c>
      <c r="C30" s="14" t="n">
        <v>1.41572633009</v>
      </c>
      <c r="D30" s="21">
        <f>100*(C30-C29)</f>
        <v/>
      </c>
      <c r="E30" s="22">
        <f>'A4 control'!AV164</f>
        <v/>
      </c>
      <c r="F30" s="9" t="n">
        <v>1</v>
      </c>
    </row>
    <row r="31">
      <c r="A31" s="9" t="n">
        <v>-94</v>
      </c>
      <c r="B31" s="7" t="n">
        <v>43039</v>
      </c>
      <c r="C31" s="14" t="n">
        <v>1.41994349964</v>
      </c>
      <c r="D31" s="21">
        <f>100*(C31-C30)</f>
        <v/>
      </c>
      <c r="E31" s="22">
        <f>'A4 control'!AV165</f>
        <v/>
      </c>
      <c r="F31" s="9" t="n">
        <v>1</v>
      </c>
    </row>
    <row r="32">
      <c r="A32" s="9" t="n">
        <v>-93</v>
      </c>
      <c r="B32" s="7" t="n">
        <v>43040</v>
      </c>
      <c r="C32" s="14" t="n">
        <v>1.43221467443</v>
      </c>
      <c r="D32" s="21">
        <f>100*(C32-C31)</f>
        <v/>
      </c>
      <c r="E32" s="22">
        <f>'A4 control'!AV166</f>
        <v/>
      </c>
      <c r="F32" s="9" t="n">
        <v>1</v>
      </c>
    </row>
    <row r="33">
      <c r="A33" s="9" t="n">
        <v>-92</v>
      </c>
      <c r="B33" s="7" t="n">
        <v>43041</v>
      </c>
      <c r="C33" s="14" t="n">
        <v>1.34955994359</v>
      </c>
      <c r="D33" s="21">
        <f>100*(C33-C32)</f>
        <v/>
      </c>
      <c r="E33" s="22">
        <f>'A4 control'!AV167</f>
        <v/>
      </c>
      <c r="F33" s="9" t="n">
        <v>1</v>
      </c>
    </row>
    <row r="34">
      <c r="A34" s="9" t="n">
        <v>-91</v>
      </c>
      <c r="B34" s="7" t="n">
        <v>43042</v>
      </c>
      <c r="C34" s="14" t="n">
        <v>1.35233012385</v>
      </c>
      <c r="D34" s="21">
        <f>100*(C34-C33)</f>
        <v/>
      </c>
      <c r="E34" s="22">
        <f>'A4 control'!AV168</f>
        <v/>
      </c>
      <c r="F34" s="9" t="n">
        <v>1</v>
      </c>
    </row>
    <row r="35">
      <c r="A35" s="9" t="n">
        <v>-90</v>
      </c>
      <c r="B35" s="7" t="n">
        <v>43045</v>
      </c>
      <c r="C35" s="14" t="n">
        <v>1.3449546342</v>
      </c>
      <c r="D35" s="21">
        <f>100*(C35-C34)</f>
        <v/>
      </c>
      <c r="E35" s="22">
        <f>'A4 control'!AV169</f>
        <v/>
      </c>
      <c r="F35" s="9" t="n">
        <v>1</v>
      </c>
    </row>
    <row r="36">
      <c r="A36" s="9" t="n">
        <v>-89</v>
      </c>
      <c r="B36" s="7" t="n">
        <v>43046</v>
      </c>
      <c r="C36" s="14" t="n">
        <v>1.32775870069</v>
      </c>
      <c r="D36" s="21">
        <f>100*(C36-C35)</f>
        <v/>
      </c>
      <c r="E36" s="22">
        <f>'A4 control'!AV170</f>
        <v/>
      </c>
      <c r="F36" s="9" t="n">
        <v>1</v>
      </c>
    </row>
    <row r="37">
      <c r="A37" s="9" t="n">
        <v>-88</v>
      </c>
      <c r="B37" s="7" t="n">
        <v>43047</v>
      </c>
      <c r="C37" s="14" t="n">
        <v>1.29647597373</v>
      </c>
      <c r="D37" s="21">
        <f>100*(C37-C36)</f>
        <v/>
      </c>
      <c r="E37" s="22">
        <f>'A4 control'!AV171</f>
        <v/>
      </c>
      <c r="F37" s="9" t="n">
        <v>1</v>
      </c>
    </row>
    <row r="38">
      <c r="A38" s="9" t="n">
        <v>-87</v>
      </c>
      <c r="B38" s="7" t="n">
        <v>43048</v>
      </c>
      <c r="C38" s="14" t="n">
        <v>1.34973418419</v>
      </c>
      <c r="D38" s="21">
        <f>100*(C38-C37)</f>
        <v/>
      </c>
      <c r="E38" s="22">
        <f>'A4 control'!AV172</f>
        <v/>
      </c>
      <c r="F38" s="9" t="n">
        <v>1</v>
      </c>
    </row>
    <row r="39">
      <c r="A39" s="9" t="n">
        <v>-86</v>
      </c>
      <c r="B39" s="7" t="n">
        <v>43049</v>
      </c>
      <c r="C39" s="14" t="n">
        <v>1.42895287561</v>
      </c>
      <c r="D39" s="21">
        <f>100*(C39-C38)</f>
        <v/>
      </c>
      <c r="E39" s="22">
        <f>'A4 control'!AV173</f>
        <v/>
      </c>
      <c r="F39" s="9" t="n">
        <v>1</v>
      </c>
    </row>
    <row r="40">
      <c r="A40" s="9" t="n">
        <v>-85</v>
      </c>
      <c r="B40" s="7" t="n">
        <v>43052</v>
      </c>
      <c r="C40" s="14" t="n">
        <v>1.41986720904</v>
      </c>
      <c r="D40" s="21">
        <f>100*(C40-C39)</f>
        <v/>
      </c>
      <c r="E40" s="22">
        <f>'A4 control'!AV174</f>
        <v/>
      </c>
      <c r="F40" s="9" t="n">
        <v>1</v>
      </c>
    </row>
    <row r="41">
      <c r="A41" s="9" t="n">
        <v>-84</v>
      </c>
      <c r="B41" s="7" t="n">
        <v>43053</v>
      </c>
      <c r="C41" s="14" t="n">
        <v>1.40201564205</v>
      </c>
      <c r="D41" s="21">
        <f>100*(C41-C40)</f>
        <v/>
      </c>
      <c r="E41" s="22">
        <f>'A4 control'!AV175</f>
        <v/>
      </c>
      <c r="F41" s="9" t="n">
        <v>1</v>
      </c>
    </row>
    <row r="42">
      <c r="A42" s="9" t="n">
        <v>-83</v>
      </c>
      <c r="B42" s="7" t="n">
        <v>43054</v>
      </c>
      <c r="C42" s="14" t="n">
        <v>1.37763792487</v>
      </c>
      <c r="D42" s="21">
        <f>100*(C42-C41)</f>
        <v/>
      </c>
      <c r="E42" s="22">
        <f>'A4 control'!AV176</f>
        <v/>
      </c>
      <c r="F42" s="9" t="n">
        <v>1</v>
      </c>
    </row>
    <row r="43">
      <c r="A43" s="9" t="n">
        <v>-82</v>
      </c>
      <c r="B43" s="7" t="n">
        <v>43055</v>
      </c>
      <c r="C43" s="14" t="n">
        <v>1.39173026004</v>
      </c>
      <c r="D43" s="21">
        <f>100*(C43-C42)</f>
        <v/>
      </c>
      <c r="E43" s="22">
        <f>'A4 control'!AV177</f>
        <v/>
      </c>
      <c r="F43" s="9" t="n">
        <v>1</v>
      </c>
    </row>
    <row r="44">
      <c r="A44" s="9" t="n">
        <v>-81</v>
      </c>
      <c r="B44" s="7" t="n">
        <v>43056</v>
      </c>
      <c r="C44" s="14" t="n">
        <v>1.39185917163</v>
      </c>
      <c r="D44" s="21">
        <f>100*(C44-C43)</f>
        <v/>
      </c>
      <c r="E44" s="22">
        <f>'A4 control'!AV178</f>
        <v/>
      </c>
      <c r="F44" s="9" t="n">
        <v>1</v>
      </c>
    </row>
    <row r="45">
      <c r="A45" s="9" t="n">
        <v>-80</v>
      </c>
      <c r="B45" s="7" t="n">
        <v>43059</v>
      </c>
      <c r="C45" s="14" t="n">
        <v>1.36904379723</v>
      </c>
      <c r="D45" s="21">
        <f>100*(C45-C44)</f>
        <v/>
      </c>
      <c r="E45" s="22">
        <f>'A4 control'!AV179</f>
        <v/>
      </c>
      <c r="F45" s="9" t="n">
        <v>1</v>
      </c>
    </row>
    <row r="46">
      <c r="A46" s="9" t="n">
        <v>-79</v>
      </c>
      <c r="B46" s="7" t="n">
        <v>43060</v>
      </c>
      <c r="C46" s="14" t="n">
        <v>1.35772855335</v>
      </c>
      <c r="D46" s="21">
        <f>100*(C46-C45)</f>
        <v/>
      </c>
      <c r="E46" s="22">
        <f>'A4 control'!AV180</f>
        <v/>
      </c>
      <c r="F46" s="9" t="n">
        <v>1</v>
      </c>
    </row>
    <row r="47">
      <c r="A47" s="9" t="n">
        <v>-78</v>
      </c>
      <c r="B47" s="7" t="n">
        <v>43061</v>
      </c>
      <c r="C47" s="14" t="n">
        <v>1.36234426269</v>
      </c>
      <c r="D47" s="21">
        <f>100*(C47-C46)</f>
        <v/>
      </c>
      <c r="E47" s="22">
        <f>'A4 control'!AV181</f>
        <v/>
      </c>
      <c r="F47" s="9" t="n">
        <v>1</v>
      </c>
    </row>
    <row r="48">
      <c r="A48" s="9" t="n">
        <v>-77</v>
      </c>
      <c r="B48" s="7" t="n">
        <v>43062</v>
      </c>
      <c r="C48" s="14" t="n">
        <v>1.33626270554</v>
      </c>
      <c r="D48" s="21">
        <f>100*(C48-C47)</f>
        <v/>
      </c>
      <c r="E48" s="22">
        <f>'A4 control'!AV182</f>
        <v/>
      </c>
      <c r="F48" s="9" t="n">
        <v>1</v>
      </c>
    </row>
    <row r="49">
      <c r="A49" s="9" t="n">
        <v>-76</v>
      </c>
      <c r="B49" s="7" t="n">
        <v>43063</v>
      </c>
      <c r="C49" s="14" t="n">
        <v>1.33471811042</v>
      </c>
      <c r="D49" s="21">
        <f>100*(C49-C48)</f>
        <v/>
      </c>
      <c r="E49" s="22">
        <f>'A4 control'!AV183</f>
        <v/>
      </c>
      <c r="F49" s="9" t="n">
        <v>1</v>
      </c>
    </row>
    <row r="50">
      <c r="A50" s="9" t="n">
        <v>-75</v>
      </c>
      <c r="B50" s="7" t="n">
        <v>43066</v>
      </c>
      <c r="C50" s="14" t="n">
        <v>1.34596791993</v>
      </c>
      <c r="D50" s="21">
        <f>100*(C50-C49)</f>
        <v/>
      </c>
      <c r="E50" s="22">
        <f>'A4 control'!AV184</f>
        <v/>
      </c>
      <c r="F50" s="9" t="n">
        <v>1</v>
      </c>
    </row>
    <row r="51">
      <c r="A51" s="9" t="n">
        <v>-74</v>
      </c>
      <c r="B51" s="7" t="n">
        <v>43067</v>
      </c>
      <c r="C51" s="14" t="n">
        <v>1.34189281735</v>
      </c>
      <c r="D51" s="21">
        <f>100*(C51-C50)</f>
        <v/>
      </c>
      <c r="E51" s="22">
        <f>'A4 control'!AV185</f>
        <v/>
      </c>
      <c r="F51" s="9" t="n">
        <v>1</v>
      </c>
    </row>
    <row r="52">
      <c r="A52" s="9" t="n">
        <v>-73</v>
      </c>
      <c r="B52" s="7" t="n">
        <v>43068</v>
      </c>
      <c r="C52" s="14" t="n">
        <v>1.43743637769</v>
      </c>
      <c r="D52" s="21">
        <f>100*(C52-C51)</f>
        <v/>
      </c>
      <c r="E52" s="22">
        <f>'A4 control'!AV186</f>
        <v/>
      </c>
      <c r="F52" s="9" t="n">
        <v>1</v>
      </c>
    </row>
    <row r="53">
      <c r="A53" s="9" t="n">
        <v>-72</v>
      </c>
      <c r="B53" s="7" t="n">
        <v>43069</v>
      </c>
      <c r="C53" s="14" t="n">
        <v>1.41274208565</v>
      </c>
      <c r="D53" s="21">
        <f>100*(C53-C52)</f>
        <v/>
      </c>
      <c r="E53" s="22">
        <f>'A4 control'!AV187</f>
        <v/>
      </c>
      <c r="F53" s="9" t="n">
        <v>1</v>
      </c>
    </row>
    <row r="54">
      <c r="A54" s="9" t="n">
        <v>-71</v>
      </c>
      <c r="B54" s="7" t="n">
        <v>43070</v>
      </c>
      <c r="C54" s="14" t="n">
        <v>1.3114499753</v>
      </c>
      <c r="D54" s="21">
        <f>100*(C54-C53)</f>
        <v/>
      </c>
      <c r="E54" s="22">
        <f>'A4 control'!AV188</f>
        <v/>
      </c>
      <c r="F54" s="9" t="n">
        <v>1</v>
      </c>
    </row>
    <row r="55">
      <c r="A55" s="9" t="n">
        <v>-70</v>
      </c>
      <c r="B55" s="7" t="n">
        <v>43073</v>
      </c>
      <c r="C55" s="14" t="n">
        <v>1.37133788321</v>
      </c>
      <c r="D55" s="21">
        <f>100*(C55-C54)</f>
        <v/>
      </c>
      <c r="E55" s="22">
        <f>'A4 control'!AV189</f>
        <v/>
      </c>
      <c r="F55" s="9" t="n">
        <v>1</v>
      </c>
    </row>
    <row r="56">
      <c r="A56" s="9" t="n">
        <v>-69</v>
      </c>
      <c r="B56" s="7" t="n">
        <v>43074</v>
      </c>
      <c r="C56" s="14" t="n">
        <v>1.35230898042</v>
      </c>
      <c r="D56" s="21">
        <f>100*(C56-C55)</f>
        <v/>
      </c>
      <c r="E56" s="22">
        <f>'A4 control'!AV190</f>
        <v/>
      </c>
      <c r="F56" s="9" t="n">
        <v>1</v>
      </c>
    </row>
    <row r="57">
      <c r="A57" s="9" t="n">
        <v>-68</v>
      </c>
      <c r="B57" s="7" t="n">
        <v>43075</v>
      </c>
      <c r="C57" s="14" t="n">
        <v>1.31868167036</v>
      </c>
      <c r="D57" s="21">
        <f>100*(C57-C56)</f>
        <v/>
      </c>
      <c r="E57" s="22">
        <f>'A4 control'!AV191</f>
        <v/>
      </c>
      <c r="F57" s="9" t="n">
        <v>1</v>
      </c>
    </row>
    <row r="58">
      <c r="A58" s="9" t="n">
        <v>-67</v>
      </c>
      <c r="B58" s="7" t="n">
        <v>43076</v>
      </c>
      <c r="C58" s="14" t="n">
        <v>1.34344518889</v>
      </c>
      <c r="D58" s="21">
        <f>100*(C58-C57)</f>
        <v/>
      </c>
      <c r="E58" s="22">
        <f>'A4 control'!AV192</f>
        <v/>
      </c>
      <c r="F58" s="9" t="n">
        <v>1</v>
      </c>
    </row>
    <row r="59">
      <c r="A59" s="9" t="n">
        <v>-66</v>
      </c>
      <c r="B59" s="7" t="n">
        <v>43077</v>
      </c>
      <c r="C59" s="14" t="n">
        <v>1.36949092111</v>
      </c>
      <c r="D59" s="21">
        <f>100*(C59-C58)</f>
        <v/>
      </c>
      <c r="E59" s="22">
        <f>'A4 control'!AV193</f>
        <v/>
      </c>
      <c r="F59" s="9" t="n">
        <v>1</v>
      </c>
    </row>
    <row r="60">
      <c r="A60" s="9" t="n">
        <v>-65</v>
      </c>
      <c r="B60" s="7" t="n">
        <v>43080</v>
      </c>
      <c r="C60" s="14" t="n">
        <v>1.29510673537</v>
      </c>
      <c r="D60" s="21">
        <f>100*(C60-C59)</f>
        <v/>
      </c>
      <c r="E60" s="22">
        <f>'A4 control'!AV194</f>
        <v/>
      </c>
      <c r="F60" s="9" t="n">
        <v>1</v>
      </c>
    </row>
    <row r="61">
      <c r="A61" s="9" t="n">
        <v>-64</v>
      </c>
      <c r="B61" s="7" t="n">
        <v>43081</v>
      </c>
      <c r="C61" s="14" t="n">
        <v>1.3175935576</v>
      </c>
      <c r="D61" s="21">
        <f>100*(C61-C60)</f>
        <v/>
      </c>
      <c r="E61" s="22">
        <f>'A4 control'!AV195</f>
        <v/>
      </c>
      <c r="F61" s="9" t="n">
        <v>1</v>
      </c>
    </row>
    <row r="62">
      <c r="A62" s="9" t="n">
        <v>-63</v>
      </c>
      <c r="B62" s="7" t="n">
        <v>43082</v>
      </c>
      <c r="C62" s="14" t="n">
        <v>1.30929232286</v>
      </c>
      <c r="D62" s="21">
        <f>100*(C62-C61)</f>
        <v/>
      </c>
      <c r="E62" s="22">
        <f>'A4 control'!AV196</f>
        <v/>
      </c>
      <c r="F62" s="9" t="n">
        <v>1</v>
      </c>
    </row>
    <row r="63">
      <c r="A63" s="9" t="n">
        <v>-62</v>
      </c>
      <c r="B63" s="7" t="n">
        <v>43083</v>
      </c>
      <c r="C63" s="14" t="n">
        <v>1.26581114103</v>
      </c>
      <c r="D63" s="21">
        <f>100*(C63-C62)</f>
        <v/>
      </c>
      <c r="E63" s="22">
        <f>'A4 control'!AV197</f>
        <v/>
      </c>
      <c r="F63" s="9" t="n">
        <v>1</v>
      </c>
    </row>
    <row r="64">
      <c r="A64" s="9" t="n">
        <v>-61</v>
      </c>
      <c r="B64" s="7" t="n">
        <v>43084</v>
      </c>
      <c r="C64" s="14" t="n">
        <v>1.24957914753</v>
      </c>
      <c r="D64" s="21">
        <f>100*(C64-C63)</f>
        <v/>
      </c>
      <c r="E64" s="22">
        <f>'A4 control'!AV198</f>
        <v/>
      </c>
      <c r="F64" s="9" t="n">
        <v>1</v>
      </c>
    </row>
    <row r="65">
      <c r="A65" s="9" t="n">
        <v>-60</v>
      </c>
      <c r="B65" s="7" t="n">
        <v>43087</v>
      </c>
      <c r="C65" s="14" t="n">
        <v>1.23944130754</v>
      </c>
      <c r="D65" s="21">
        <f>100*(C65-C64)</f>
        <v/>
      </c>
      <c r="E65" s="22">
        <f>'A4 control'!AV199</f>
        <v/>
      </c>
      <c r="F65" s="9" t="n">
        <v>1</v>
      </c>
    </row>
    <row r="66">
      <c r="A66" s="9" t="n">
        <v>-59</v>
      </c>
      <c r="B66" s="7" t="n">
        <v>43088</v>
      </c>
      <c r="C66" s="14" t="n">
        <v>1.30154906102</v>
      </c>
      <c r="D66" s="21">
        <f>100*(C66-C65)</f>
        <v/>
      </c>
      <c r="E66" s="22">
        <f>'A4 control'!AV200</f>
        <v/>
      </c>
      <c r="F66" s="9" t="n">
        <v>1</v>
      </c>
    </row>
    <row r="67">
      <c r="A67" s="9" t="n">
        <v>-58</v>
      </c>
      <c r="B67" s="7" t="n">
        <v>43089</v>
      </c>
      <c r="C67" s="14" t="n">
        <v>1.35670530778</v>
      </c>
      <c r="D67" s="21">
        <f>100*(C67-C66)</f>
        <v/>
      </c>
      <c r="E67" s="22">
        <f>'A4 control'!AV201</f>
        <v/>
      </c>
      <c r="F67" s="9" t="n">
        <v>1</v>
      </c>
    </row>
    <row r="68">
      <c r="A68" s="9" t="n">
        <v>-57</v>
      </c>
      <c r="B68" s="7" t="n">
        <v>43090</v>
      </c>
      <c r="C68" s="14" t="n">
        <v>1.35805318985</v>
      </c>
      <c r="D68" s="21">
        <f>100*(C68-C67)</f>
        <v/>
      </c>
      <c r="E68" s="22">
        <f>'A4 control'!AV202</f>
        <v/>
      </c>
      <c r="F68" s="9" t="n">
        <v>1</v>
      </c>
    </row>
    <row r="69">
      <c r="A69" s="9" t="n">
        <v>-56</v>
      </c>
      <c r="B69" s="7" t="n">
        <v>43091</v>
      </c>
      <c r="C69" s="14" t="n">
        <v>1.33589880836</v>
      </c>
      <c r="D69" s="21">
        <f>100*(C69-C68)</f>
        <v/>
      </c>
      <c r="E69" s="22">
        <f>'A4 control'!AV203</f>
        <v/>
      </c>
      <c r="F69" s="9" t="n">
        <v>1</v>
      </c>
    </row>
    <row r="70">
      <c r="A70" s="9" t="n">
        <v>-55</v>
      </c>
      <c r="B70" s="7" t="n">
        <v>43096</v>
      </c>
      <c r="C70" s="14" t="n">
        <v>1.26938178302</v>
      </c>
      <c r="D70" s="21">
        <f>100*(C70-C69)</f>
        <v/>
      </c>
      <c r="E70" s="22">
        <f>'A4 control'!AV204</f>
        <v/>
      </c>
      <c r="F70" s="9" t="n">
        <v>1</v>
      </c>
    </row>
    <row r="71">
      <c r="A71" s="9" t="n">
        <v>-54</v>
      </c>
      <c r="B71" s="7" t="n">
        <v>43097</v>
      </c>
      <c r="C71" s="14" t="n">
        <v>1.29390825817</v>
      </c>
      <c r="D71" s="21">
        <f>100*(C71-C70)</f>
        <v/>
      </c>
      <c r="E71" s="22">
        <f>'A4 control'!AV205</f>
        <v/>
      </c>
      <c r="F71" s="9" t="n">
        <v>1</v>
      </c>
    </row>
    <row r="72">
      <c r="A72" s="9" t="n">
        <v>-53</v>
      </c>
      <c r="B72" s="7" t="n">
        <v>43098</v>
      </c>
      <c r="C72" s="14" t="n">
        <v>1.28578915073</v>
      </c>
      <c r="D72" s="21">
        <f>100*(C72-C71)</f>
        <v/>
      </c>
      <c r="E72" s="22">
        <f>'A4 control'!AV206</f>
        <v/>
      </c>
      <c r="F72" s="9" t="n">
        <v>1</v>
      </c>
    </row>
    <row r="73">
      <c r="A73" s="9" t="n">
        <v>-52</v>
      </c>
      <c r="B73" s="7" t="n">
        <v>43102</v>
      </c>
      <c r="C73" s="14" t="n">
        <v>1.37740986642</v>
      </c>
      <c r="D73" s="21">
        <f>100*(C73-C72)</f>
        <v/>
      </c>
      <c r="E73" s="22">
        <f>'A4 control'!AV207</f>
        <v/>
      </c>
      <c r="F73" s="9" t="n">
        <v>1</v>
      </c>
    </row>
    <row r="74">
      <c r="A74" s="9" t="n">
        <v>-51</v>
      </c>
      <c r="B74" s="7" t="n">
        <v>43103</v>
      </c>
      <c r="C74" s="14" t="n">
        <v>1.31524195187</v>
      </c>
      <c r="D74" s="21">
        <f>100*(C74-C73)</f>
        <v/>
      </c>
      <c r="E74" s="22">
        <f>'A4 control'!AV208</f>
        <v/>
      </c>
      <c r="F74" s="9" t="n">
        <v>1</v>
      </c>
    </row>
    <row r="75">
      <c r="A75" s="9" t="n">
        <v>-50</v>
      </c>
      <c r="B75" s="7" t="n">
        <v>43104</v>
      </c>
      <c r="C75" s="14" t="n">
        <v>1.33611676023</v>
      </c>
      <c r="D75" s="21">
        <f>100*(C75-C74)</f>
        <v/>
      </c>
      <c r="E75" s="22">
        <f>'A4 control'!AV209</f>
        <v/>
      </c>
      <c r="F75" s="9" t="n">
        <v>1</v>
      </c>
    </row>
    <row r="76">
      <c r="A76" s="9" t="n">
        <v>-49</v>
      </c>
      <c r="B76" s="7" t="n">
        <v>43105</v>
      </c>
      <c r="C76" s="14" t="n">
        <v>1.33872568034</v>
      </c>
      <c r="D76" s="21">
        <f>100*(C76-C75)</f>
        <v/>
      </c>
      <c r="E76" s="22">
        <f>'A4 control'!AV210</f>
        <v/>
      </c>
      <c r="F76" s="9" t="n">
        <v>1</v>
      </c>
    </row>
    <row r="77">
      <c r="A77" s="9" t="n">
        <v>-48</v>
      </c>
      <c r="B77" s="7" t="n">
        <v>43108</v>
      </c>
      <c r="C77" s="14" t="n">
        <v>1.32434958259</v>
      </c>
      <c r="D77" s="21">
        <f>100*(C77-C76)</f>
        <v/>
      </c>
      <c r="E77" s="22">
        <f>'A4 control'!AV211</f>
        <v/>
      </c>
      <c r="F77" s="9" t="n">
        <v>1</v>
      </c>
    </row>
    <row r="78">
      <c r="A78" s="9" t="n">
        <v>-47</v>
      </c>
      <c r="B78" s="7" t="n">
        <v>43109</v>
      </c>
      <c r="C78" s="14" t="n">
        <v>1.37658437614</v>
      </c>
      <c r="D78" s="21">
        <f>100*(C78-C77)</f>
        <v/>
      </c>
      <c r="E78" s="22">
        <f>'A4 control'!AV212</f>
        <v/>
      </c>
      <c r="F78" s="9" t="n">
        <v>1</v>
      </c>
    </row>
    <row r="79">
      <c r="A79" s="9" t="n">
        <v>-46</v>
      </c>
      <c r="B79" s="7" t="n">
        <v>43110</v>
      </c>
      <c r="C79" s="14" t="n">
        <v>1.3896358291</v>
      </c>
      <c r="D79" s="21">
        <f>100*(C79-C78)</f>
        <v/>
      </c>
      <c r="E79" s="22">
        <f>'A4 control'!AV213</f>
        <v/>
      </c>
      <c r="F79" s="9" t="n">
        <v>1</v>
      </c>
    </row>
    <row r="80">
      <c r="A80" s="9" t="n">
        <v>-45</v>
      </c>
      <c r="B80" s="7" t="n">
        <v>43111</v>
      </c>
      <c r="C80" s="14" t="n">
        <v>1.413785726</v>
      </c>
      <c r="D80" s="21">
        <f>100*(C80-C79)</f>
        <v/>
      </c>
      <c r="E80" s="22">
        <f>'A4 control'!AV214</f>
        <v/>
      </c>
      <c r="F80" s="9" t="n">
        <v>1</v>
      </c>
    </row>
    <row r="81">
      <c r="A81" s="9" t="n">
        <v>-44</v>
      </c>
      <c r="B81" s="7" t="n">
        <v>43112</v>
      </c>
      <c r="C81" s="14" t="n">
        <v>1.43502412225</v>
      </c>
      <c r="D81" s="21">
        <f>100*(C81-C80)</f>
        <v/>
      </c>
      <c r="E81" s="22">
        <f>'A4 control'!AV215</f>
        <v/>
      </c>
      <c r="F81" s="9" t="n">
        <v>1</v>
      </c>
    </row>
    <row r="82">
      <c r="A82" s="9" t="n">
        <v>-43</v>
      </c>
      <c r="B82" s="7" t="n">
        <v>43115</v>
      </c>
      <c r="C82" s="14" t="n">
        <v>1.41794517855</v>
      </c>
      <c r="D82" s="21">
        <f>100*(C82-C81)</f>
        <v/>
      </c>
      <c r="E82" s="22">
        <f>'A4 control'!AV216</f>
        <v/>
      </c>
      <c r="F82" s="9" t="n">
        <v>1</v>
      </c>
    </row>
    <row r="83">
      <c r="A83" s="9" t="n">
        <v>-42</v>
      </c>
      <c r="B83" s="7" t="n">
        <v>43116</v>
      </c>
      <c r="C83" s="14" t="n">
        <v>1.40344702401</v>
      </c>
      <c r="D83" s="21">
        <f>100*(C83-C82)</f>
        <v/>
      </c>
      <c r="E83" s="22">
        <f>'A4 control'!AV217</f>
        <v/>
      </c>
      <c r="F83" s="9" t="n">
        <v>1</v>
      </c>
    </row>
    <row r="84">
      <c r="A84" s="9" t="n">
        <v>-41</v>
      </c>
      <c r="B84" s="7" t="n">
        <v>43117</v>
      </c>
      <c r="C84" s="14" t="n">
        <v>1.39705490509</v>
      </c>
      <c r="D84" s="21">
        <f>100*(C84-C83)</f>
        <v/>
      </c>
      <c r="E84" s="22">
        <f>'A4 control'!AV218</f>
        <v/>
      </c>
      <c r="F84" s="9" t="n">
        <v>1</v>
      </c>
    </row>
    <row r="85">
      <c r="A85" s="9" t="n">
        <v>-40</v>
      </c>
      <c r="B85" s="7" t="n">
        <v>43118</v>
      </c>
      <c r="C85" s="14" t="n">
        <v>1.43206759524</v>
      </c>
      <c r="D85" s="21">
        <f>100*(C85-C84)</f>
        <v/>
      </c>
      <c r="E85" s="22">
        <f>'A4 control'!AV219</f>
        <v/>
      </c>
      <c r="F85" s="9" t="n">
        <v>1</v>
      </c>
    </row>
    <row r="86">
      <c r="A86" s="9" t="n">
        <v>-39</v>
      </c>
      <c r="B86" s="7" t="n">
        <v>43119</v>
      </c>
      <c r="C86" s="14" t="n">
        <v>1.43553648273</v>
      </c>
      <c r="D86" s="21">
        <f>100*(C86-C85)</f>
        <v/>
      </c>
      <c r="E86" s="22">
        <f>'A4 control'!AV220</f>
        <v/>
      </c>
      <c r="F86" s="9" t="n">
        <v>1</v>
      </c>
    </row>
    <row r="87">
      <c r="A87" s="9" t="n">
        <v>-38</v>
      </c>
      <c r="B87" s="7" t="n">
        <v>43122</v>
      </c>
      <c r="C87" s="14" t="n">
        <v>1.45103747909</v>
      </c>
      <c r="D87" s="21">
        <f>100*(C87-C86)</f>
        <v/>
      </c>
      <c r="E87" s="22">
        <f>'A4 control'!AV221</f>
        <v/>
      </c>
      <c r="F87" s="9" t="n">
        <v>1</v>
      </c>
    </row>
    <row r="88">
      <c r="A88" s="9" t="n">
        <v>-37</v>
      </c>
      <c r="B88" s="7" t="n">
        <v>43123</v>
      </c>
      <c r="C88" s="14" t="n">
        <v>1.45163270937</v>
      </c>
      <c r="D88" s="21">
        <f>100*(C88-C87)</f>
        <v/>
      </c>
      <c r="E88" s="22">
        <f>'A4 control'!AV222</f>
        <v/>
      </c>
      <c r="F88" s="9" t="n">
        <v>1</v>
      </c>
    </row>
    <row r="89">
      <c r="A89" s="9" t="n">
        <v>-36</v>
      </c>
      <c r="B89" s="7" t="n">
        <v>43124</v>
      </c>
      <c r="C89" s="14" t="n">
        <v>1.50493048666</v>
      </c>
      <c r="D89" s="21">
        <f>100*(C89-C88)</f>
        <v/>
      </c>
      <c r="E89" s="22">
        <f>'A4 control'!AV223</f>
        <v/>
      </c>
      <c r="F89" s="9" t="n">
        <v>1</v>
      </c>
    </row>
    <row r="90">
      <c r="A90" s="9" t="n">
        <v>-35</v>
      </c>
      <c r="B90" s="7" t="n">
        <v>43125</v>
      </c>
      <c r="C90" s="14" t="n">
        <v>1.50416508091</v>
      </c>
      <c r="D90" s="21">
        <f>100*(C90-C89)</f>
        <v/>
      </c>
      <c r="E90" s="22">
        <f>'A4 control'!AV224</f>
        <v/>
      </c>
      <c r="F90" s="9" t="n">
        <v>1</v>
      </c>
    </row>
    <row r="91">
      <c r="A91" s="9" t="n">
        <v>-34</v>
      </c>
      <c r="B91" s="7" t="n">
        <v>43126</v>
      </c>
      <c r="C91" s="14" t="n">
        <v>1.52771981252</v>
      </c>
      <c r="D91" s="21">
        <f>100*(C91-C90)</f>
        <v/>
      </c>
      <c r="E91" s="22">
        <f>'A4 control'!AV225</f>
        <v/>
      </c>
      <c r="F91" s="9" t="n">
        <v>1</v>
      </c>
    </row>
    <row r="92">
      <c r="A92" s="9" t="n">
        <v>-33</v>
      </c>
      <c r="B92" s="7" t="n">
        <v>43129</v>
      </c>
      <c r="C92" s="14" t="n">
        <v>1.54608042405</v>
      </c>
      <c r="D92" s="21">
        <f>100*(C92-C91)</f>
        <v/>
      </c>
      <c r="E92" s="22">
        <f>'A4 control'!AV226</f>
        <v/>
      </c>
      <c r="F92" s="9" t="n">
        <v>1</v>
      </c>
    </row>
    <row r="93">
      <c r="A93" s="9" t="n">
        <v>-32</v>
      </c>
      <c r="B93" s="7" t="n">
        <v>43130</v>
      </c>
      <c r="C93" s="14" t="n">
        <v>1.54867645419</v>
      </c>
      <c r="D93" s="21">
        <f>100*(C93-C92)</f>
        <v/>
      </c>
      <c r="E93" s="22">
        <f>'A4 control'!AV227</f>
        <v/>
      </c>
      <c r="F93" s="9" t="n">
        <v>1</v>
      </c>
    </row>
    <row r="94">
      <c r="A94" s="9" t="n">
        <v>-31</v>
      </c>
      <c r="B94" s="7" t="n">
        <v>43131</v>
      </c>
      <c r="C94" s="14" t="n">
        <v>1.57232511767</v>
      </c>
      <c r="D94" s="21">
        <f>100*(C94-C93)</f>
        <v/>
      </c>
      <c r="E94" s="22">
        <f>'A4 control'!AV228</f>
        <v/>
      </c>
      <c r="F94" s="9" t="n">
        <v>1</v>
      </c>
    </row>
    <row r="95">
      <c r="A95" s="9" t="n">
        <v>-30</v>
      </c>
      <c r="B95" s="7" t="n">
        <v>43132</v>
      </c>
      <c r="C95" s="14" t="n">
        <v>1.60367195501</v>
      </c>
      <c r="D95" s="21">
        <f>100*(C95-C94)</f>
        <v/>
      </c>
      <c r="E95" s="22">
        <f>'A4 control'!AV229</f>
        <v/>
      </c>
      <c r="F95" s="9" t="n">
        <v>1</v>
      </c>
    </row>
    <row r="96">
      <c r="A96" s="9" t="n">
        <v>-29</v>
      </c>
      <c r="B96" s="7" t="n">
        <v>43133</v>
      </c>
      <c r="C96" s="14" t="n">
        <v>1.64829354575</v>
      </c>
      <c r="D96" s="21">
        <f>100*(C96-C95)</f>
        <v/>
      </c>
      <c r="E96" s="22">
        <f>'A4 control'!AV230</f>
        <v/>
      </c>
      <c r="F96" s="9" t="n">
        <v>1</v>
      </c>
    </row>
    <row r="97">
      <c r="A97" s="9" t="n">
        <v>-28</v>
      </c>
      <c r="B97" s="7" t="n">
        <v>43136</v>
      </c>
      <c r="C97" s="14" t="n">
        <v>1.64317960292</v>
      </c>
      <c r="D97" s="21">
        <f>100*(C97-C96)</f>
        <v/>
      </c>
      <c r="E97" s="22">
        <f>'A4 control'!AV231</f>
        <v/>
      </c>
      <c r="F97" s="9" t="n">
        <v>1</v>
      </c>
    </row>
    <row r="98">
      <c r="A98" s="9" t="n">
        <v>-27</v>
      </c>
      <c r="B98" s="7" t="n">
        <v>43137</v>
      </c>
      <c r="C98" s="14" t="n">
        <v>1.59766822641</v>
      </c>
      <c r="D98" s="21">
        <f>100*(C98-C97)</f>
        <v/>
      </c>
      <c r="E98" s="22">
        <f>'A4 control'!AV232</f>
        <v/>
      </c>
      <c r="F98" s="9" t="n">
        <v>1</v>
      </c>
    </row>
    <row r="99">
      <c r="A99" s="9" t="n">
        <v>-26</v>
      </c>
      <c r="B99" s="7" t="n">
        <v>43138</v>
      </c>
      <c r="C99" s="14" t="n">
        <v>1.62222313038</v>
      </c>
      <c r="D99" s="21">
        <f>100*(C99-C98)</f>
        <v/>
      </c>
      <c r="E99" s="22">
        <f>'A4 control'!AV233</f>
        <v/>
      </c>
      <c r="F99" s="9" t="n">
        <v>1</v>
      </c>
    </row>
    <row r="100">
      <c r="A100" s="9" t="n">
        <v>-25</v>
      </c>
      <c r="B100" s="7" t="n">
        <v>43139</v>
      </c>
      <c r="C100" s="14" t="n">
        <v>1.70077689546</v>
      </c>
      <c r="D100" s="21">
        <f>100*(C100-C99)</f>
        <v/>
      </c>
      <c r="E100" s="22">
        <f>'A4 control'!AV234</f>
        <v/>
      </c>
      <c r="F100" s="9" t="n">
        <v>1</v>
      </c>
    </row>
    <row r="101">
      <c r="A101" s="9" t="n">
        <v>-24</v>
      </c>
      <c r="B101" s="7" t="n">
        <v>43140</v>
      </c>
      <c r="C101" s="14" t="n">
        <v>1.6714771977</v>
      </c>
      <c r="D101" s="21">
        <f>100*(C101-C100)</f>
        <v/>
      </c>
      <c r="E101" s="22">
        <f>'A4 control'!AV235</f>
        <v/>
      </c>
      <c r="F101" s="9" t="n">
        <v>1</v>
      </c>
    </row>
    <row r="102">
      <c r="A102" s="9" t="n">
        <v>-23</v>
      </c>
      <c r="B102" s="7" t="n">
        <v>43143</v>
      </c>
      <c r="C102" s="14" t="n">
        <v>1.67416072938</v>
      </c>
      <c r="D102" s="21">
        <f>100*(C102-C101)</f>
        <v/>
      </c>
      <c r="E102" s="22">
        <f>'A4 control'!AV236</f>
        <v/>
      </c>
      <c r="F102" s="9" t="n">
        <v>1</v>
      </c>
    </row>
    <row r="103">
      <c r="A103" s="9" t="n">
        <v>-22</v>
      </c>
      <c r="B103" s="7" t="n">
        <v>43144</v>
      </c>
      <c r="C103" s="14" t="n">
        <v>1.69547512085</v>
      </c>
      <c r="D103" s="21">
        <f>100*(C103-C102)</f>
        <v/>
      </c>
      <c r="E103" s="22">
        <f>'A4 control'!AV237</f>
        <v/>
      </c>
      <c r="F103" s="9" t="n">
        <v>1</v>
      </c>
    </row>
    <row r="104">
      <c r="A104" s="9" t="n">
        <v>-21</v>
      </c>
      <c r="B104" s="7" t="n">
        <v>43145</v>
      </c>
      <c r="C104" s="14" t="n">
        <v>1.70864791363</v>
      </c>
      <c r="D104" s="21">
        <f>100*(C104-C103)</f>
        <v/>
      </c>
      <c r="E104" s="22">
        <f>'A4 control'!AV238</f>
        <v/>
      </c>
      <c r="F104" s="9" t="n">
        <v>1</v>
      </c>
    </row>
    <row r="105">
      <c r="A105" s="9" t="n">
        <v>-20</v>
      </c>
      <c r="B105" s="7" t="n">
        <v>43146</v>
      </c>
      <c r="C105" s="14" t="n">
        <v>1.73445657496</v>
      </c>
      <c r="D105" s="21">
        <f>100*(C105-C104)</f>
        <v/>
      </c>
      <c r="E105" s="22">
        <f>'A4 control'!AV239</f>
        <v/>
      </c>
      <c r="F105" s="9" t="n">
        <v>0</v>
      </c>
    </row>
    <row r="106">
      <c r="A106" s="9" t="n">
        <v>-19</v>
      </c>
      <c r="B106" s="7" t="n">
        <v>43147</v>
      </c>
      <c r="C106" s="14" t="n">
        <v>1.66766010077</v>
      </c>
      <c r="D106" s="21">
        <f>100*(C106-C105)</f>
        <v/>
      </c>
      <c r="E106" s="22">
        <f>'A4 control'!AV240</f>
        <v/>
      </c>
      <c r="F106" s="9" t="n">
        <v>0</v>
      </c>
    </row>
    <row r="107">
      <c r="A107" s="9" t="n">
        <v>-18</v>
      </c>
      <c r="B107" s="7" t="n">
        <v>43150</v>
      </c>
      <c r="C107" s="14" t="n">
        <v>1.68397514041</v>
      </c>
      <c r="D107" s="21">
        <f>100*(C107-C106)</f>
        <v/>
      </c>
      <c r="E107" s="22">
        <f>'A4 control'!AV241</f>
        <v/>
      </c>
      <c r="F107" s="9" t="n">
        <v>0</v>
      </c>
    </row>
    <row r="108">
      <c r="A108" s="9" t="n">
        <v>-17</v>
      </c>
      <c r="B108" s="7" t="n">
        <v>43151</v>
      </c>
      <c r="C108" s="14" t="n">
        <v>1.65357728051</v>
      </c>
      <c r="D108" s="21">
        <f>100*(C108-C107)</f>
        <v/>
      </c>
      <c r="E108" s="22">
        <f>'A4 control'!AV242</f>
        <v/>
      </c>
      <c r="F108" s="9" t="n">
        <v>0</v>
      </c>
    </row>
    <row r="109">
      <c r="A109" s="9" t="n">
        <v>-16</v>
      </c>
      <c r="B109" s="7" t="n">
        <v>43152</v>
      </c>
      <c r="C109" s="14" t="n">
        <v>1.63635074011</v>
      </c>
      <c r="D109" s="21">
        <f>100*(C109-C108)</f>
        <v/>
      </c>
      <c r="E109" s="22">
        <f>'A4 control'!AV243</f>
        <v/>
      </c>
      <c r="F109" s="9" t="n">
        <v>0</v>
      </c>
    </row>
    <row r="110">
      <c r="A110" s="9" t="n">
        <v>-15</v>
      </c>
      <c r="B110" s="7" t="n">
        <v>43153</v>
      </c>
      <c r="C110" s="14" t="n">
        <v>1.63123468459</v>
      </c>
      <c r="D110" s="21">
        <f>100*(C110-C109)</f>
        <v/>
      </c>
      <c r="E110" s="22">
        <f>'A4 control'!AV244</f>
        <v/>
      </c>
      <c r="F110" s="9" t="n">
        <v>0</v>
      </c>
    </row>
    <row r="111">
      <c r="A111" s="9" t="n">
        <v>-14</v>
      </c>
      <c r="B111" s="7" t="n">
        <v>43154</v>
      </c>
      <c r="C111" s="14" t="n">
        <v>1.61323955789</v>
      </c>
      <c r="D111" s="21">
        <f>100*(C111-C110)</f>
        <v/>
      </c>
      <c r="E111" s="22">
        <f>'A4 control'!AV245</f>
        <v/>
      </c>
      <c r="F111" s="9" t="n">
        <v>0</v>
      </c>
    </row>
    <row r="112">
      <c r="A112" s="9" t="n">
        <v>-13</v>
      </c>
      <c r="B112" s="7" t="n">
        <v>43157</v>
      </c>
      <c r="C112" s="14" t="n">
        <v>1.59905351624</v>
      </c>
      <c r="D112" s="21">
        <f>100*(C112-C111)</f>
        <v/>
      </c>
      <c r="E112" s="22">
        <f>'A4 control'!AV246</f>
        <v/>
      </c>
      <c r="F112" s="9" t="n">
        <v>0</v>
      </c>
    </row>
    <row r="113">
      <c r="A113" s="9" t="n">
        <v>-12</v>
      </c>
      <c r="B113" s="7" t="n">
        <v>43158</v>
      </c>
      <c r="C113" s="14" t="n">
        <v>1.64369058043</v>
      </c>
      <c r="D113" s="21">
        <f>100*(C113-C112)</f>
        <v/>
      </c>
      <c r="E113" s="22">
        <f>'A4 control'!AV247</f>
        <v/>
      </c>
      <c r="F113" s="9" t="n">
        <v>0</v>
      </c>
    </row>
    <row r="114">
      <c r="A114" s="9" t="n">
        <v>-11</v>
      </c>
      <c r="B114" s="7" t="n">
        <v>43159</v>
      </c>
      <c r="C114" s="14" t="n">
        <v>1.5978488094</v>
      </c>
      <c r="D114" s="21">
        <f>100*(C114-C113)</f>
        <v/>
      </c>
      <c r="E114" s="22">
        <f>'A4 control'!AV248</f>
        <v/>
      </c>
      <c r="F114" s="9" t="n">
        <v>0</v>
      </c>
    </row>
    <row r="115">
      <c r="A115" s="9" t="n">
        <v>-10</v>
      </c>
      <c r="B115" s="7" t="n">
        <v>43160</v>
      </c>
      <c r="C115" s="14" t="n">
        <v>1.55975779209</v>
      </c>
      <c r="D115" s="21">
        <f>100*(C115-C114)</f>
        <v/>
      </c>
      <c r="E115" s="22">
        <f>'A4 control'!AV249</f>
        <v/>
      </c>
      <c r="F115" s="9" t="n">
        <v>0</v>
      </c>
      <c r="G115" s="21">
        <f>D115-$B$137*E115</f>
        <v/>
      </c>
      <c r="H115" s="21">
        <f>H116-G116</f>
        <v/>
      </c>
      <c r="I115" s="21">
        <f>D115-E115</f>
        <v/>
      </c>
      <c r="J115" s="21">
        <f>J116-I116</f>
        <v/>
      </c>
      <c r="K115" s="21">
        <f>K116-D116</f>
        <v/>
      </c>
    </row>
    <row r="116">
      <c r="A116" s="9" t="n">
        <v>-9</v>
      </c>
      <c r="B116" s="7" t="n">
        <v>43161</v>
      </c>
      <c r="C116" s="14" t="n">
        <v>1.55217629104</v>
      </c>
      <c r="D116" s="21">
        <f>100*(C116-C115)</f>
        <v/>
      </c>
      <c r="E116" s="22">
        <f>'A4 control'!AV250</f>
        <v/>
      </c>
      <c r="F116" s="9" t="n">
        <v>0</v>
      </c>
      <c r="G116" s="21">
        <f>D116-$B$137*E116</f>
        <v/>
      </c>
      <c r="H116" s="21">
        <f>H117-G117</f>
        <v/>
      </c>
      <c r="I116" s="21">
        <f>D116-E116</f>
        <v/>
      </c>
      <c r="J116" s="21">
        <f>J117-I117</f>
        <v/>
      </c>
      <c r="K116" s="21">
        <f>K117-D117</f>
        <v/>
      </c>
    </row>
    <row r="117">
      <c r="A117" s="9" t="n">
        <v>-8</v>
      </c>
      <c r="B117" s="7" t="n">
        <v>43164</v>
      </c>
      <c r="C117" s="14" t="n">
        <v>1.58473670842</v>
      </c>
      <c r="D117" s="21">
        <f>100*(C117-C116)</f>
        <v/>
      </c>
      <c r="E117" s="22">
        <f>'A4 control'!AV251</f>
        <v/>
      </c>
      <c r="F117" s="9" t="n">
        <v>0</v>
      </c>
      <c r="G117" s="21">
        <f>D117-$B$137*E117</f>
        <v/>
      </c>
      <c r="H117" s="21">
        <f>H118-G118</f>
        <v/>
      </c>
      <c r="I117" s="21">
        <f>D117-E117</f>
        <v/>
      </c>
      <c r="J117" s="21">
        <f>J118-I118</f>
        <v/>
      </c>
      <c r="K117" s="21">
        <f>K118-D118</f>
        <v/>
      </c>
    </row>
    <row r="118">
      <c r="A118" s="9" t="n">
        <v>-7</v>
      </c>
      <c r="B118" s="7" t="n">
        <v>43165</v>
      </c>
      <c r="C118" s="14" t="n">
        <v>1.61440196398</v>
      </c>
      <c r="D118" s="21">
        <f>100*(C118-C117)</f>
        <v/>
      </c>
      <c r="E118" s="22">
        <f>'A4 control'!AV252</f>
        <v/>
      </c>
      <c r="F118" s="9" t="n">
        <v>0</v>
      </c>
      <c r="G118" s="21">
        <f>D118-$B$137*E118</f>
        <v/>
      </c>
      <c r="H118" s="21">
        <f>H119-G119</f>
        <v/>
      </c>
      <c r="I118" s="21">
        <f>D118-E118</f>
        <v/>
      </c>
      <c r="J118" s="21">
        <f>J119-I119</f>
        <v/>
      </c>
      <c r="K118" s="21">
        <f>K119-D119</f>
        <v/>
      </c>
    </row>
    <row r="119">
      <c r="A119" s="9" t="n">
        <v>-6</v>
      </c>
      <c r="B119" s="7" t="n">
        <v>43166</v>
      </c>
      <c r="C119" s="14" t="n">
        <v>1.59220462158</v>
      </c>
      <c r="D119" s="21">
        <f>100*(C119-C118)</f>
        <v/>
      </c>
      <c r="E119" s="22">
        <f>'A4 control'!AV253</f>
        <v/>
      </c>
      <c r="F119" s="9" t="n">
        <v>0</v>
      </c>
      <c r="G119" s="21">
        <f>D119-$B$137*E119</f>
        <v/>
      </c>
      <c r="H119" s="21" t="n">
        <v>0</v>
      </c>
      <c r="I119" s="21">
        <f>D119-E119</f>
        <v/>
      </c>
      <c r="J119" s="21" t="n">
        <v>0</v>
      </c>
      <c r="K119" s="21" t="n">
        <v>0</v>
      </c>
    </row>
    <row r="120">
      <c r="A120" s="9" t="n">
        <v>-5</v>
      </c>
      <c r="B120" s="7" t="n">
        <v>43167</v>
      </c>
      <c r="C120" s="14" t="n">
        <v>1.57204209397</v>
      </c>
      <c r="D120" s="21">
        <f>100*(C120-C119)</f>
        <v/>
      </c>
      <c r="E120" s="22">
        <f>'A4 control'!AV254</f>
        <v/>
      </c>
      <c r="F120" s="9" t="n">
        <v>0</v>
      </c>
      <c r="G120" s="21">
        <f>D120-$B$137*E120</f>
        <v/>
      </c>
      <c r="H120" s="21">
        <f>H119+G120</f>
        <v/>
      </c>
      <c r="I120" s="21">
        <f>D120-E120</f>
        <v/>
      </c>
      <c r="J120" s="21">
        <f>J119+I120</f>
        <v/>
      </c>
      <c r="K120" s="21">
        <f>K119+D120</f>
        <v/>
      </c>
    </row>
    <row r="121">
      <c r="A121" s="9" t="n">
        <v>-4</v>
      </c>
      <c r="B121" s="7" t="n">
        <v>43168</v>
      </c>
      <c r="C121" s="14" t="n">
        <v>1.59731173318</v>
      </c>
      <c r="D121" s="21">
        <f>100*(C121-C120)</f>
        <v/>
      </c>
      <c r="E121" s="22">
        <f>'A4 control'!AV255</f>
        <v/>
      </c>
      <c r="F121" s="9" t="n">
        <v>0</v>
      </c>
      <c r="G121" s="21">
        <f>D121-$B$137*E121</f>
        <v/>
      </c>
      <c r="H121" s="21">
        <f>H120+G121</f>
        <v/>
      </c>
      <c r="I121" s="21">
        <f>D121-E121</f>
        <v/>
      </c>
      <c r="J121" s="21">
        <f>J120+I121</f>
        <v/>
      </c>
      <c r="K121" s="21">
        <f>K120+D121</f>
        <v/>
      </c>
    </row>
    <row r="122">
      <c r="A122" s="9" t="n">
        <v>-3</v>
      </c>
      <c r="B122" s="7" t="n">
        <v>43171</v>
      </c>
      <c r="C122" s="14" t="n">
        <v>1.5980845535</v>
      </c>
      <c r="D122" s="21">
        <f>100*(C122-C121)</f>
        <v/>
      </c>
      <c r="E122" s="22">
        <f>'A4 control'!AV256</f>
        <v/>
      </c>
      <c r="F122" s="9" t="n">
        <v>0</v>
      </c>
      <c r="G122" s="21">
        <f>D122-$B$137*E122</f>
        <v/>
      </c>
      <c r="H122" s="21">
        <f>H121+G122</f>
        <v/>
      </c>
      <c r="I122" s="21">
        <f>D122-E122</f>
        <v/>
      </c>
      <c r="J122" s="21">
        <f>J121+I122</f>
        <v/>
      </c>
      <c r="K122" s="21">
        <f>K121+D122</f>
        <v/>
      </c>
    </row>
    <row r="123">
      <c r="A123" s="9" t="n">
        <v>-2</v>
      </c>
      <c r="B123" s="7" t="n">
        <v>43172</v>
      </c>
      <c r="C123" s="14" t="n">
        <v>1.57852811614</v>
      </c>
      <c r="D123" s="21">
        <f>100*(C123-C122)</f>
        <v/>
      </c>
      <c r="E123" s="22">
        <f>'A4 control'!AV257</f>
        <v/>
      </c>
      <c r="F123" s="9" t="n">
        <v>0</v>
      </c>
      <c r="G123" s="21">
        <f>D123-$B$137*E123</f>
        <v/>
      </c>
      <c r="H123" s="21">
        <f>H122+G123</f>
        <v/>
      </c>
      <c r="I123" s="21">
        <f>D123-E123</f>
        <v/>
      </c>
      <c r="J123" s="21">
        <f>J122+I123</f>
        <v/>
      </c>
      <c r="K123" s="21">
        <f>K122+D123</f>
        <v/>
      </c>
    </row>
    <row r="124">
      <c r="A124" s="9" t="n">
        <v>-1</v>
      </c>
      <c r="B124" s="7" t="n">
        <v>43173</v>
      </c>
      <c r="C124" s="14" t="n">
        <v>1.51969830832</v>
      </c>
      <c r="D124" s="21">
        <f>100*(C124-C123)</f>
        <v/>
      </c>
      <c r="E124" s="22">
        <f>'A4 control'!AV258</f>
        <v/>
      </c>
      <c r="F124" s="9" t="n">
        <v>0</v>
      </c>
      <c r="G124" s="21">
        <f>D124-$B$137*E124</f>
        <v/>
      </c>
      <c r="H124" s="21">
        <f>H123+G124</f>
        <v/>
      </c>
      <c r="I124" s="21">
        <f>D124-E124</f>
        <v/>
      </c>
      <c r="J124" s="21">
        <f>J123+I124</f>
        <v/>
      </c>
      <c r="K124" s="21">
        <f>K123+D124</f>
        <v/>
      </c>
    </row>
    <row r="125">
      <c r="A125" s="9" t="n">
        <v>0</v>
      </c>
      <c r="B125" s="7" t="n">
        <v>43174</v>
      </c>
      <c r="C125" s="14" t="n">
        <v>1.5255504261</v>
      </c>
      <c r="D125" s="21">
        <f>100*(C125-C124)</f>
        <v/>
      </c>
      <c r="E125" s="22">
        <f>'A4 control'!AV259</f>
        <v/>
      </c>
      <c r="F125" s="9" t="n">
        <v>0</v>
      </c>
      <c r="G125" s="21">
        <f>D125-$B$137*E125</f>
        <v/>
      </c>
      <c r="H125" s="21">
        <f>H124+G125</f>
        <v/>
      </c>
      <c r="I125" s="21">
        <f>D125-E125</f>
        <v/>
      </c>
      <c r="J125" s="21">
        <f>J124+I125</f>
        <v/>
      </c>
      <c r="K125" s="21">
        <f>K124+D125</f>
        <v/>
      </c>
    </row>
    <row r="126">
      <c r="A126" s="9" t="n">
        <v>1</v>
      </c>
      <c r="B126" s="7" t="n">
        <v>43175</v>
      </c>
      <c r="C126" s="14" t="n">
        <v>1.52545928225</v>
      </c>
      <c r="D126" s="21">
        <f>100*(C126-C125)</f>
        <v/>
      </c>
      <c r="E126" s="22">
        <f>'A4 control'!AV260</f>
        <v/>
      </c>
      <c r="F126" s="9" t="n">
        <v>0</v>
      </c>
      <c r="G126" s="21">
        <f>D126-$B$137*E126</f>
        <v/>
      </c>
      <c r="H126" s="21">
        <f>H125+G126</f>
        <v/>
      </c>
      <c r="I126" s="21">
        <f>D126-E126</f>
        <v/>
      </c>
      <c r="J126" s="21">
        <f>J125+I126</f>
        <v/>
      </c>
      <c r="K126" s="21">
        <f>K125+D126</f>
        <v/>
      </c>
    </row>
    <row r="127">
      <c r="A127" s="9" t="n">
        <v>2</v>
      </c>
      <c r="B127" s="7" t="n">
        <v>43178</v>
      </c>
      <c r="C127" s="14" t="n">
        <v>1.52922215191</v>
      </c>
      <c r="D127" s="21">
        <f>100*(C127-C126)</f>
        <v/>
      </c>
      <c r="E127" s="22">
        <f>'A4 control'!AV261</f>
        <v/>
      </c>
      <c r="F127" s="9" t="n">
        <v>0</v>
      </c>
      <c r="G127" s="21">
        <f>D127-$B$137*E127</f>
        <v/>
      </c>
      <c r="H127" s="21">
        <f>H126+G127</f>
        <v/>
      </c>
      <c r="I127" s="21">
        <f>D127-E127</f>
        <v/>
      </c>
      <c r="J127" s="21">
        <f>J126+I127</f>
        <v/>
      </c>
      <c r="K127" s="21">
        <f>K126+D127</f>
        <v/>
      </c>
    </row>
    <row r="128">
      <c r="A128" s="9" t="n">
        <v>3</v>
      </c>
      <c r="B128" s="7" t="n">
        <v>43179</v>
      </c>
      <c r="C128" s="14" t="n">
        <v>1.57206721059</v>
      </c>
      <c r="D128" s="21">
        <f>100*(C128-C127)</f>
        <v/>
      </c>
      <c r="E128" s="22">
        <f>'A4 control'!AV262</f>
        <v/>
      </c>
      <c r="F128" s="9" t="n">
        <v>0</v>
      </c>
      <c r="G128" s="21">
        <f>D128-$B$137*E128</f>
        <v/>
      </c>
      <c r="H128" s="21">
        <f>H127+G128</f>
        <v/>
      </c>
      <c r="I128" s="21">
        <f>D128-E128</f>
        <v/>
      </c>
      <c r="J128" s="21">
        <f>J127+I128</f>
        <v/>
      </c>
      <c r="K128" s="21">
        <f>K127+D128</f>
        <v/>
      </c>
    </row>
    <row r="129">
      <c r="A129" s="9" t="n">
        <v>4</v>
      </c>
      <c r="B129" s="7" t="n">
        <v>43180</v>
      </c>
      <c r="C129" s="14" t="n">
        <v>1.61596057717</v>
      </c>
      <c r="D129" s="21">
        <f>100*(C129-C128)</f>
        <v/>
      </c>
      <c r="E129" s="22">
        <f>'A4 control'!AV263</f>
        <v/>
      </c>
      <c r="F129" s="9" t="n">
        <v>0</v>
      </c>
      <c r="G129" s="21">
        <f>D129-$B$137*E129</f>
        <v/>
      </c>
      <c r="H129" s="21">
        <f>H128+G129</f>
        <v/>
      </c>
      <c r="I129" s="21">
        <f>D129-E129</f>
        <v/>
      </c>
      <c r="J129" s="21">
        <f>J128+I129</f>
        <v/>
      </c>
      <c r="K129" s="21">
        <f>K128+D129</f>
        <v/>
      </c>
    </row>
    <row r="130">
      <c r="A130" s="9" t="n">
        <v>5</v>
      </c>
      <c r="B130" s="7" t="n">
        <v>43181</v>
      </c>
      <c r="C130" s="14" t="n">
        <v>1.5010315427</v>
      </c>
      <c r="D130" s="21">
        <f>100*(C130-C129)</f>
        <v/>
      </c>
      <c r="E130" s="22">
        <f>'A4 control'!AV264</f>
        <v/>
      </c>
      <c r="F130" s="9" t="n">
        <v>0</v>
      </c>
      <c r="G130" s="21">
        <f>D130-$B$137*E130</f>
        <v/>
      </c>
      <c r="H130" s="21">
        <f>H129+G130</f>
        <v/>
      </c>
      <c r="I130" s="21">
        <f>D130-E130</f>
        <v/>
      </c>
      <c r="J130" s="21">
        <f>J129+I130</f>
        <v/>
      </c>
      <c r="K130" s="21">
        <f>K129+D130</f>
        <v/>
      </c>
    </row>
    <row r="131">
      <c r="A131" s="9" t="n">
        <v>6</v>
      </c>
      <c r="B131" s="7" t="n">
        <v>43182</v>
      </c>
      <c r="C131" s="14" t="n">
        <v>1.53171598551</v>
      </c>
      <c r="D131" s="21">
        <f>100*(C131-C130)</f>
        <v/>
      </c>
      <c r="E131" s="22">
        <f>'A4 control'!AV265</f>
        <v/>
      </c>
      <c r="F131" s="9" t="n">
        <v>0</v>
      </c>
      <c r="G131" s="21">
        <f>D131-$B$137*E131</f>
        <v/>
      </c>
      <c r="H131" s="21">
        <f>H130+G131</f>
        <v/>
      </c>
      <c r="I131" s="21">
        <f>D131-E131</f>
        <v/>
      </c>
      <c r="J131" s="21">
        <f>J130+I131</f>
        <v/>
      </c>
      <c r="K131" s="21">
        <f>K130+D131</f>
        <v/>
      </c>
    </row>
    <row r="132">
      <c r="A132" s="9" t="n">
        <v>7</v>
      </c>
      <c r="B132" s="7" t="n">
        <v>43185</v>
      </c>
      <c r="C132" s="14" t="n">
        <v>1.53205694643</v>
      </c>
      <c r="D132" s="21">
        <f>100*(C132-C131)</f>
        <v/>
      </c>
      <c r="E132" s="22">
        <f>'A4 control'!AV266</f>
        <v/>
      </c>
      <c r="F132" s="9" t="n">
        <v>0</v>
      </c>
      <c r="G132" s="21">
        <f>D132-$B$137*E132</f>
        <v/>
      </c>
      <c r="H132" s="21">
        <f>H131+G132</f>
        <v/>
      </c>
      <c r="I132" s="21">
        <f>D132-E132</f>
        <v/>
      </c>
      <c r="J132" s="21">
        <f>J131+I132</f>
        <v/>
      </c>
      <c r="K132" s="21">
        <f>K131+D132</f>
        <v/>
      </c>
    </row>
    <row r="133">
      <c r="A133" s="9" t="n">
        <v>8</v>
      </c>
      <c r="B133" s="7" t="n">
        <v>43186</v>
      </c>
      <c r="C133" s="14" t="n">
        <v>1.50258184869</v>
      </c>
      <c r="D133" s="21">
        <f>100*(C133-C132)</f>
        <v/>
      </c>
      <c r="E133" s="22">
        <f>'A4 control'!AV267</f>
        <v/>
      </c>
      <c r="F133" s="9" t="n">
        <v>0</v>
      </c>
      <c r="G133" s="21">
        <f>D133-$B$137*E133</f>
        <v/>
      </c>
      <c r="H133" s="21">
        <f>H132+G133</f>
        <v/>
      </c>
      <c r="I133" s="21">
        <f>D133-E133</f>
        <v/>
      </c>
      <c r="J133" s="21">
        <f>J132+I133</f>
        <v/>
      </c>
      <c r="K133" s="21">
        <f>K132+D133</f>
        <v/>
      </c>
    </row>
    <row r="134">
      <c r="A134" s="9" t="n">
        <v>9</v>
      </c>
      <c r="B134" s="7" t="n">
        <v>43187</v>
      </c>
      <c r="C134" s="14" t="n">
        <v>1.45544984293</v>
      </c>
      <c r="D134" s="21">
        <f>100*(C134-C133)</f>
        <v/>
      </c>
      <c r="E134" s="22">
        <f>'A4 control'!AV268</f>
        <v/>
      </c>
      <c r="F134" s="9" t="n">
        <v>0</v>
      </c>
      <c r="G134" s="21">
        <f>D134-$B$137*E134</f>
        <v/>
      </c>
      <c r="H134" s="21">
        <f>H133+G134</f>
        <v/>
      </c>
      <c r="I134" s="21">
        <f>D134-E134</f>
        <v/>
      </c>
      <c r="J134" s="21">
        <f>J133+I134</f>
        <v/>
      </c>
      <c r="K134" s="21">
        <f>K133+D134</f>
        <v/>
      </c>
    </row>
    <row r="135">
      <c r="A135" s="9" t="n">
        <v>10</v>
      </c>
      <c r="B135" s="7" t="n">
        <v>43188</v>
      </c>
      <c r="C135" s="14" t="n">
        <v>1.44262311548</v>
      </c>
      <c r="D135" s="21">
        <f>100*(C135-C134)</f>
        <v/>
      </c>
      <c r="E135" s="22">
        <f>'A4 control'!AV269</f>
        <v/>
      </c>
      <c r="F135" s="9" t="n">
        <v>0</v>
      </c>
      <c r="G135" s="21">
        <f>D135-$B$137*E135</f>
        <v/>
      </c>
      <c r="H135" s="21">
        <f>H134+G135</f>
        <v/>
      </c>
      <c r="I135" s="21">
        <f>D135-E135</f>
        <v/>
      </c>
      <c r="J135" s="21">
        <f>J134+I135</f>
        <v/>
      </c>
      <c r="K135" s="21">
        <f>K134+D135</f>
        <v/>
      </c>
    </row>
    <row r="137">
      <c r="A137" s="6" t="inlineStr">
        <is>
          <t>β = SLOPE(Δy, Δc) over k = -120..-21</t>
        </is>
      </c>
      <c r="B137" s="23">
        <f>SLOPE(D5:D104,E5:E104)</f>
        <v/>
      </c>
    </row>
    <row r="138">
      <c r="A138" s="6" t="inlineStr">
        <is>
          <t>α (estimated, not subtracted)</t>
        </is>
      </c>
      <c r="B138" s="21">
        <f>INTERCEPT(D5:D104,E5:E104)</f>
        <v/>
      </c>
    </row>
    <row r="139">
      <c r="A139" s="6" t="inlineStr">
        <is>
          <t>R²</t>
        </is>
      </c>
      <c r="B139" s="17">
        <f>RSQ(D5:D104,E5:E104)</f>
        <v/>
      </c>
    </row>
    <row r="140">
      <c r="A140" s="6" t="inlineStr">
        <is>
          <t>Observations</t>
        </is>
      </c>
      <c r="B140" s="18">
        <f>COUNT(D5:D104)</f>
        <v/>
      </c>
    </row>
    <row r="141">
      <c r="A141" s="6" t="inlineStr">
        <is>
          <t>Python β, for comparison</t>
        </is>
      </c>
      <c r="B141" s="24" t="n">
        <v>1.149236519137216</v>
      </c>
    </row>
    <row r="143">
      <c r="A143" s="3" t="inlineStr">
        <is>
          <t>The PM's three numbers (bp)</t>
        </is>
      </c>
      <c r="B143" s="3" t="inlineStr">
        <is>
          <t>B-β (main)</t>
        </is>
      </c>
      <c r="C143" s="3" t="inlineStr">
        <is>
          <t>B (β = 1)</t>
        </is>
      </c>
      <c r="D143" s="3" t="inlineStr">
        <is>
          <t>Raw (no control)</t>
        </is>
      </c>
      <c r="E143" s="3" t="inlineStr">
        <is>
          <t>Python B-β</t>
        </is>
      </c>
    </row>
    <row r="144">
      <c r="A144" s="6" t="inlineStr">
        <is>
          <t>Pre-auction cheapening, CAR(T-1) - CAR(T-6)</t>
        </is>
      </c>
      <c r="B144" s="16">
        <f>H124-H119</f>
        <v/>
      </c>
      <c r="C144" s="17">
        <f>J124-J119</f>
        <v/>
      </c>
      <c r="D144" s="17">
        <f>K124-K119</f>
        <v/>
      </c>
      <c r="E144" s="8" t="n">
        <v>1.188884770858</v>
      </c>
    </row>
    <row r="145">
      <c r="A145" s="6" t="inlineStr">
        <is>
          <t>Auction day, CAR(T) - CAR(T-1)</t>
        </is>
      </c>
      <c r="B145" s="16">
        <f>H125-H124</f>
        <v/>
      </c>
      <c r="C145" s="17">
        <f>J125-J124</f>
        <v/>
      </c>
      <c r="D145" s="17">
        <f>K125-K124</f>
        <v/>
      </c>
      <c r="E145" s="8" t="n">
        <v>1.076271848066776</v>
      </c>
    </row>
    <row r="146">
      <c r="A146" s="6" t="inlineStr">
        <is>
          <t>Post-auction, CAR(T+5) - CAR(T)</t>
        </is>
      </c>
      <c r="B146" s="16">
        <f>H130-H125</f>
        <v/>
      </c>
      <c r="C146" s="17">
        <f>J130-J125</f>
        <v/>
      </c>
      <c r="D146" s="17">
        <f>K130-K125</f>
        <v/>
      </c>
      <c r="E146" s="8" t="n">
        <v>3.865758033759579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10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5" t="inlineStr">
        <is>
          <t>A5: 0½% Treasury Gilt 2061, auction 04 Oct 2022 - M1 (spec §7)</t>
        </is>
      </c>
    </row>
    <row r="3">
      <c r="A3" s="6" t="inlineStr">
        <is>
          <t>Auction date</t>
        </is>
      </c>
      <c r="B3" s="7" t="n">
        <v>44838</v>
      </c>
    </row>
    <row r="4">
      <c r="A4" s="6" t="inlineStr">
        <is>
          <t>Settlement date (DMO issue date)</t>
        </is>
      </c>
      <c r="B4" s="7" t="n">
        <v>44839</v>
      </c>
    </row>
    <row r="5">
      <c r="A5" s="6" t="inlineStr">
        <is>
          <t>Effective settlement (first issue date if later, decision #10)</t>
        </is>
      </c>
      <c r="B5" s="7" t="n">
        <v>44839</v>
      </c>
    </row>
    <row r="6">
      <c r="A6" s="6" t="inlineStr">
        <is>
          <t>Curve date (T-1 close)</t>
        </is>
      </c>
      <c r="B6" s="7" t="n">
        <v>44837</v>
      </c>
    </row>
    <row r="7">
      <c r="A7" s="6" t="inlineStr">
        <is>
          <t>Coupon (% p.a.)</t>
        </is>
      </c>
      <c r="B7" s="8" t="n">
        <v>0.5</v>
      </c>
    </row>
    <row r="8">
      <c r="A8" s="6" t="inlineStr">
        <is>
          <t>Maturity</t>
        </is>
      </c>
      <c r="B8" s="7" t="n">
        <v>59101</v>
      </c>
    </row>
    <row r="9">
      <c r="A9" s="6" t="inlineStr">
        <is>
          <t>First issue date</t>
        </is>
      </c>
      <c r="B9" s="7" t="n">
        <v>43971</v>
      </c>
    </row>
    <row r="10">
      <c r="A10" s="6" t="inlineStr">
        <is>
          <t>First coupon date (source below)</t>
        </is>
      </c>
      <c r="B10" s="7" t="n">
        <v>44126</v>
      </c>
    </row>
    <row r="11">
      <c r="A11" s="6" t="inlineStr">
        <is>
          <t>First coupon source</t>
        </is>
      </c>
      <c r="B11" s="9" t="inlineStr">
        <is>
          <t>rule: issued &gt;= 61 days before next quasi date -&gt; short</t>
        </is>
      </c>
    </row>
    <row r="12">
      <c r="A12" s="6" t="inlineStr">
        <is>
          <t>Accrued interest at settlement (cash_flows)</t>
        </is>
      </c>
      <c r="B12" s="10" t="n">
        <v>0.226775956284153</v>
      </c>
    </row>
    <row r="13">
      <c r="A13" s="6" t="inlineStr">
        <is>
          <t>Average accepted yield, AAY (% , D2.1A)</t>
        </is>
      </c>
      <c r="B13" s="10" t="n">
        <v>3.370646</v>
      </c>
    </row>
    <row r="14">
      <c r="A14" s="6" t="inlineStr">
        <is>
          <t>Curve: last maturity T (y)</t>
        </is>
      </c>
      <c r="B14" s="11" t="n">
        <v>40</v>
      </c>
    </row>
    <row r="15">
      <c r="A15" s="6" t="inlineStr">
        <is>
          <t>Curve: z(T) (%)</t>
        </is>
      </c>
      <c r="B15" s="10" t="n">
        <v>3.202127390214387</v>
      </c>
    </row>
    <row r="16">
      <c r="A16" s="6" t="inlineStr">
        <is>
          <t>Curve: BoE forward f(T) (%)</t>
        </is>
      </c>
      <c r="B16" s="10" t="n">
        <v>1.445576177380825</v>
      </c>
    </row>
    <row r="19">
      <c r="A19" s="3" t="inlineStr">
        <is>
          <t>Cash flow date</t>
        </is>
      </c>
      <c r="B19" s="3" t="inlineStr">
        <is>
          <t>Amount per £100</t>
        </is>
      </c>
      <c r="C19" s="3" t="inlineStr">
        <is>
          <t>t = days/365.25</t>
        </is>
      </c>
      <c r="D19" s="3" t="inlineStr">
        <is>
          <t>z(t) % (spline; flat fwd beyond T)</t>
        </is>
      </c>
      <c r="E19" s="3" t="inlineStr">
        <is>
          <t>DF = exp(-z/100·t)</t>
        </is>
      </c>
      <c r="F19" s="3" t="inlineStr">
        <is>
          <t>PV = amount·DF</t>
        </is>
      </c>
      <c r="G19" s="3" t="inlineStr">
        <is>
          <t>Exponent (semi-annual periods)</t>
        </is>
      </c>
      <c r="H19" s="3" t="inlineStr">
        <is>
          <t>v^exponent at model yield</t>
        </is>
      </c>
      <c r="I19" s="3" t="inlineStr">
        <is>
          <t>PV at model yield</t>
        </is>
      </c>
      <c r="J19" s="3" t="inlineStr">
        <is>
          <t>BoE point below</t>
        </is>
      </c>
      <c r="K19" s="3" t="inlineStr">
        <is>
          <t>z below</t>
        </is>
      </c>
      <c r="L19" s="3" t="inlineStr">
        <is>
          <t>BoE point above</t>
        </is>
      </c>
      <c r="M19" s="3" t="inlineStr">
        <is>
          <t>z above</t>
        </is>
      </c>
      <c r="N19" s="3" t="inlineStr">
        <is>
          <t>Linear interp. of z (check)</t>
        </is>
      </c>
    </row>
    <row r="20">
      <c r="A20" s="7" t="n">
        <v>44856</v>
      </c>
      <c r="B20" s="10" t="n">
        <v>0.25</v>
      </c>
      <c r="C20" s="12">
        <f>(A20-$B$5)/365.25</f>
        <v/>
      </c>
      <c r="D20" s="10" t="n">
        <v>3.026891363512211</v>
      </c>
      <c r="E20" s="13">
        <f>EXP(-D20/100*C20)</f>
        <v/>
      </c>
      <c r="F20" s="12">
        <f>B20*E20</f>
        <v/>
      </c>
      <c r="G20" s="10" t="n">
        <v>0.09289617486338798</v>
      </c>
      <c r="H20" s="13">
        <f>(1/(1+$B$103/200))^G20</f>
        <v/>
      </c>
      <c r="I20" s="12">
        <f>B20*H20</f>
        <v/>
      </c>
    </row>
    <row r="21">
      <c r="A21" s="7" t="n">
        <v>45038</v>
      </c>
      <c r="B21" s="10" t="n">
        <v>0.25</v>
      </c>
      <c r="C21" s="12">
        <f>(A21-$B$5)/365.25</f>
        <v/>
      </c>
      <c r="D21" s="10" t="n">
        <v>3.384108469120156</v>
      </c>
      <c r="E21" s="13">
        <f>EXP(-D21/100*C21)</f>
        <v/>
      </c>
      <c r="F21" s="12">
        <f>B21*E21</f>
        <v/>
      </c>
      <c r="G21" s="10" t="n">
        <v>1.092896174863388</v>
      </c>
      <c r="H21" s="13">
        <f>(1/(1+$B$103/200))^G21</f>
        <v/>
      </c>
      <c r="I21" s="12">
        <f>B21*H21</f>
        <v/>
      </c>
      <c r="J21" s="8" t="n">
        <v>0.5</v>
      </c>
      <c r="K21" s="10" t="n">
        <v>3.318615871585494</v>
      </c>
      <c r="L21" s="8" t="n">
        <v>0.583333</v>
      </c>
      <c r="M21" s="10" t="n">
        <v>3.436355429063456</v>
      </c>
      <c r="N21" s="12">
        <f>IF(L21=J21,K21,K21+(M21-K21)*(C21-J21)/(L21-J21))</f>
        <v/>
      </c>
    </row>
    <row r="22">
      <c r="A22" s="7" t="n">
        <v>45221</v>
      </c>
      <c r="B22" s="10" t="n">
        <v>0.25</v>
      </c>
      <c r="C22" s="12">
        <f>(A22-$B$5)/365.25</f>
        <v/>
      </c>
      <c r="D22" s="10" t="n">
        <v>3.836704157886323</v>
      </c>
      <c r="E22" s="13">
        <f>EXP(-D22/100*C22)</f>
        <v/>
      </c>
      <c r="F22" s="12">
        <f>B22*E22</f>
        <v/>
      </c>
      <c r="G22" s="10" t="n">
        <v>2.092896174863388</v>
      </c>
      <c r="H22" s="13">
        <f>(1/(1+$B$103/200))^G22</f>
        <v/>
      </c>
      <c r="I22" s="12">
        <f>B22*H22</f>
        <v/>
      </c>
      <c r="J22" s="8" t="n">
        <v>1</v>
      </c>
      <c r="K22" s="10" t="n">
        <v>3.810726994755319</v>
      </c>
      <c r="L22" s="8" t="n">
        <v>1.083333</v>
      </c>
      <c r="M22" s="10" t="n">
        <v>3.856443499229292</v>
      </c>
      <c r="N22" s="12">
        <f>IF(L22=J22,K22,K22+(M22-K22)*(C22-J22)/(L22-J22))</f>
        <v/>
      </c>
    </row>
    <row r="23">
      <c r="A23" s="7" t="n">
        <v>45404</v>
      </c>
      <c r="B23" s="10" t="n">
        <v>0.25</v>
      </c>
      <c r="C23" s="12">
        <f>(A23-$B$5)/365.25</f>
        <v/>
      </c>
      <c r="D23" s="10" t="n">
        <v>4.023319600386248</v>
      </c>
      <c r="E23" s="13">
        <f>EXP(-D23/100*C23)</f>
        <v/>
      </c>
      <c r="F23" s="12">
        <f>B23*E23</f>
        <v/>
      </c>
      <c r="G23" s="10" t="n">
        <v>3.092896174863388</v>
      </c>
      <c r="H23" s="13">
        <f>(1/(1+$B$103/200))^G23</f>
        <v/>
      </c>
      <c r="I23" s="12">
        <f>B23*H23</f>
        <v/>
      </c>
      <c r="J23" s="8" t="n">
        <v>1.5</v>
      </c>
      <c r="K23" s="10" t="n">
        <v>4.011216301398241</v>
      </c>
      <c r="L23" s="8" t="n">
        <v>1.583333</v>
      </c>
      <c r="M23" s="10" t="n">
        <v>4.032192190125749</v>
      </c>
      <c r="N23" s="12">
        <f>IF(L23=J23,K23,K23+(M23-K23)*(C23-J23)/(L23-J23))</f>
        <v/>
      </c>
    </row>
    <row r="24">
      <c r="A24" s="7" t="n">
        <v>45587</v>
      </c>
      <c r="B24" s="10" t="n">
        <v>0.25</v>
      </c>
      <c r="C24" s="12">
        <f>(A24-$B$5)/365.25</f>
        <v/>
      </c>
      <c r="D24" s="10" t="n">
        <v>4.113374364502877</v>
      </c>
      <c r="E24" s="13">
        <f>EXP(-D24/100*C24)</f>
        <v/>
      </c>
      <c r="F24" s="12">
        <f>B24*E24</f>
        <v/>
      </c>
      <c r="G24" s="10" t="n">
        <v>4.092896174863388</v>
      </c>
      <c r="H24" s="13">
        <f>(1/(1+$B$103/200))^G24</f>
        <v/>
      </c>
      <c r="I24" s="12">
        <f>B24*H24</f>
        <v/>
      </c>
      <c r="J24" s="8" t="n">
        <v>2</v>
      </c>
      <c r="K24" s="10" t="n">
        <v>4.107242893465295</v>
      </c>
      <c r="L24" s="8" t="n">
        <v>2.083333</v>
      </c>
      <c r="M24" s="10" t="n">
        <v>4.117638020304798</v>
      </c>
      <c r="N24" s="12">
        <f>IF(L24=J24,K24,K24+(M24-K24)*(C24-J24)/(L24-J24))</f>
        <v/>
      </c>
    </row>
    <row r="25">
      <c r="A25" s="7" t="n">
        <v>45769</v>
      </c>
      <c r="B25" s="10" t="n">
        <v>0.25</v>
      </c>
      <c r="C25" s="12">
        <f>(A25-$B$5)/365.25</f>
        <v/>
      </c>
      <c r="D25" s="10" t="n">
        <v>4.156002822568734</v>
      </c>
      <c r="E25" s="13">
        <f>EXP(-D25/100*C25)</f>
        <v/>
      </c>
      <c r="F25" s="12">
        <f>B25*E25</f>
        <v/>
      </c>
      <c r="G25" s="10" t="n">
        <v>5.092896174863388</v>
      </c>
      <c r="H25" s="13">
        <f>(1/(1+$B$103/200))^G25</f>
        <v/>
      </c>
      <c r="I25" s="12">
        <f>B25*H25</f>
        <v/>
      </c>
      <c r="J25" s="8" t="n">
        <v>2.5</v>
      </c>
      <c r="K25" s="10" t="n">
        <v>4.153403185577461</v>
      </c>
      <c r="L25" s="8" t="n">
        <v>2.583333</v>
      </c>
      <c r="M25" s="10" t="n">
        <v>4.157927855522805</v>
      </c>
      <c r="N25" s="12">
        <f>IF(L25=J25,K25,K25+(M25-K25)*(C25-J25)/(L25-J25))</f>
        <v/>
      </c>
    </row>
    <row r="26">
      <c r="A26" s="7" t="n">
        <v>45952</v>
      </c>
      <c r="B26" s="10" t="n">
        <v>0.25</v>
      </c>
      <c r="C26" s="12">
        <f>(A26-$B$5)/365.25</f>
        <v/>
      </c>
      <c r="D26" s="10" t="n">
        <v>4.171705792554857</v>
      </c>
      <c r="E26" s="13">
        <f>EXP(-D26/100*C26)</f>
        <v/>
      </c>
      <c r="F26" s="12">
        <f>B26*E26</f>
        <v/>
      </c>
      <c r="G26" s="10" t="n">
        <v>6.092896174863388</v>
      </c>
      <c r="H26" s="13">
        <f>(1/(1+$B$103/200))^G26</f>
        <v/>
      </c>
      <c r="I26" s="12">
        <f>B26*H26</f>
        <v/>
      </c>
      <c r="J26" s="8" t="n">
        <v>3</v>
      </c>
      <c r="K26" s="10" t="n">
        <v>4.17104846610577</v>
      </c>
      <c r="L26" s="8" t="n">
        <v>3.083333</v>
      </c>
      <c r="M26" s="10" t="n">
        <v>4.172112001545868</v>
      </c>
      <c r="N26" s="12">
        <f>IF(L26=J26,K26,K26+(M26-K26)*(C26-J26)/(L26-J26))</f>
        <v/>
      </c>
    </row>
    <row r="27">
      <c r="A27" s="7" t="n">
        <v>46134</v>
      </c>
      <c r="B27" s="10" t="n">
        <v>0.25</v>
      </c>
      <c r="C27" s="12">
        <f>(A27-$B$5)/365.25</f>
        <v/>
      </c>
      <c r="D27" s="10" t="n">
        <v>4.17105394353314</v>
      </c>
      <c r="E27" s="13">
        <f>EXP(-D27/100*C27)</f>
        <v/>
      </c>
      <c r="F27" s="12">
        <f>B27*E27</f>
        <v/>
      </c>
      <c r="G27" s="10" t="n">
        <v>7.092896174863388</v>
      </c>
      <c r="H27" s="13">
        <f>(1/(1+$B$103/200))^G27</f>
        <v/>
      </c>
      <c r="I27" s="12">
        <f>B27*H27</f>
        <v/>
      </c>
      <c r="J27" s="8" t="n">
        <v>3.5</v>
      </c>
      <c r="K27" s="10" t="n">
        <v>4.171607014247824</v>
      </c>
      <c r="L27" s="8" t="n">
        <v>3.583333</v>
      </c>
      <c r="M27" s="10" t="n">
        <v>4.170530491936494</v>
      </c>
      <c r="N27" s="12">
        <f>IF(L27=J27,K27,K27+(M27-K27)*(C27-J27)/(L27-J27))</f>
        <v/>
      </c>
    </row>
    <row r="28">
      <c r="A28" s="7" t="n">
        <v>46317</v>
      </c>
      <c r="B28" s="10" t="n">
        <v>0.25</v>
      </c>
      <c r="C28" s="12">
        <f>(A28-$B$5)/365.25</f>
        <v/>
      </c>
      <c r="D28" s="10" t="n">
        <v>4.160099705684642</v>
      </c>
      <c r="E28" s="13">
        <f>EXP(-D28/100*C28)</f>
        <v/>
      </c>
      <c r="F28" s="12">
        <f>B28*E28</f>
        <v/>
      </c>
      <c r="G28" s="10" t="n">
        <v>8.092896174863387</v>
      </c>
      <c r="H28" s="13">
        <f>(1/(1+$B$103/200))^G28</f>
        <v/>
      </c>
      <c r="I28" s="12">
        <f>B28*H28</f>
        <v/>
      </c>
      <c r="J28" s="8" t="n">
        <v>4</v>
      </c>
      <c r="K28" s="10" t="n">
        <v>4.161440253561233</v>
      </c>
      <c r="L28" s="8" t="n">
        <v>4.083333</v>
      </c>
      <c r="M28" s="10" t="n">
        <v>4.159000691017582</v>
      </c>
      <c r="N28" s="12">
        <f>IF(L28=J28,K28,K28+(M28-K28)*(C28-J28)/(L28-J28))</f>
        <v/>
      </c>
    </row>
    <row r="29">
      <c r="A29" s="7" t="n">
        <v>46499</v>
      </c>
      <c r="B29" s="10" t="n">
        <v>0.25</v>
      </c>
      <c r="C29" s="12">
        <f>(A29-$B$5)/365.25</f>
        <v/>
      </c>
      <c r="D29" s="10" t="n">
        <v>4.142735077917369</v>
      </c>
      <c r="E29" s="13">
        <f>EXP(-D29/100*C29)</f>
        <v/>
      </c>
      <c r="F29" s="12">
        <f>B29*E29</f>
        <v/>
      </c>
      <c r="G29" s="10" t="n">
        <v>9.092896174863387</v>
      </c>
      <c r="H29" s="13">
        <f>(1/(1+$B$103/200))^G29</f>
        <v/>
      </c>
      <c r="I29" s="12">
        <f>B29*H29</f>
        <v/>
      </c>
      <c r="J29" s="8" t="n">
        <v>4.5</v>
      </c>
      <c r="K29" s="10" t="n">
        <v>4.144486908488467</v>
      </c>
      <c r="L29" s="8" t="n">
        <v>4.583333</v>
      </c>
      <c r="M29" s="10" t="n">
        <v>4.141206342684282</v>
      </c>
      <c r="N29" s="12">
        <f>IF(L29=J29,K29,K29+(M29-K29)*(C29-J29)/(L29-J29))</f>
        <v/>
      </c>
    </row>
    <row r="30">
      <c r="A30" s="7" t="n">
        <v>46682</v>
      </c>
      <c r="B30" s="10" t="n">
        <v>0.25</v>
      </c>
      <c r="C30" s="12">
        <f>(A30-$B$5)/365.25</f>
        <v/>
      </c>
      <c r="D30" s="10" t="n">
        <v>4.121443403205559</v>
      </c>
      <c r="E30" s="13">
        <f>EXP(-D30/100*C30)</f>
        <v/>
      </c>
      <c r="F30" s="12">
        <f>B30*E30</f>
        <v/>
      </c>
      <c r="G30" s="10" t="n">
        <v>10.09289617486339</v>
      </c>
      <c r="H30" s="13">
        <f>(1/(1+$B$103/200))^G30</f>
        <v/>
      </c>
      <c r="I30" s="12">
        <f>B30*H30</f>
        <v/>
      </c>
      <c r="J30" s="8" t="n">
        <v>5</v>
      </c>
      <c r="K30" s="10" t="n">
        <v>4.123494871455373</v>
      </c>
      <c r="L30" s="8" t="n">
        <v>5.5</v>
      </c>
      <c r="M30" s="10" t="n">
        <v>4.100519264517808</v>
      </c>
      <c r="N30" s="12">
        <f>IF(L30=J30,K30,K30+(M30-K30)*(C30-J30)/(L30-J30))</f>
        <v/>
      </c>
    </row>
    <row r="31">
      <c r="A31" s="7" t="n">
        <v>46865</v>
      </c>
      <c r="B31" s="10" t="n">
        <v>0.25</v>
      </c>
      <c r="C31" s="12">
        <f>(A31-$B$5)/365.25</f>
        <v/>
      </c>
      <c r="D31" s="10" t="n">
        <v>4.098323378643957</v>
      </c>
      <c r="E31" s="13">
        <f>EXP(-D31/100*C31)</f>
        <v/>
      </c>
      <c r="F31" s="12">
        <f>B31*E31</f>
        <v/>
      </c>
      <c r="G31" s="10" t="n">
        <v>11.09289617486339</v>
      </c>
      <c r="H31" s="13">
        <f>(1/(1+$B$103/200))^G31</f>
        <v/>
      </c>
      <c r="I31" s="12">
        <f>B31*H31</f>
        <v/>
      </c>
      <c r="J31" s="8" t="n">
        <v>5.5</v>
      </c>
      <c r="K31" s="10" t="n">
        <v>4.100519264517808</v>
      </c>
      <c r="L31" s="8" t="n">
        <v>6</v>
      </c>
      <c r="M31" s="10" t="n">
        <v>4.077162494664065</v>
      </c>
      <c r="N31" s="12">
        <f>IF(L31=J31,K31,K31+(M31-K31)*(C31-J31)/(L31-J31))</f>
        <v/>
      </c>
    </row>
    <row r="32">
      <c r="A32" s="7" t="n">
        <v>47048</v>
      </c>
      <c r="B32" s="10" t="n">
        <v>0.25</v>
      </c>
      <c r="C32" s="12">
        <f>(A32-$B$5)/365.25</f>
        <v/>
      </c>
      <c r="D32" s="10" t="n">
        <v>4.074953409444474</v>
      </c>
      <c r="E32" s="13">
        <f>EXP(-D32/100*C32)</f>
        <v/>
      </c>
      <c r="F32" s="12">
        <f>B32*E32</f>
        <v/>
      </c>
      <c r="G32" s="10" t="n">
        <v>12.09289617486339</v>
      </c>
      <c r="H32" s="13">
        <f>(1/(1+$B$103/200))^G32</f>
        <v/>
      </c>
      <c r="I32" s="12">
        <f>B32*H32</f>
        <v/>
      </c>
      <c r="J32" s="8" t="n">
        <v>6</v>
      </c>
      <c r="K32" s="10" t="n">
        <v>4.077162494664065</v>
      </c>
      <c r="L32" s="8" t="n">
        <v>6.5</v>
      </c>
      <c r="M32" s="10" t="n">
        <v>4.054697504626967</v>
      </c>
      <c r="N32" s="12">
        <f>IF(L32=J32,K32,K32+(M32-K32)*(C32-J32)/(L32-J32))</f>
        <v/>
      </c>
    </row>
    <row r="33">
      <c r="A33" s="7" t="n">
        <v>47230</v>
      </c>
      <c r="B33" s="10" t="n">
        <v>0.25</v>
      </c>
      <c r="C33" s="12">
        <f>(A33-$B$5)/365.25</f>
        <v/>
      </c>
      <c r="D33" s="10" t="n">
        <v>4.052704213251273</v>
      </c>
      <c r="E33" s="13">
        <f>EXP(-D33/100*C33)</f>
        <v/>
      </c>
      <c r="F33" s="12">
        <f>B33*E33</f>
        <v/>
      </c>
      <c r="G33" s="10" t="n">
        <v>13.09289617486339</v>
      </c>
      <c r="H33" s="13">
        <f>(1/(1+$B$103/200))^G33</f>
        <v/>
      </c>
      <c r="I33" s="12">
        <f>B33*H33</f>
        <v/>
      </c>
      <c r="J33" s="8" t="n">
        <v>6.5</v>
      </c>
      <c r="K33" s="10" t="n">
        <v>4.054697504626967</v>
      </c>
      <c r="L33" s="8" t="n">
        <v>7</v>
      </c>
      <c r="M33" s="10" t="n">
        <v>4.034132202040045</v>
      </c>
      <c r="N33" s="12">
        <f>IF(L33=J33,K33,K33+(M33-K33)*(C33-J33)/(L33-J33))</f>
        <v/>
      </c>
    </row>
    <row r="34">
      <c r="A34" s="7" t="n">
        <v>47413</v>
      </c>
      <c r="B34" s="10" t="n">
        <v>0.25</v>
      </c>
      <c r="C34" s="12">
        <f>(A34-$B$5)/365.25</f>
        <v/>
      </c>
      <c r="D34" s="10" t="n">
        <v>4.032317468433106</v>
      </c>
      <c r="E34" s="13">
        <f>EXP(-D34/100*C34)</f>
        <v/>
      </c>
      <c r="F34" s="12">
        <f>B34*E34</f>
        <v/>
      </c>
      <c r="G34" s="10" t="n">
        <v>14.09289617486339</v>
      </c>
      <c r="H34" s="13">
        <f>(1/(1+$B$103/200))^G34</f>
        <v/>
      </c>
      <c r="I34" s="12">
        <f>B34*H34</f>
        <v/>
      </c>
      <c r="J34" s="8" t="n">
        <v>7</v>
      </c>
      <c r="K34" s="10" t="n">
        <v>4.034132202040045</v>
      </c>
      <c r="L34" s="8" t="n">
        <v>7.5</v>
      </c>
      <c r="M34" s="10" t="n">
        <v>4.016227843155693</v>
      </c>
      <c r="N34" s="12">
        <f>IF(L34=J34,K34,K34+(M34-K34)*(C34-J34)/(L34-J34))</f>
        <v/>
      </c>
    </row>
    <row r="35">
      <c r="A35" s="7" t="n">
        <v>47595</v>
      </c>
      <c r="B35" s="10" t="n">
        <v>0.25</v>
      </c>
      <c r="C35" s="12">
        <f>(A35-$B$5)/365.25</f>
        <v/>
      </c>
      <c r="D35" s="10" t="n">
        <v>4.014749813513202</v>
      </c>
      <c r="E35" s="13">
        <f>EXP(-D35/100*C35)</f>
        <v/>
      </c>
      <c r="F35" s="12">
        <f>B35*E35</f>
        <v/>
      </c>
      <c r="G35" s="10" t="n">
        <v>15.09289617486339</v>
      </c>
      <c r="H35" s="13">
        <f>(1/(1+$B$103/200))^G35</f>
        <v/>
      </c>
      <c r="I35" s="12">
        <f>B35*H35</f>
        <v/>
      </c>
      <c r="J35" s="8" t="n">
        <v>7.5</v>
      </c>
      <c r="K35" s="10" t="n">
        <v>4.016227843155693</v>
      </c>
      <c r="L35" s="8" t="n">
        <v>8</v>
      </c>
      <c r="M35" s="10" t="n">
        <v>4.001495662951498</v>
      </c>
      <c r="N35" s="12">
        <f>IF(L35=J35,K35,K35+(M35-K35)*(C35-J35)/(L35-J35))</f>
        <v/>
      </c>
    </row>
    <row r="36">
      <c r="A36" s="7" t="n">
        <v>47778</v>
      </c>
      <c r="B36" s="10" t="n">
        <v>0.25</v>
      </c>
      <c r="C36" s="12">
        <f>(A36-$B$5)/365.25</f>
        <v/>
      </c>
      <c r="D36" s="10" t="n">
        <v>4.000297083757527</v>
      </c>
      <c r="E36" s="13">
        <f>EXP(-D36/100*C36)</f>
        <v/>
      </c>
      <c r="F36" s="12">
        <f>B36*E36</f>
        <v/>
      </c>
      <c r="G36" s="10" t="n">
        <v>16.09289617486339</v>
      </c>
      <c r="H36" s="13">
        <f>(1/(1+$B$103/200))^G36</f>
        <v/>
      </c>
      <c r="I36" s="12">
        <f>B36*H36</f>
        <v/>
      </c>
      <c r="J36" s="8" t="n">
        <v>8</v>
      </c>
      <c r="K36" s="10" t="n">
        <v>4.001495662951498</v>
      </c>
      <c r="L36" s="8" t="n">
        <v>8.5</v>
      </c>
      <c r="M36" s="10" t="n">
        <v>3.990203860496265</v>
      </c>
      <c r="N36" s="12">
        <f>IF(L36=J36,K36,K36+(M36-K36)*(C36-J36)/(L36-J36))</f>
        <v/>
      </c>
    </row>
    <row r="37">
      <c r="A37" s="7" t="n">
        <v>47960</v>
      </c>
      <c r="B37" s="10" t="n">
        <v>0.25</v>
      </c>
      <c r="C37" s="12">
        <f>(A37-$B$5)/365.25</f>
        <v/>
      </c>
      <c r="D37" s="10" t="n">
        <v>3.989362777085668</v>
      </c>
      <c r="E37" s="13">
        <f>EXP(-D37/100*C37)</f>
        <v/>
      </c>
      <c r="F37" s="12">
        <f>B37*E37</f>
        <v/>
      </c>
      <c r="G37" s="10" t="n">
        <v>17.09289617486339</v>
      </c>
      <c r="H37" s="13">
        <f>(1/(1+$B$103/200))^G37</f>
        <v/>
      </c>
      <c r="I37" s="12">
        <f>B37*H37</f>
        <v/>
      </c>
      <c r="J37" s="8" t="n">
        <v>8.5</v>
      </c>
      <c r="K37" s="10" t="n">
        <v>3.990203860496265</v>
      </c>
      <c r="L37" s="8" t="n">
        <v>9</v>
      </c>
      <c r="M37" s="10" t="n">
        <v>3.982402490260486</v>
      </c>
      <c r="N37" s="12">
        <f>IF(L37=J37,K37,K37+(M37-K37)*(C37-J37)/(L37-J37))</f>
        <v/>
      </c>
    </row>
    <row r="38">
      <c r="A38" s="7" t="n">
        <v>48143</v>
      </c>
      <c r="B38" s="10" t="n">
        <v>0.25</v>
      </c>
      <c r="C38" s="12">
        <f>(A38-$B$5)/365.25</f>
        <v/>
      </c>
      <c r="D38" s="10" t="n">
        <v>3.981858134887385</v>
      </c>
      <c r="E38" s="13">
        <f>EXP(-D38/100*C38)</f>
        <v/>
      </c>
      <c r="F38" s="12">
        <f>B38*E38</f>
        <v/>
      </c>
      <c r="G38" s="10" t="n">
        <v>18.09289617486339</v>
      </c>
      <c r="H38" s="13">
        <f>(1/(1+$B$103/200))^G38</f>
        <v/>
      </c>
      <c r="I38" s="12">
        <f>B38*H38</f>
        <v/>
      </c>
      <c r="J38" s="8" t="n">
        <v>9</v>
      </c>
      <c r="K38" s="10" t="n">
        <v>3.982402490260486</v>
      </c>
      <c r="L38" s="8" t="n">
        <v>9.5</v>
      </c>
      <c r="M38" s="10" t="n">
        <v>3.977953743589904</v>
      </c>
      <c r="N38" s="12">
        <f>IF(L38=J38,K38,K38+(M38-K38)*(C38-J38)/(L38-J38))</f>
        <v/>
      </c>
    </row>
    <row r="39">
      <c r="A39" s="7" t="n">
        <v>48326</v>
      </c>
      <c r="B39" s="10" t="n">
        <v>0.25</v>
      </c>
      <c r="C39" s="12">
        <f>(A39-$B$5)/365.25</f>
        <v/>
      </c>
      <c r="D39" s="10" t="n">
        <v>3.977699628005347</v>
      </c>
      <c r="E39" s="13">
        <f>EXP(-D39/100*C39)</f>
        <v/>
      </c>
      <c r="F39" s="12">
        <f>B39*E39</f>
        <v/>
      </c>
      <c r="G39" s="10" t="n">
        <v>19.09289617486339</v>
      </c>
      <c r="H39" s="13">
        <f>(1/(1+$B$103/200))^G39</f>
        <v/>
      </c>
      <c r="I39" s="12">
        <f>B39*H39</f>
        <v/>
      </c>
      <c r="J39" s="8" t="n">
        <v>9.5</v>
      </c>
      <c r="K39" s="10" t="n">
        <v>3.977953743589904</v>
      </c>
      <c r="L39" s="8" t="n">
        <v>10</v>
      </c>
      <c r="M39" s="10" t="n">
        <v>3.976578200642822</v>
      </c>
      <c r="N39" s="12">
        <f>IF(L39=J39,K39,K39+(M39-K39)*(C39-J39)/(L39-J39))</f>
        <v/>
      </c>
    </row>
    <row r="40">
      <c r="A40" s="7" t="n">
        <v>48509</v>
      </c>
      <c r="B40" s="10" t="n">
        <v>0.25</v>
      </c>
      <c r="C40" s="12">
        <f>(A40-$B$5)/365.25</f>
        <v/>
      </c>
      <c r="D40" s="10" t="n">
        <v>3.976593758271805</v>
      </c>
      <c r="E40" s="13">
        <f>EXP(-D40/100*C40)</f>
        <v/>
      </c>
      <c r="F40" s="12">
        <f>B40*E40</f>
        <v/>
      </c>
      <c r="G40" s="10" t="n">
        <v>20.09289617486339</v>
      </c>
      <c r="H40" s="13">
        <f>(1/(1+$B$103/200))^G40</f>
        <v/>
      </c>
      <c r="I40" s="12">
        <f>B40*H40</f>
        <v/>
      </c>
      <c r="J40" s="8" t="n">
        <v>10</v>
      </c>
      <c r="K40" s="10" t="n">
        <v>3.976578200642822</v>
      </c>
      <c r="L40" s="8" t="n">
        <v>10.5</v>
      </c>
      <c r="M40" s="10" t="n">
        <v>3.977880009777977</v>
      </c>
      <c r="N40" s="12">
        <f>IF(L40=J40,K40,K40+(M40-K40)*(C40-J40)/(L40-J40))</f>
        <v/>
      </c>
    </row>
    <row r="41">
      <c r="A41" s="7" t="n">
        <v>48691</v>
      </c>
      <c r="B41" s="10" t="n">
        <v>0.25</v>
      </c>
      <c r="C41" s="12">
        <f>(A41-$B$5)/365.25</f>
        <v/>
      </c>
      <c r="D41" s="10" t="n">
        <v>3.978120071951705</v>
      </c>
      <c r="E41" s="13">
        <f>EXP(-D41/100*C41)</f>
        <v/>
      </c>
      <c r="F41" s="12">
        <f>B41*E41</f>
        <v/>
      </c>
      <c r="G41" s="10" t="n">
        <v>21.09289617486339</v>
      </c>
      <c r="H41" s="13">
        <f>(1/(1+$B$103/200))^G41</f>
        <v/>
      </c>
      <c r="I41" s="12">
        <f>B41*H41</f>
        <v/>
      </c>
      <c r="J41" s="8" t="n">
        <v>10.5</v>
      </c>
      <c r="K41" s="10" t="n">
        <v>3.977880009777977</v>
      </c>
      <c r="L41" s="8" t="n">
        <v>11</v>
      </c>
      <c r="M41" s="10" t="n">
        <v>3.981417292557432</v>
      </c>
      <c r="N41" s="12">
        <f>IF(L41=J41,K41,K41+(M41-K41)*(C41-J41)/(L41-J41))</f>
        <v/>
      </c>
    </row>
    <row r="42">
      <c r="A42" s="7" t="n">
        <v>48874</v>
      </c>
      <c r="B42" s="10" t="n">
        <v>0.25</v>
      </c>
      <c r="C42" s="12">
        <f>(A42-$B$5)/365.25</f>
        <v/>
      </c>
      <c r="D42" s="10" t="n">
        <v>3.981850368672002</v>
      </c>
      <c r="E42" s="13">
        <f>EXP(-D42/100*C42)</f>
        <v/>
      </c>
      <c r="F42" s="12">
        <f>B42*E42</f>
        <v/>
      </c>
      <c r="G42" s="10" t="n">
        <v>22.09289617486339</v>
      </c>
      <c r="H42" s="13">
        <f>(1/(1+$B$103/200))^G42</f>
        <v/>
      </c>
      <c r="I42" s="12">
        <f>B42*H42</f>
        <v/>
      </c>
      <c r="J42" s="8" t="n">
        <v>11</v>
      </c>
      <c r="K42" s="10" t="n">
        <v>3.981417292557432</v>
      </c>
      <c r="L42" s="8" t="n">
        <v>11.5</v>
      </c>
      <c r="M42" s="10" t="n">
        <v>3.986726131875733</v>
      </c>
      <c r="N42" s="12">
        <f>IF(L42=J42,K42,K42+(M42-K42)*(C42-J42)/(L42-J42))</f>
        <v/>
      </c>
    </row>
    <row r="43">
      <c r="A43" s="7" t="n">
        <v>49056</v>
      </c>
      <c r="B43" s="10" t="n">
        <v>0.25</v>
      </c>
      <c r="C43" s="12">
        <f>(A43-$B$5)/365.25</f>
        <v/>
      </c>
      <c r="D43" s="10" t="n">
        <v>3.987280872642607</v>
      </c>
      <c r="E43" s="13">
        <f>EXP(-D43/100*C43)</f>
        <v/>
      </c>
      <c r="F43" s="12">
        <f>B43*E43</f>
        <v/>
      </c>
      <c r="G43" s="10" t="n">
        <v>23.09289617486339</v>
      </c>
      <c r="H43" s="13">
        <f>(1/(1+$B$103/200))^G43</f>
        <v/>
      </c>
      <c r="I43" s="12">
        <f>B43*H43</f>
        <v/>
      </c>
      <c r="J43" s="8" t="n">
        <v>11.5</v>
      </c>
      <c r="K43" s="10" t="n">
        <v>3.986726131875733</v>
      </c>
      <c r="L43" s="8" t="n">
        <v>12</v>
      </c>
      <c r="M43" s="10" t="n">
        <v>3.993325237107018</v>
      </c>
      <c r="N43" s="12">
        <f>IF(L43=J43,K43,K43+(M43-K43)*(C43-J43)/(L43-J43))</f>
        <v/>
      </c>
    </row>
    <row r="44">
      <c r="A44" s="7" t="n">
        <v>49239</v>
      </c>
      <c r="B44" s="10" t="n">
        <v>0.25</v>
      </c>
      <c r="C44" s="12">
        <f>(A44-$B$5)/365.25</f>
        <v/>
      </c>
      <c r="D44" s="10" t="n">
        <v>3.993987618719523</v>
      </c>
      <c r="E44" s="13">
        <f>EXP(-D44/100*C44)</f>
        <v/>
      </c>
      <c r="F44" s="12">
        <f>B44*E44</f>
        <v/>
      </c>
      <c r="G44" s="10" t="n">
        <v>24.09289617486339</v>
      </c>
      <c r="H44" s="13">
        <f>(1/(1+$B$103/200))^G44</f>
        <v/>
      </c>
      <c r="I44" s="12">
        <f>B44*H44</f>
        <v/>
      </c>
      <c r="J44" s="8" t="n">
        <v>12</v>
      </c>
      <c r="K44" s="10" t="n">
        <v>3.993325237107018</v>
      </c>
      <c r="L44" s="8" t="n">
        <v>12.5</v>
      </c>
      <c r="M44" s="10" t="n">
        <v>4.000724477937797</v>
      </c>
      <c r="N44" s="12">
        <f>IF(L44=J44,K44,K44+(M44-K44)*(C44-J44)/(L44-J44))</f>
        <v/>
      </c>
    </row>
    <row r="45">
      <c r="A45" s="7" t="n">
        <v>49421</v>
      </c>
      <c r="B45" s="10" t="n">
        <v>0.25</v>
      </c>
      <c r="C45" s="12">
        <f>(A45-$B$5)/365.25</f>
        <v/>
      </c>
      <c r="D45" s="10" t="n">
        <v>4.00141094512137</v>
      </c>
      <c r="E45" s="13">
        <f>EXP(-D45/100*C45)</f>
        <v/>
      </c>
      <c r="F45" s="12">
        <f>B45*E45</f>
        <v/>
      </c>
      <c r="G45" s="10" t="n">
        <v>25.09289617486339</v>
      </c>
      <c r="H45" s="13">
        <f>(1/(1+$B$103/200))^G45</f>
        <v/>
      </c>
      <c r="I45" s="12">
        <f>B45*H45</f>
        <v/>
      </c>
      <c r="J45" s="8" t="n">
        <v>12.5</v>
      </c>
      <c r="K45" s="10" t="n">
        <v>4.000724477937797</v>
      </c>
      <c r="L45" s="8" t="n">
        <v>13</v>
      </c>
      <c r="M45" s="10" t="n">
        <v>4.008463556398497</v>
      </c>
      <c r="N45" s="12">
        <f>IF(L45=J45,K45,K45+(M45-K45)*(C45-J45)/(L45-J45))</f>
        <v/>
      </c>
    </row>
    <row r="46">
      <c r="A46" s="7" t="n">
        <v>49604</v>
      </c>
      <c r="B46" s="10" t="n">
        <v>0.25</v>
      </c>
      <c r="C46" s="12">
        <f>(A46-$B$5)/365.25</f>
        <v/>
      </c>
      <c r="D46" s="10" t="n">
        <v>4.009175726208292</v>
      </c>
      <c r="E46" s="13">
        <f>EXP(-D46/100*C46)</f>
        <v/>
      </c>
      <c r="F46" s="12">
        <f>B46*E46</f>
        <v/>
      </c>
      <c r="G46" s="10" t="n">
        <v>26.09289617486339</v>
      </c>
      <c r="H46" s="13">
        <f>(1/(1+$B$103/200))^G46</f>
        <v/>
      </c>
      <c r="I46" s="12">
        <f>B46*H46</f>
        <v/>
      </c>
      <c r="J46" s="8" t="n">
        <v>13</v>
      </c>
      <c r="K46" s="10" t="n">
        <v>4.008463556398497</v>
      </c>
      <c r="L46" s="8" t="n">
        <v>13.5</v>
      </c>
      <c r="M46" s="10" t="n">
        <v>4.01613196373422</v>
      </c>
      <c r="N46" s="12">
        <f>IF(L46=J46,K46,K46+(M46-K46)*(C46-J46)/(L46-J46))</f>
        <v/>
      </c>
    </row>
    <row r="47">
      <c r="A47" s="7" t="n">
        <v>49787</v>
      </c>
      <c r="B47" s="10" t="n">
        <v>0.25</v>
      </c>
      <c r="C47" s="12">
        <f>(A47-$B$5)/365.25</f>
        <v/>
      </c>
      <c r="D47" s="10" t="n">
        <v>4.016833753627741</v>
      </c>
      <c r="E47" s="13">
        <f>EXP(-D47/100*C47)</f>
        <v/>
      </c>
      <c r="F47" s="12">
        <f>B47*E47</f>
        <v/>
      </c>
      <c r="G47" s="10" t="n">
        <v>27.09289617486339</v>
      </c>
      <c r="H47" s="13">
        <f>(1/(1+$B$103/200))^G47</f>
        <v/>
      </c>
      <c r="I47" s="12">
        <f>B47*H47</f>
        <v/>
      </c>
      <c r="J47" s="8" t="n">
        <v>13.5</v>
      </c>
      <c r="K47" s="10" t="n">
        <v>4.01613196373422</v>
      </c>
      <c r="L47" s="8" t="n">
        <v>14</v>
      </c>
      <c r="M47" s="10" t="n">
        <v>4.023359531613528</v>
      </c>
      <c r="N47" s="12">
        <f>IF(L47=J47,K47,K47+(M47-K47)*(C47-J47)/(L47-J47))</f>
        <v/>
      </c>
    </row>
    <row r="48">
      <c r="A48" s="7" t="n">
        <v>49970</v>
      </c>
      <c r="B48" s="10" t="n">
        <v>0.25</v>
      </c>
      <c r="C48" s="12">
        <f>(A48-$B$5)/365.25</f>
        <v/>
      </c>
      <c r="D48" s="10" t="n">
        <v>4.024016836776445</v>
      </c>
      <c r="E48" s="13">
        <f>EXP(-D48/100*C48)</f>
        <v/>
      </c>
      <c r="F48" s="12">
        <f>B48*E48</f>
        <v/>
      </c>
      <c r="G48" s="10" t="n">
        <v>28.09289617486339</v>
      </c>
      <c r="H48" s="13">
        <f>(1/(1+$B$103/200))^G48</f>
        <v/>
      </c>
      <c r="I48" s="12">
        <f>B48*H48</f>
        <v/>
      </c>
      <c r="J48" s="8" t="n">
        <v>14</v>
      </c>
      <c r="K48" s="10" t="n">
        <v>4.023359531613528</v>
      </c>
      <c r="L48" s="8" t="n">
        <v>14.5</v>
      </c>
      <c r="M48" s="10" t="n">
        <v>4.029830392181117</v>
      </c>
      <c r="N48" s="12">
        <f>IF(L48=J48,K48,K48+(M48-K48)*(C48-J48)/(L48-J48))</f>
        <v/>
      </c>
    </row>
    <row r="49">
      <c r="A49" s="7" t="n">
        <v>50152</v>
      </c>
      <c r="B49" s="10" t="n">
        <v>0.25</v>
      </c>
      <c r="C49" s="12">
        <f>(A49-$B$5)/365.25</f>
        <v/>
      </c>
      <c r="D49" s="10" t="n">
        <v>4.03038072481801</v>
      </c>
      <c r="E49" s="13">
        <f>EXP(-D49/100*C49)</f>
        <v/>
      </c>
      <c r="F49" s="12">
        <f>B49*E49</f>
        <v/>
      </c>
      <c r="G49" s="10" t="n">
        <v>29.09289617486339</v>
      </c>
      <c r="H49" s="13">
        <f>(1/(1+$B$103/200))^G49</f>
        <v/>
      </c>
      <c r="I49" s="12">
        <f>B49*H49</f>
        <v/>
      </c>
      <c r="J49" s="8" t="n">
        <v>14.5</v>
      </c>
      <c r="K49" s="10" t="n">
        <v>4.029830392181117</v>
      </c>
      <c r="L49" s="8" t="n">
        <v>15</v>
      </c>
      <c r="M49" s="10" t="n">
        <v>4.03529071060725</v>
      </c>
      <c r="N49" s="12">
        <f>IF(L49=J49,K49,K49+(M49-K49)*(C49-J49)/(L49-J49))</f>
        <v/>
      </c>
    </row>
    <row r="50">
      <c r="A50" s="7" t="n">
        <v>50335</v>
      </c>
      <c r="B50" s="10" t="n">
        <v>0.25</v>
      </c>
      <c r="C50" s="12">
        <f>(A50-$B$5)/365.25</f>
        <v/>
      </c>
      <c r="D50" s="10" t="n">
        <v>4.035746587925549</v>
      </c>
      <c r="E50" s="13">
        <f>EXP(-D50/100*C50)</f>
        <v/>
      </c>
      <c r="F50" s="12">
        <f>B50*E50</f>
        <v/>
      </c>
      <c r="G50" s="10" t="n">
        <v>30.09289617486339</v>
      </c>
      <c r="H50" s="13">
        <f>(1/(1+$B$103/200))^G50</f>
        <v/>
      </c>
      <c r="I50" s="12">
        <f>B50*H50</f>
        <v/>
      </c>
      <c r="J50" s="8" t="n">
        <v>15</v>
      </c>
      <c r="K50" s="10" t="n">
        <v>4.03529071060725</v>
      </c>
      <c r="L50" s="8" t="n">
        <v>15.5</v>
      </c>
      <c r="M50" s="10" t="n">
        <v>4.039539663899836</v>
      </c>
      <c r="N50" s="12">
        <f>IF(L50=J50,K50,K50+(M50-K50)*(C50-J50)/(L50-J50))</f>
        <v/>
      </c>
    </row>
    <row r="51">
      <c r="A51" s="7" t="n">
        <v>50517</v>
      </c>
      <c r="B51" s="10" t="n">
        <v>0.25</v>
      </c>
      <c r="C51" s="12">
        <f>(A51-$B$5)/365.25</f>
        <v/>
      </c>
      <c r="D51" s="10" t="n">
        <v>4.039860588728026</v>
      </c>
      <c r="E51" s="13">
        <f>EXP(-D51/100*C51)</f>
        <v/>
      </c>
      <c r="F51" s="12">
        <f>B51*E51</f>
        <v/>
      </c>
      <c r="G51" s="10" t="n">
        <v>31.09289617486339</v>
      </c>
      <c r="H51" s="13">
        <f>(1/(1+$B$103/200))^G51</f>
        <v/>
      </c>
      <c r="I51" s="12">
        <f>B51*H51</f>
        <v/>
      </c>
      <c r="J51" s="8" t="n">
        <v>15.5</v>
      </c>
      <c r="K51" s="10" t="n">
        <v>4.039539663899836</v>
      </c>
      <c r="L51" s="8" t="n">
        <v>16</v>
      </c>
      <c r="M51" s="10" t="n">
        <v>4.042421157804797</v>
      </c>
      <c r="N51" s="12">
        <f>IF(L51=J51,K51,K51+(M51-K51)*(C51-J51)/(L51-J51))</f>
        <v/>
      </c>
    </row>
    <row r="52">
      <c r="A52" s="7" t="n">
        <v>50700</v>
      </c>
      <c r="B52" s="10" t="n">
        <v>0.25</v>
      </c>
      <c r="C52" s="12">
        <f>(A52-$B$5)/365.25</f>
        <v/>
      </c>
      <c r="D52" s="10" t="n">
        <v>4.042615293460571</v>
      </c>
      <c r="E52" s="13">
        <f>EXP(-D52/100*C52)</f>
        <v/>
      </c>
      <c r="F52" s="12">
        <f>B52*E52</f>
        <v/>
      </c>
      <c r="G52" s="10" t="n">
        <v>32.09289617486339</v>
      </c>
      <c r="H52" s="13">
        <f>(1/(1+$B$103/200))^G52</f>
        <v/>
      </c>
      <c r="I52" s="12">
        <f>B52*H52</f>
        <v/>
      </c>
      <c r="J52" s="8" t="n">
        <v>16</v>
      </c>
      <c r="K52" s="10" t="n">
        <v>4.042421157804797</v>
      </c>
      <c r="L52" s="8" t="n">
        <v>16.5</v>
      </c>
      <c r="M52" s="10" t="n">
        <v>4.043817475200941</v>
      </c>
      <c r="N52" s="12">
        <f>IF(L52=J52,K52,K52+(M52-K52)*(C52-J52)/(L52-J52))</f>
        <v/>
      </c>
    </row>
    <row r="53">
      <c r="A53" s="7" t="n">
        <v>50882</v>
      </c>
      <c r="B53" s="10" t="n">
        <v>0.25</v>
      </c>
      <c r="C53" s="12">
        <f>(A53-$B$5)/365.25</f>
        <v/>
      </c>
      <c r="D53" s="10" t="n">
        <v>4.043867209969984</v>
      </c>
      <c r="E53" s="13">
        <f>EXP(-D53/100*C53)</f>
        <v/>
      </c>
      <c r="F53" s="12">
        <f>B53*E53</f>
        <v/>
      </c>
      <c r="G53" s="10" t="n">
        <v>33.09289617486339</v>
      </c>
      <c r="H53" s="13">
        <f>(1/(1+$B$103/200))^G53</f>
        <v/>
      </c>
      <c r="I53" s="12">
        <f>B53*H53</f>
        <v/>
      </c>
      <c r="J53" s="8" t="n">
        <v>16.5</v>
      </c>
      <c r="K53" s="10" t="n">
        <v>4.043817475200941</v>
      </c>
      <c r="L53" s="8" t="n">
        <v>17</v>
      </c>
      <c r="M53" s="10" t="n">
        <v>4.043654901501047</v>
      </c>
      <c r="N53" s="12">
        <f>IF(L53=J53,K53,K53+(M53-K53)*(C53-J53)/(L53-J53))</f>
        <v/>
      </c>
    </row>
    <row r="54">
      <c r="A54" s="7" t="n">
        <v>51065</v>
      </c>
      <c r="B54" s="10" t="n">
        <v>0.25</v>
      </c>
      <c r="C54" s="12">
        <f>(A54-$B$5)/365.25</f>
        <v/>
      </c>
      <c r="D54" s="10" t="n">
        <v>4.043560731433766</v>
      </c>
      <c r="E54" s="13">
        <f>EXP(-D54/100*C54)</f>
        <v/>
      </c>
      <c r="F54" s="12">
        <f>B54*E54</f>
        <v/>
      </c>
      <c r="G54" s="10" t="n">
        <v>34.09289617486339</v>
      </c>
      <c r="H54" s="13">
        <f>(1/(1+$B$103/200))^G54</f>
        <v/>
      </c>
      <c r="I54" s="12">
        <f>B54*H54</f>
        <v/>
      </c>
      <c r="J54" s="8" t="n">
        <v>17</v>
      </c>
      <c r="K54" s="10" t="n">
        <v>4.043654901501047</v>
      </c>
      <c r="L54" s="8" t="n">
        <v>17.5</v>
      </c>
      <c r="M54" s="10" t="n">
        <v>4.04190765811144</v>
      </c>
      <c r="N54" s="12">
        <f>IF(L54=J54,K54,K54+(M54-K54)*(C54-J54)/(L54-J54))</f>
        <v/>
      </c>
    </row>
    <row r="55">
      <c r="A55" s="7" t="n">
        <v>51248</v>
      </c>
      <c r="B55" s="10" t="n">
        <v>0.25</v>
      </c>
      <c r="C55" s="12">
        <f>(A55-$B$5)/365.25</f>
        <v/>
      </c>
      <c r="D55" s="10" t="n">
        <v>4.041662619218955</v>
      </c>
      <c r="E55" s="13">
        <f>EXP(-D55/100*C55)</f>
        <v/>
      </c>
      <c r="F55" s="12">
        <f>B55*E55</f>
        <v/>
      </c>
      <c r="G55" s="10" t="n">
        <v>35.09289617486339</v>
      </c>
      <c r="H55" s="13">
        <f>(1/(1+$B$103/200))^G55</f>
        <v/>
      </c>
      <c r="I55" s="12">
        <f>B55*H55</f>
        <v/>
      </c>
      <c r="J55" s="8" t="n">
        <v>17.5</v>
      </c>
      <c r="K55" s="10" t="n">
        <v>4.04190765811144</v>
      </c>
      <c r="L55" s="8" t="n">
        <v>18</v>
      </c>
      <c r="M55" s="10" t="n">
        <v>4.038584444187365</v>
      </c>
      <c r="N55" s="12">
        <f>IF(L55=J55,K55,K55+(M55-K55)*(C55-J55)/(L55-J55))</f>
        <v/>
      </c>
    </row>
    <row r="56">
      <c r="A56" s="7" t="n">
        <v>51431</v>
      </c>
      <c r="B56" s="10" t="n">
        <v>0.25</v>
      </c>
      <c r="C56" s="12">
        <f>(A56-$B$5)/365.25</f>
        <v/>
      </c>
      <c r="D56" s="10" t="n">
        <v>4.038184375475645</v>
      </c>
      <c r="E56" s="13">
        <f>EXP(-D56/100*C56)</f>
        <v/>
      </c>
      <c r="F56" s="12">
        <f>B56*E56</f>
        <v/>
      </c>
      <c r="G56" s="10" t="n">
        <v>36.09289617486339</v>
      </c>
      <c r="H56" s="13">
        <f>(1/(1+$B$103/200))^G56</f>
        <v/>
      </c>
      <c r="I56" s="12">
        <f>B56*H56</f>
        <v/>
      </c>
      <c r="J56" s="8" t="n">
        <v>18</v>
      </c>
      <c r="K56" s="10" t="n">
        <v>4.038584444187365</v>
      </c>
      <c r="L56" s="8" t="n">
        <v>18.5</v>
      </c>
      <c r="M56" s="10" t="n">
        <v>4.033721457935593</v>
      </c>
      <c r="N56" s="12">
        <f>IF(L56=J56,K56,K56+(M56-K56)*(C56-J56)/(L56-J56))</f>
        <v/>
      </c>
    </row>
    <row r="57">
      <c r="A57" s="7" t="n">
        <v>51613</v>
      </c>
      <c r="B57" s="10" t="n">
        <v>0.25</v>
      </c>
      <c r="C57" s="12">
        <f>(A57-$B$5)/365.25</f>
        <v/>
      </c>
      <c r="D57" s="10" t="n">
        <v>4.03319629791871</v>
      </c>
      <c r="E57" s="13">
        <f>EXP(-D57/100*C57)</f>
        <v/>
      </c>
      <c r="F57" s="12">
        <f>B57*E57</f>
        <v/>
      </c>
      <c r="G57" s="10" t="n">
        <v>37.09289617486339</v>
      </c>
      <c r="H57" s="13">
        <f>(1/(1+$B$103/200))^G57</f>
        <v/>
      </c>
      <c r="I57" s="12">
        <f>B57*H57</f>
        <v/>
      </c>
      <c r="J57" s="8" t="n">
        <v>18.5</v>
      </c>
      <c r="K57" s="10" t="n">
        <v>4.033721457935593</v>
      </c>
      <c r="L57" s="8" t="n">
        <v>19</v>
      </c>
      <c r="M57" s="10" t="n">
        <v>4.027376635208359</v>
      </c>
      <c r="N57" s="12">
        <f>IF(L57=J57,K57,K57+(M57-K57)*(C57-J57)/(L57-J57))</f>
        <v/>
      </c>
    </row>
    <row r="58">
      <c r="A58" s="7" t="n">
        <v>51796</v>
      </c>
      <c r="B58" s="10" t="n">
        <v>0.25</v>
      </c>
      <c r="C58" s="12">
        <f>(A58-$B$5)/365.25</f>
        <v/>
      </c>
      <c r="D58" s="10" t="n">
        <v>4.026703252967169</v>
      </c>
      <c r="E58" s="13">
        <f>EXP(-D58/100*C58)</f>
        <v/>
      </c>
      <c r="F58" s="12">
        <f>B58*E58</f>
        <v/>
      </c>
      <c r="G58" s="10" t="n">
        <v>38.09289617486339</v>
      </c>
      <c r="H58" s="13">
        <f>(1/(1+$B$103/200))^G58</f>
        <v/>
      </c>
      <c r="I58" s="12">
        <f>B58*H58</f>
        <v/>
      </c>
      <c r="J58" s="8" t="n">
        <v>19</v>
      </c>
      <c r="K58" s="10" t="n">
        <v>4.027376635208359</v>
      </c>
      <c r="L58" s="8" t="n">
        <v>19.5</v>
      </c>
      <c r="M58" s="10" t="n">
        <v>4.0196221665839</v>
      </c>
      <c r="N58" s="12">
        <f>IF(L58=J58,K58,K58+(M58-K58)*(C58-J58)/(L58-J58))</f>
        <v/>
      </c>
    </row>
    <row r="59">
      <c r="A59" s="7" t="n">
        <v>51978</v>
      </c>
      <c r="B59" s="10" t="n">
        <v>0.25</v>
      </c>
      <c r="C59" s="12">
        <f>(A59-$B$5)/365.25</f>
        <v/>
      </c>
      <c r="D59" s="10" t="n">
        <v>4.018849005747062</v>
      </c>
      <c r="E59" s="13">
        <f>EXP(-D59/100*C59)</f>
        <v/>
      </c>
      <c r="F59" s="12">
        <f>B59*E59</f>
        <v/>
      </c>
      <c r="G59" s="10" t="n">
        <v>39.09289617486339</v>
      </c>
      <c r="H59" s="13">
        <f>(1/(1+$B$103/200))^G59</f>
        <v/>
      </c>
      <c r="I59" s="12">
        <f>B59*H59</f>
        <v/>
      </c>
      <c r="J59" s="8" t="n">
        <v>19.5</v>
      </c>
      <c r="K59" s="10" t="n">
        <v>4.0196221665839</v>
      </c>
      <c r="L59" s="8" t="n">
        <v>20</v>
      </c>
      <c r="M59" s="10" t="n">
        <v>4.010538991463307</v>
      </c>
      <c r="N59" s="12">
        <f>IF(L59=J59,K59,K59+(M59-K59)*(C59-J59)/(L59-J59))</f>
        <v/>
      </c>
    </row>
    <row r="60">
      <c r="A60" s="7" t="n">
        <v>52161</v>
      </c>
      <c r="B60" s="10" t="n">
        <v>0.25</v>
      </c>
      <c r="C60" s="12">
        <f>(A60-$B$5)/365.25</f>
        <v/>
      </c>
      <c r="D60" s="10" t="n">
        <v>4.009628868114135</v>
      </c>
      <c r="E60" s="13">
        <f>EXP(-D60/100*C60)</f>
        <v/>
      </c>
      <c r="F60" s="12">
        <f>B60*E60</f>
        <v/>
      </c>
      <c r="G60" s="10" t="n">
        <v>40.09289617486339</v>
      </c>
      <c r="H60" s="13">
        <f>(1/(1+$B$103/200))^G60</f>
        <v/>
      </c>
      <c r="I60" s="12">
        <f>B60*H60</f>
        <v/>
      </c>
      <c r="J60" s="8" t="n">
        <v>20</v>
      </c>
      <c r="K60" s="10" t="n">
        <v>4.010538991463307</v>
      </c>
      <c r="L60" s="8" t="n">
        <v>20.5</v>
      </c>
      <c r="M60" s="10" t="n">
        <v>4.000212306891727</v>
      </c>
      <c r="N60" s="12">
        <f>IF(L60=J60,K60,K60+(M60-K60)*(C60-J60)/(L60-J60))</f>
        <v/>
      </c>
    </row>
    <row r="61">
      <c r="A61" s="7" t="n">
        <v>52343</v>
      </c>
      <c r="B61" s="10" t="n">
        <v>0.25</v>
      </c>
      <c r="C61" s="12">
        <f>(A61-$B$5)/365.25</f>
        <v/>
      </c>
      <c r="D61" s="10" t="n">
        <v>3.999228589039776</v>
      </c>
      <c r="E61" s="13">
        <f>EXP(-D61/100*C61)</f>
        <v/>
      </c>
      <c r="F61" s="12">
        <f>B61*E61</f>
        <v/>
      </c>
      <c r="G61" s="10" t="n">
        <v>41.09289617486339</v>
      </c>
      <c r="H61" s="13">
        <f>(1/(1+$B$103/200))^G61</f>
        <v/>
      </c>
      <c r="I61" s="12">
        <f>B61*H61</f>
        <v/>
      </c>
      <c r="J61" s="8" t="n">
        <v>20.5</v>
      </c>
      <c r="K61" s="10" t="n">
        <v>4.000212306891727</v>
      </c>
      <c r="L61" s="8" t="n">
        <v>21</v>
      </c>
      <c r="M61" s="10" t="n">
        <v>3.988729008159587</v>
      </c>
      <c r="N61" s="12">
        <f>IF(L61=J61,K61,K61+(M61-K61)*(C61-J61)/(L61-J61))</f>
        <v/>
      </c>
    </row>
    <row r="62">
      <c r="A62" s="7" t="n">
        <v>52526</v>
      </c>
      <c r="B62" s="10" t="n">
        <v>0.25</v>
      </c>
      <c r="C62" s="12">
        <f>(A62-$B$5)/365.25</f>
        <v/>
      </c>
      <c r="D62" s="10" t="n">
        <v>3.987620858228267</v>
      </c>
      <c r="E62" s="13">
        <f>EXP(-D62/100*C62)</f>
        <v/>
      </c>
      <c r="F62" s="12">
        <f>B62*E62</f>
        <v/>
      </c>
      <c r="G62" s="10" t="n">
        <v>42.09289617486339</v>
      </c>
      <c r="H62" s="13">
        <f>(1/(1+$B$103/200))^G62</f>
        <v/>
      </c>
      <c r="I62" s="12">
        <f>B62*H62</f>
        <v/>
      </c>
      <c r="J62" s="8" t="n">
        <v>21</v>
      </c>
      <c r="K62" s="10" t="n">
        <v>3.988729008159587</v>
      </c>
      <c r="L62" s="8" t="n">
        <v>21.5</v>
      </c>
      <c r="M62" s="10" t="n">
        <v>3.976173803896443</v>
      </c>
      <c r="N62" s="12">
        <f>IF(L62=J62,K62,K62+(M62-K62)*(C62-J62)/(L62-J62))</f>
        <v/>
      </c>
    </row>
    <row r="63">
      <c r="A63" s="7" t="n">
        <v>52709</v>
      </c>
      <c r="B63" s="10" t="n">
        <v>0.25</v>
      </c>
      <c r="C63" s="12">
        <f>(A63-$B$5)/365.25</f>
        <v/>
      </c>
      <c r="D63" s="10" t="n">
        <v>3.974944466433337</v>
      </c>
      <c r="E63" s="13">
        <f>EXP(-D63/100*C63)</f>
        <v/>
      </c>
      <c r="F63" s="12">
        <f>B63*E63</f>
        <v/>
      </c>
      <c r="G63" s="10" t="n">
        <v>43.09289617486339</v>
      </c>
      <c r="H63" s="13">
        <f>(1/(1+$B$103/200))^G63</f>
        <v/>
      </c>
      <c r="I63" s="12">
        <f>B63*H63</f>
        <v/>
      </c>
      <c r="J63" s="8" t="n">
        <v>21.5</v>
      </c>
      <c r="K63" s="10" t="n">
        <v>3.976173803896443</v>
      </c>
      <c r="L63" s="8" t="n">
        <v>22</v>
      </c>
      <c r="M63" s="10" t="n">
        <v>3.962628097948897</v>
      </c>
      <c r="N63" s="12">
        <f>IF(L63=J63,K63,K63+(M63-K63)*(C63-J63)/(L63-J63))</f>
        <v/>
      </c>
    </row>
    <row r="64">
      <c r="A64" s="7" t="n">
        <v>52892</v>
      </c>
      <c r="B64" s="10" t="n">
        <v>0.25</v>
      </c>
      <c r="C64" s="12">
        <f>(A64-$B$5)/365.25</f>
        <v/>
      </c>
      <c r="D64" s="10" t="n">
        <v>3.961280933080191</v>
      </c>
      <c r="E64" s="13">
        <f>EXP(-D64/100*C64)</f>
        <v/>
      </c>
      <c r="F64" s="12">
        <f>B64*E64</f>
        <v/>
      </c>
      <c r="G64" s="10" t="n">
        <v>44.09289617486339</v>
      </c>
      <c r="H64" s="13">
        <f>(1/(1+$B$103/200))^G64</f>
        <v/>
      </c>
      <c r="I64" s="12">
        <f>B64*H64</f>
        <v/>
      </c>
      <c r="J64" s="8" t="n">
        <v>22</v>
      </c>
      <c r="K64" s="10" t="n">
        <v>3.962628097948897</v>
      </c>
      <c r="L64" s="8" t="n">
        <v>22.5</v>
      </c>
      <c r="M64" s="10" t="n">
        <v>3.948168484704436</v>
      </c>
      <c r="N64" s="12">
        <f>IF(L64=J64,K64,K64+(M64-K64)*(C64-J64)/(L64-J64))</f>
        <v/>
      </c>
    </row>
    <row r="65">
      <c r="A65" s="7" t="n">
        <v>53074</v>
      </c>
      <c r="B65" s="10" t="n">
        <v>0.25</v>
      </c>
      <c r="C65" s="12">
        <f>(A65-$B$5)/365.25</f>
        <v/>
      </c>
      <c r="D65" s="10" t="n">
        <v>3.946788811402888</v>
      </c>
      <c r="E65" s="13">
        <f>EXP(-D65/100*C65)</f>
        <v/>
      </c>
      <c r="F65" s="12">
        <f>B65*E65</f>
        <v/>
      </c>
      <c r="G65" s="10" t="n">
        <v>45.09289617486339</v>
      </c>
      <c r="H65" s="13">
        <f>(1/(1+$B$103/200))^G65</f>
        <v/>
      </c>
      <c r="I65" s="12">
        <f>B65*H65</f>
        <v/>
      </c>
      <c r="J65" s="8" t="n">
        <v>22.5</v>
      </c>
      <c r="K65" s="10" t="n">
        <v>3.948168484704436</v>
      </c>
      <c r="L65" s="8" t="n">
        <v>23</v>
      </c>
      <c r="M65" s="10" t="n">
        <v>3.932866257714819</v>
      </c>
      <c r="N65" s="12">
        <f>IF(L65=J65,K65,K65+(M65-K65)*(C65-J65)/(L65-J65))</f>
        <v/>
      </c>
    </row>
    <row r="66">
      <c r="A66" s="7" t="n">
        <v>53257</v>
      </c>
      <c r="B66" s="10" t="n">
        <v>0.25</v>
      </c>
      <c r="C66" s="12">
        <f>(A66-$B$5)/365.25</f>
        <v/>
      </c>
      <c r="D66" s="10" t="n">
        <v>3.931379736619837</v>
      </c>
      <c r="E66" s="13">
        <f>EXP(-D66/100*C66)</f>
        <v/>
      </c>
      <c r="F66" s="12">
        <f>B66*E66</f>
        <v/>
      </c>
      <c r="G66" s="10" t="n">
        <v>46.09289617486339</v>
      </c>
      <c r="H66" s="13">
        <f>(1/(1+$B$103/200))^G66</f>
        <v/>
      </c>
      <c r="I66" s="12">
        <f>B66*H66</f>
        <v/>
      </c>
      <c r="J66" s="8" t="n">
        <v>23</v>
      </c>
      <c r="K66" s="10" t="n">
        <v>3.932866257714819</v>
      </c>
      <c r="L66" s="8" t="n">
        <v>23.5</v>
      </c>
      <c r="M66" s="10" t="n">
        <v>3.916787110478505</v>
      </c>
      <c r="N66" s="12">
        <f>IF(L66=J66,K66,K66+(M66-K66)*(C66-J66)/(L66-J66))</f>
        <v/>
      </c>
    </row>
    <row r="67">
      <c r="A67" s="7" t="n">
        <v>53439</v>
      </c>
      <c r="B67" s="10" t="n">
        <v>0.25</v>
      </c>
      <c r="C67" s="12">
        <f>(A67-$B$5)/365.25</f>
        <v/>
      </c>
      <c r="D67" s="10" t="n">
        <v>3.915286914865691</v>
      </c>
      <c r="E67" s="13">
        <f>EXP(-D67/100*C67)</f>
        <v/>
      </c>
      <c r="F67" s="12">
        <f>B67*E67</f>
        <v/>
      </c>
      <c r="G67" s="10" t="n">
        <v>47.09289617486339</v>
      </c>
      <c r="H67" s="13">
        <f>(1/(1+$B$103/200))^G67</f>
        <v/>
      </c>
      <c r="I67" s="12">
        <f>B67*H67</f>
        <v/>
      </c>
      <c r="J67" s="8" t="n">
        <v>23.5</v>
      </c>
      <c r="K67" s="10" t="n">
        <v>3.916787110478505</v>
      </c>
      <c r="L67" s="8" t="n">
        <v>24</v>
      </c>
      <c r="M67" s="10" t="n">
        <v>3.899991278265034</v>
      </c>
      <c r="N67" s="12">
        <f>IF(L67=J67,K67,K67+(M67-K67)*(C67-J67)/(L67-J67))</f>
        <v/>
      </c>
    </row>
    <row r="68">
      <c r="A68" s="7" t="n">
        <v>53622</v>
      </c>
      <c r="B68" s="10" t="n">
        <v>0.25</v>
      </c>
      <c r="C68" s="12">
        <f>(A68-$B$5)/365.25</f>
        <v/>
      </c>
      <c r="D68" s="10" t="n">
        <v>3.898393338536582</v>
      </c>
      <c r="E68" s="13">
        <f>EXP(-D68/100*C68)</f>
        <v/>
      </c>
      <c r="F68" s="12">
        <f>B68*E68</f>
        <v/>
      </c>
      <c r="G68" s="10" t="n">
        <v>48.09289617486339</v>
      </c>
      <c r="H68" s="13">
        <f>(1/(1+$B$103/200))^G68</f>
        <v/>
      </c>
      <c r="I68" s="12">
        <f>B68*H68</f>
        <v/>
      </c>
      <c r="J68" s="8" t="n">
        <v>24</v>
      </c>
      <c r="K68" s="10" t="n">
        <v>3.899991278265034</v>
      </c>
      <c r="L68" s="8" t="n">
        <v>24.5</v>
      </c>
      <c r="M68" s="10" t="n">
        <v>3.882533779505442</v>
      </c>
      <c r="N68" s="12">
        <f>IF(L68=J68,K68,K68+(M68-K68)*(C68-J68)/(L68-J68))</f>
        <v/>
      </c>
    </row>
    <row r="69">
      <c r="A69" s="7" t="n">
        <v>53804</v>
      </c>
      <c r="B69" s="10" t="n">
        <v>0.25</v>
      </c>
      <c r="C69" s="12">
        <f>(A69-$B$5)/365.25</f>
        <v/>
      </c>
      <c r="D69" s="10" t="n">
        <v>3.880937878327435</v>
      </c>
      <c r="E69" s="13">
        <f>EXP(-D69/100*C69)</f>
        <v/>
      </c>
      <c r="F69" s="12">
        <f>B69*E69</f>
        <v/>
      </c>
      <c r="G69" s="10" t="n">
        <v>49.09289617486339</v>
      </c>
      <c r="H69" s="13">
        <f>(1/(1+$B$103/200))^G69</f>
        <v/>
      </c>
      <c r="I69" s="12">
        <f>B69*H69</f>
        <v/>
      </c>
      <c r="J69" s="8" t="n">
        <v>24.5</v>
      </c>
      <c r="K69" s="10" t="n">
        <v>3.882533779505442</v>
      </c>
      <c r="L69" s="8" t="n">
        <v>25</v>
      </c>
      <c r="M69" s="10" t="n">
        <v>3.864464704328178</v>
      </c>
      <c r="N69" s="12">
        <f>IF(L69=J69,K69,K69+(M69-K69)*(C69-J69)/(L69-J69))</f>
        <v/>
      </c>
    </row>
    <row r="70">
      <c r="A70" s="7" t="n">
        <v>53987</v>
      </c>
      <c r="B70" s="10" t="n">
        <v>0.25</v>
      </c>
      <c r="C70" s="12">
        <f>(A70-$B$5)/365.25</f>
        <v/>
      </c>
      <c r="D70" s="10" t="n">
        <v>3.862778448761095</v>
      </c>
      <c r="E70" s="13">
        <f>EXP(-D70/100*C70)</f>
        <v/>
      </c>
      <c r="F70" s="12">
        <f>B70*E70</f>
        <v/>
      </c>
      <c r="G70" s="10" t="n">
        <v>50.09289617486339</v>
      </c>
      <c r="H70" s="13">
        <f>(1/(1+$B$103/200))^G70</f>
        <v/>
      </c>
      <c r="I70" s="12">
        <f>B70*H70</f>
        <v/>
      </c>
      <c r="J70" s="8" t="n">
        <v>25</v>
      </c>
      <c r="K70" s="10" t="n">
        <v>3.864464704328178</v>
      </c>
      <c r="L70" s="8" t="n">
        <v>25.5</v>
      </c>
      <c r="M70" s="10" t="n">
        <v>3.845829558921856</v>
      </c>
      <c r="N70" s="12">
        <f>IF(L70=J70,K70,K70+(M70-K70)*(C70-J70)/(L70-J70))</f>
        <v/>
      </c>
    </row>
    <row r="71">
      <c r="A71" s="7" t="n">
        <v>54170</v>
      </c>
      <c r="B71" s="10" t="n">
        <v>0.25</v>
      </c>
      <c r="C71" s="12">
        <f>(A71-$B$5)/365.25</f>
        <v/>
      </c>
      <c r="D71" s="10" t="n">
        <v>3.844054603343426</v>
      </c>
      <c r="E71" s="13">
        <f>EXP(-D71/100*C71)</f>
        <v/>
      </c>
      <c r="F71" s="12">
        <f>B71*E71</f>
        <v/>
      </c>
      <c r="G71" s="10" t="n">
        <v>51.09289617486339</v>
      </c>
      <c r="H71" s="13">
        <f>(1/(1+$B$103/200))^G71</f>
        <v/>
      </c>
      <c r="I71" s="12">
        <f>B71*H71</f>
        <v/>
      </c>
      <c r="J71" s="8" t="n">
        <v>25.5</v>
      </c>
      <c r="K71" s="10" t="n">
        <v>3.845829558921856</v>
      </c>
      <c r="L71" s="8" t="n">
        <v>26</v>
      </c>
      <c r="M71" s="10" t="n">
        <v>3.826669888550723</v>
      </c>
      <c r="N71" s="12">
        <f>IF(L71=J71,K71,K71+(M71-K71)*(C71-J71)/(L71-J71))</f>
        <v/>
      </c>
    </row>
    <row r="72">
      <c r="A72" s="7" t="n">
        <v>54353</v>
      </c>
      <c r="B72" s="10" t="n">
        <v>0.25</v>
      </c>
      <c r="C72" s="12">
        <f>(A72-$B$5)/365.25</f>
        <v/>
      </c>
      <c r="D72" s="10" t="n">
        <v>3.824807801831361</v>
      </c>
      <c r="E72" s="13">
        <f>EXP(-D72/100*C72)</f>
        <v/>
      </c>
      <c r="F72" s="12">
        <f>B72*E72</f>
        <v/>
      </c>
      <c r="G72" s="10" t="n">
        <v>52.09289617486339</v>
      </c>
      <c r="H72" s="13">
        <f>(1/(1+$B$103/200))^G72</f>
        <v/>
      </c>
      <c r="I72" s="12">
        <f>B72*H72</f>
        <v/>
      </c>
      <c r="J72" s="8" t="n">
        <v>26</v>
      </c>
      <c r="K72" s="10" t="n">
        <v>3.826669888550723</v>
      </c>
      <c r="L72" s="8" t="n">
        <v>26.5</v>
      </c>
      <c r="M72" s="10" t="n">
        <v>3.807023750986985</v>
      </c>
      <c r="N72" s="12">
        <f>IF(L72=J72,K72,K72+(M72-K72)*(C72-J72)/(L72-J72))</f>
        <v/>
      </c>
    </row>
    <row r="73">
      <c r="A73" s="7" t="n">
        <v>54535</v>
      </c>
      <c r="B73" s="10" t="n">
        <v>0.25</v>
      </c>
      <c r="C73" s="12">
        <f>(A73-$B$5)/365.25</f>
        <v/>
      </c>
      <c r="D73" s="10" t="n">
        <v>3.80518510048583</v>
      </c>
      <c r="E73" s="13">
        <f>EXP(-D73/100*C73)</f>
        <v/>
      </c>
      <c r="F73" s="12">
        <f>B73*E73</f>
        <v/>
      </c>
      <c r="G73" s="10" t="n">
        <v>53.09289617486339</v>
      </c>
      <c r="H73" s="13">
        <f>(1/(1+$B$103/200))^G73</f>
        <v/>
      </c>
      <c r="I73" s="12">
        <f>B73*H73</f>
        <v/>
      </c>
      <c r="J73" s="8" t="n">
        <v>26.5</v>
      </c>
      <c r="K73" s="10" t="n">
        <v>3.807023750986985</v>
      </c>
      <c r="L73" s="8" t="n">
        <v>27</v>
      </c>
      <c r="M73" s="10" t="n">
        <v>3.786926181269306</v>
      </c>
      <c r="N73" s="12">
        <f>IF(L73=J73,K73,K73+(M73-K73)*(C73-J73)/(L73-J73))</f>
        <v/>
      </c>
    </row>
    <row r="74">
      <c r="A74" s="7" t="n">
        <v>54718</v>
      </c>
      <c r="B74" s="10" t="n">
        <v>0.25</v>
      </c>
      <c r="C74" s="12">
        <f>(A74-$B$5)/365.25</f>
        <v/>
      </c>
      <c r="D74" s="10" t="n">
        <v>3.785005714844476</v>
      </c>
      <c r="E74" s="13">
        <f>EXP(-D74/100*C74)</f>
        <v/>
      </c>
      <c r="F74" s="12">
        <f>B74*E74</f>
        <v/>
      </c>
      <c r="G74" s="10" t="n">
        <v>54.09289617486339</v>
      </c>
      <c r="H74" s="13">
        <f>(1/(1+$B$103/200))^G74</f>
        <v/>
      </c>
      <c r="I74" s="12">
        <f>B74*H74</f>
        <v/>
      </c>
      <c r="J74" s="8" t="n">
        <v>27</v>
      </c>
      <c r="K74" s="10" t="n">
        <v>3.786926181269306</v>
      </c>
      <c r="L74" s="8" t="n">
        <v>27.5</v>
      </c>
      <c r="M74" s="10" t="n">
        <v>3.766410050239396</v>
      </c>
      <c r="N74" s="12">
        <f>IF(L74=J74,K74,K74+(M74-K74)*(C74-J74)/(L74-J74))</f>
        <v/>
      </c>
    </row>
    <row r="75">
      <c r="A75" s="7" t="n">
        <v>54900</v>
      </c>
      <c r="B75" s="10" t="n">
        <v>0.25</v>
      </c>
      <c r="C75" s="12">
        <f>(A75-$B$5)/365.25</f>
        <v/>
      </c>
      <c r="D75" s="10" t="n">
        <v>3.7645227022592</v>
      </c>
      <c r="E75" s="13">
        <f>EXP(-D75/100*C75)</f>
        <v/>
      </c>
      <c r="F75" s="12">
        <f>B75*E75</f>
        <v/>
      </c>
      <c r="G75" s="10" t="n">
        <v>55.09289617486339</v>
      </c>
      <c r="H75" s="13">
        <f>(1/(1+$B$103/200))^G75</f>
        <v/>
      </c>
      <c r="I75" s="12">
        <f>B75*H75</f>
        <v/>
      </c>
      <c r="J75" s="8" t="n">
        <v>27.5</v>
      </c>
      <c r="K75" s="10" t="n">
        <v>3.766410050239396</v>
      </c>
      <c r="L75" s="8" t="n">
        <v>28</v>
      </c>
      <c r="M75" s="10" t="n">
        <v>3.745506707930758</v>
      </c>
      <c r="N75" s="12">
        <f>IF(L75=J75,K75,K75+(M75-K75)*(C75-J75)/(L75-J75))</f>
        <v/>
      </c>
    </row>
    <row r="76">
      <c r="A76" s="7" t="n">
        <v>55083</v>
      </c>
      <c r="B76" s="10" t="n">
        <v>0.25</v>
      </c>
      <c r="C76" s="12">
        <f>(A76-$B$5)/365.25</f>
        <v/>
      </c>
      <c r="D76" s="10" t="n">
        <v>3.743542265530273</v>
      </c>
      <c r="E76" s="13">
        <f>EXP(-D76/100*C76)</f>
        <v/>
      </c>
      <c r="F76" s="12">
        <f>B76*E76</f>
        <v/>
      </c>
      <c r="G76" s="10" t="n">
        <v>56.09289617486339</v>
      </c>
      <c r="H76" s="13">
        <f>(1/(1+$B$103/200))^G76</f>
        <v/>
      </c>
      <c r="I76" s="12">
        <f>B76*H76</f>
        <v/>
      </c>
      <c r="J76" s="8" t="n">
        <v>28</v>
      </c>
      <c r="K76" s="10" t="n">
        <v>3.745506707930758</v>
      </c>
      <c r="L76" s="8" t="n">
        <v>28.5</v>
      </c>
      <c r="M76" s="10" t="n">
        <v>3.724246577192146</v>
      </c>
      <c r="N76" s="12">
        <f>IF(L76=J76,K76,K76+(M76-K76)*(C76-J76)/(L76-J76))</f>
        <v/>
      </c>
    </row>
    <row r="77">
      <c r="A77" s="7" t="n">
        <v>55265</v>
      </c>
      <c r="B77" s="10" t="n">
        <v>0.25</v>
      </c>
      <c r="C77" s="12">
        <f>(A77-$B$5)/365.25</f>
        <v/>
      </c>
      <c r="D77" s="10" t="n">
        <v>3.722323885143485</v>
      </c>
      <c r="E77" s="13">
        <f>EXP(-D77/100*C77)</f>
        <v/>
      </c>
      <c r="F77" s="12">
        <f>B77*E77</f>
        <v/>
      </c>
      <c r="G77" s="10" t="n">
        <v>57.09289617486339</v>
      </c>
      <c r="H77" s="13">
        <f>(1/(1+$B$103/200))^G77</f>
        <v/>
      </c>
      <c r="I77" s="12">
        <f>B77*H77</f>
        <v/>
      </c>
      <c r="J77" s="8" t="n">
        <v>28.5</v>
      </c>
      <c r="K77" s="10" t="n">
        <v>3.724246577192146</v>
      </c>
      <c r="L77" s="8" t="n">
        <v>29</v>
      </c>
      <c r="M77" s="10" t="n">
        <v>3.702659549355056</v>
      </c>
      <c r="N77" s="12">
        <f>IF(L77=J77,K77,K77+(M77-K77)*(C77-J77)/(L77-J77))</f>
        <v/>
      </c>
    </row>
    <row r="78">
      <c r="A78" s="7" t="n">
        <v>55448</v>
      </c>
      <c r="B78" s="10" t="n">
        <v>0.25</v>
      </c>
      <c r="C78" s="12">
        <f>(A78-$B$5)/365.25</f>
        <v/>
      </c>
      <c r="D78" s="10" t="n">
        <v>3.700664301619656</v>
      </c>
      <c r="E78" s="13">
        <f>EXP(-D78/100*C78)</f>
        <v/>
      </c>
      <c r="F78" s="12">
        <f>B78*E78</f>
        <v/>
      </c>
      <c r="G78" s="10" t="n">
        <v>58.09289617486339</v>
      </c>
      <c r="H78" s="13">
        <f>(1/(1+$B$103/200))^G78</f>
        <v/>
      </c>
      <c r="I78" s="12">
        <f>B78*H78</f>
        <v/>
      </c>
      <c r="J78" s="8" t="n">
        <v>29</v>
      </c>
      <c r="K78" s="10" t="n">
        <v>3.702659549355056</v>
      </c>
      <c r="L78" s="8" t="n">
        <v>29.5</v>
      </c>
      <c r="M78" s="10" t="n">
        <v>3.680775313720949</v>
      </c>
      <c r="N78" s="12">
        <f>IF(L78=J78,K78,K78+(M78-K78)*(C78-J78)/(L78-J78))</f>
        <v/>
      </c>
    </row>
    <row r="79">
      <c r="A79" s="7" t="n">
        <v>55631</v>
      </c>
      <c r="B79" s="10" t="n">
        <v>0.25</v>
      </c>
      <c r="C79" s="12">
        <f>(A79-$B$5)/365.25</f>
        <v/>
      </c>
      <c r="D79" s="10" t="n">
        <v>3.678709016111397</v>
      </c>
      <c r="E79" s="13">
        <f>EXP(-D79/100*C79)</f>
        <v/>
      </c>
      <c r="F79" s="12">
        <f>B79*E79</f>
        <v/>
      </c>
      <c r="G79" s="10" t="n">
        <v>59.09289617486339</v>
      </c>
      <c r="H79" s="13">
        <f>(1/(1+$B$103/200))^G79</f>
        <v/>
      </c>
      <c r="I79" s="12">
        <f>B79*H79</f>
        <v/>
      </c>
      <c r="J79" s="8" t="n">
        <v>29.5</v>
      </c>
      <c r="K79" s="10" t="n">
        <v>3.680775313720949</v>
      </c>
      <c r="L79" s="8" t="n">
        <v>30</v>
      </c>
      <c r="M79" s="10" t="n">
        <v>3.658623434775111</v>
      </c>
      <c r="N79" s="12">
        <f>IF(L79=J79,K79,K79+(M79-K79)*(C79-J79)/(L79-J79))</f>
        <v/>
      </c>
    </row>
    <row r="80">
      <c r="A80" s="7" t="n">
        <v>55814</v>
      </c>
      <c r="B80" s="10" t="n">
        <v>0.25</v>
      </c>
      <c r="C80" s="12">
        <f>(A80-$B$5)/365.25</f>
        <v/>
      </c>
      <c r="D80" s="10" t="n">
        <v>3.656487765142301</v>
      </c>
      <c r="E80" s="13">
        <f>EXP(-D80/100*C80)</f>
        <v/>
      </c>
      <c r="F80" s="12">
        <f>B80*E80</f>
        <v/>
      </c>
      <c r="G80" s="10" t="n">
        <v>60.09289617486339</v>
      </c>
      <c r="H80" s="13">
        <f>(1/(1+$B$103/200))^G80</f>
        <v/>
      </c>
      <c r="I80" s="12">
        <f>B80*H80</f>
        <v/>
      </c>
      <c r="J80" s="8" t="n">
        <v>30</v>
      </c>
      <c r="K80" s="10" t="n">
        <v>3.658623434775111</v>
      </c>
      <c r="L80" s="8" t="n">
        <v>30.5</v>
      </c>
      <c r="M80" s="10" t="n">
        <v>3.636233390261973</v>
      </c>
      <c r="N80" s="12">
        <f>IF(L80=J80,K80,K80+(M80-K80)*(C80-J80)/(L80-J80))</f>
        <v/>
      </c>
    </row>
    <row r="81">
      <c r="A81" s="7" t="n">
        <v>55996</v>
      </c>
      <c r="B81" s="10" t="n">
        <v>0.25</v>
      </c>
      <c r="C81" s="12">
        <f>(A81-$B$5)/365.25</f>
        <v/>
      </c>
      <c r="D81" s="10" t="n">
        <v>3.63415351181658</v>
      </c>
      <c r="E81" s="13">
        <f>EXP(-D81/100*C81)</f>
        <v/>
      </c>
      <c r="F81" s="12">
        <f>B81*E81</f>
        <v/>
      </c>
      <c r="G81" s="10" t="n">
        <v>61.09289617486339</v>
      </c>
      <c r="H81" s="13">
        <f>(1/(1+$B$103/200))^G81</f>
        <v/>
      </c>
      <c r="I81" s="12">
        <f>B81*H81</f>
        <v/>
      </c>
      <c r="J81" s="8" t="n">
        <v>30.5</v>
      </c>
      <c r="K81" s="10" t="n">
        <v>3.636233390261973</v>
      </c>
      <c r="L81" s="8" t="n">
        <v>31</v>
      </c>
      <c r="M81" s="10" t="n">
        <v>3.613634647828234</v>
      </c>
      <c r="N81" s="12">
        <f>IF(L81=J81,K81,K81+(M81-K81)*(C81-J81)/(L81-J81))</f>
        <v/>
      </c>
    </row>
    <row r="82">
      <c r="A82" s="7" t="n">
        <v>56179</v>
      </c>
      <c r="B82" s="10" t="n">
        <v>0.25</v>
      </c>
      <c r="C82" s="12">
        <f>(A82-$B$5)/365.25</f>
        <v/>
      </c>
      <c r="D82" s="10" t="n">
        <v>3.611490341003362</v>
      </c>
      <c r="E82" s="13">
        <f>EXP(-D82/100*C82)</f>
        <v/>
      </c>
      <c r="F82" s="12">
        <f>B82*E82</f>
        <v/>
      </c>
      <c r="G82" s="10" t="n">
        <v>62.09289617486339</v>
      </c>
      <c r="H82" s="13">
        <f>(1/(1+$B$103/200))^G82</f>
        <v/>
      </c>
      <c r="I82" s="12">
        <f>B82*H82</f>
        <v/>
      </c>
      <c r="J82" s="8" t="n">
        <v>31</v>
      </c>
      <c r="K82" s="10" t="n">
        <v>3.613634647828234</v>
      </c>
      <c r="L82" s="8" t="n">
        <v>31.5</v>
      </c>
      <c r="M82" s="10" t="n">
        <v>3.590856696682898</v>
      </c>
      <c r="N82" s="12">
        <f>IF(L82=J82,K82,K82+(M82-K82)*(C82-J82)/(L82-J82))</f>
        <v/>
      </c>
    </row>
    <row r="83">
      <c r="A83" s="7" t="n">
        <v>56361</v>
      </c>
      <c r="B83" s="10" t="n">
        <v>0.25</v>
      </c>
      <c r="C83" s="12">
        <f>(A83-$B$5)/365.25</f>
        <v/>
      </c>
      <c r="D83" s="10" t="n">
        <v>3.588775260817828</v>
      </c>
      <c r="E83" s="13">
        <f>EXP(-D83/100*C83)</f>
        <v/>
      </c>
      <c r="F83" s="12">
        <f>B83*E83</f>
        <v/>
      </c>
      <c r="G83" s="10" t="n">
        <v>63.09289617486339</v>
      </c>
      <c r="H83" s="13">
        <f>(1/(1+$B$103/200))^G83</f>
        <v/>
      </c>
      <c r="I83" s="12">
        <f>B83*H83</f>
        <v/>
      </c>
      <c r="J83" s="8" t="n">
        <v>31.5</v>
      </c>
      <c r="K83" s="10" t="n">
        <v>3.590856696682898</v>
      </c>
      <c r="L83" s="8" t="n">
        <v>32</v>
      </c>
      <c r="M83" s="10" t="n">
        <v>3.567929046703986</v>
      </c>
      <c r="N83" s="12">
        <f>IF(L83=J83,K83,K83+(M83-K83)*(C83-J83)/(L83-J83))</f>
        <v/>
      </c>
    </row>
    <row r="84">
      <c r="A84" s="7" t="n">
        <v>56544</v>
      </c>
      <c r="B84" s="10" t="n">
        <v>0.25</v>
      </c>
      <c r="C84" s="12">
        <f>(A84-$B$5)/365.25</f>
        <v/>
      </c>
      <c r="D84" s="10" t="n">
        <v>3.565788214519371</v>
      </c>
      <c r="E84" s="13">
        <f>EXP(-D84/100*C84)</f>
        <v/>
      </c>
      <c r="F84" s="12">
        <f>B84*E84</f>
        <v/>
      </c>
      <c r="G84" s="10" t="n">
        <v>64.09289617486338</v>
      </c>
      <c r="H84" s="13">
        <f>(1/(1+$B$103/200))^G84</f>
        <v/>
      </c>
      <c r="I84" s="12">
        <f>B84*H84</f>
        <v/>
      </c>
      <c r="J84" s="8" t="n">
        <v>32</v>
      </c>
      <c r="K84" s="10" t="n">
        <v>3.567929046703986</v>
      </c>
      <c r="L84" s="8" t="n">
        <v>32.5</v>
      </c>
      <c r="M84" s="10" t="n">
        <v>3.544881220437428</v>
      </c>
      <c r="N84" s="12">
        <f>IF(L84=J84,K84,K84+(M84-K84)*(C84-J84)/(L84-J84))</f>
        <v/>
      </c>
    </row>
    <row r="85">
      <c r="A85" s="7" t="n">
        <v>56726</v>
      </c>
      <c r="B85" s="10" t="n">
        <v>0.25</v>
      </c>
      <c r="C85" s="12">
        <f>(A85-$B$5)/365.25</f>
        <v/>
      </c>
      <c r="D85" s="10" t="n">
        <v>3.542809778028836</v>
      </c>
      <c r="E85" s="13">
        <f>EXP(-D85/100*C85)</f>
        <v/>
      </c>
      <c r="F85" s="12">
        <f>B85*E85</f>
        <v/>
      </c>
      <c r="G85" s="10" t="n">
        <v>65.09289617486338</v>
      </c>
      <c r="H85" s="13">
        <f>(1/(1+$B$103/200))^G85</f>
        <v/>
      </c>
      <c r="I85" s="12">
        <f>B85*H85</f>
        <v/>
      </c>
      <c r="J85" s="8" t="n">
        <v>32.5</v>
      </c>
      <c r="K85" s="10" t="n">
        <v>3.544881220437428</v>
      </c>
      <c r="L85" s="8" t="n">
        <v>33</v>
      </c>
      <c r="M85" s="10" t="n">
        <v>3.521742644696507</v>
      </c>
      <c r="N85" s="12">
        <f>IF(L85=J85,K85,K85+(M85-K85)*(C85-J85)/(L85-J85))</f>
        <v/>
      </c>
    </row>
    <row r="86">
      <c r="A86" s="7" t="n">
        <v>56909</v>
      </c>
      <c r="B86" s="10" t="n">
        <v>0.25</v>
      </c>
      <c r="C86" s="12">
        <f>(A86-$B$5)/365.25</f>
        <v/>
      </c>
      <c r="D86" s="10" t="n">
        <v>3.519616899077507</v>
      </c>
      <c r="E86" s="13">
        <f>EXP(-D86/100*C86)</f>
        <v/>
      </c>
      <c r="F86" s="12">
        <f>B86*E86</f>
        <v/>
      </c>
      <c r="G86" s="10" t="n">
        <v>66.09289617486338</v>
      </c>
      <c r="H86" s="13">
        <f>(1/(1+$B$103/200))^G86</f>
        <v/>
      </c>
      <c r="I86" s="12">
        <f>B86*H86</f>
        <v/>
      </c>
      <c r="J86" s="8" t="n">
        <v>33</v>
      </c>
      <c r="K86" s="10" t="n">
        <v>3.521742644696507</v>
      </c>
      <c r="L86" s="8" t="n">
        <v>33.5</v>
      </c>
      <c r="M86" s="10" t="n">
        <v>3.498542507155415</v>
      </c>
      <c r="N86" s="12">
        <f>IF(L86=J86,K86,K86+(M86-K86)*(C86-J86)/(L86-J86))</f>
        <v/>
      </c>
    </row>
    <row r="87">
      <c r="A87" s="7" t="n">
        <v>57092</v>
      </c>
      <c r="B87" s="10" t="n">
        <v>0.25</v>
      </c>
      <c r="C87" s="12">
        <f>(A87-$B$5)/365.25</f>
        <v/>
      </c>
      <c r="D87" s="10" t="n">
        <v>3.496364875765638</v>
      </c>
      <c r="E87" s="13">
        <f>EXP(-D87/100*C87)</f>
        <v/>
      </c>
      <c r="F87" s="12">
        <f>B87*E87</f>
        <v/>
      </c>
      <c r="G87" s="10" t="n">
        <v>67.09289617486338</v>
      </c>
      <c r="H87" s="13">
        <f>(1/(1+$B$103/200))^G87</f>
        <v/>
      </c>
      <c r="I87" s="12">
        <f>B87*H87</f>
        <v/>
      </c>
      <c r="J87" s="8" t="n">
        <v>33.5</v>
      </c>
      <c r="K87" s="10" t="n">
        <v>3.498542507155415</v>
      </c>
      <c r="L87" s="8" t="n">
        <v>34</v>
      </c>
      <c r="M87" s="10" t="n">
        <v>3.475309485970032</v>
      </c>
      <c r="N87" s="12">
        <f>IF(L87=J87,K87,K87+(M87-K87)*(C87-J87)/(L87-J87))</f>
        <v/>
      </c>
    </row>
    <row r="88">
      <c r="A88" s="7" t="n">
        <v>57275</v>
      </c>
      <c r="B88" s="10" t="n">
        <v>0.25</v>
      </c>
      <c r="C88" s="12">
        <f>(A88-$B$5)/365.25</f>
        <v/>
      </c>
      <c r="D88" s="10" t="n">
        <v>3.473082482236821</v>
      </c>
      <c r="E88" s="13">
        <f>EXP(-D88/100*C88)</f>
        <v/>
      </c>
      <c r="F88" s="12">
        <f>B88*E88</f>
        <v/>
      </c>
      <c r="G88" s="10" t="n">
        <v>68.09289617486338</v>
      </c>
      <c r="H88" s="13">
        <f>(1/(1+$B$103/200))^G88</f>
        <v/>
      </c>
      <c r="I88" s="12">
        <f>B88*H88</f>
        <v/>
      </c>
      <c r="J88" s="8" t="n">
        <v>34</v>
      </c>
      <c r="K88" s="10" t="n">
        <v>3.475309485970032</v>
      </c>
      <c r="L88" s="8" t="n">
        <v>34.5</v>
      </c>
      <c r="M88" s="10" t="n">
        <v>3.452071156688076</v>
      </c>
      <c r="N88" s="12">
        <f>IF(L88=J88,K88,K88+(M88-K88)*(C88-J88)/(L88-J88))</f>
        <v/>
      </c>
    </row>
    <row r="89">
      <c r="A89" s="7" t="n">
        <v>57457</v>
      </c>
      <c r="B89" s="10" t="n">
        <v>0.25</v>
      </c>
      <c r="C89" s="12">
        <f>(A89-$B$5)/365.25</f>
        <v/>
      </c>
      <c r="D89" s="10" t="n">
        <v>3.449924548218251</v>
      </c>
      <c r="E89" s="13">
        <f>EXP(-D89/100*C89)</f>
        <v/>
      </c>
      <c r="F89" s="12">
        <f>B89*E89</f>
        <v/>
      </c>
      <c r="G89" s="10" t="n">
        <v>69.09289617486338</v>
      </c>
      <c r="H89" s="13">
        <f>(1/(1+$B$103/200))^G89</f>
        <v/>
      </c>
      <c r="I89" s="12">
        <f>B89*H89</f>
        <v/>
      </c>
      <c r="J89" s="8" t="n">
        <v>34.5</v>
      </c>
      <c r="K89" s="10" t="n">
        <v>3.452071156688076</v>
      </c>
      <c r="L89" s="8" t="n">
        <v>35</v>
      </c>
      <c r="M89" s="10" t="n">
        <v>3.428853909821747</v>
      </c>
      <c r="N89" s="12">
        <f>IF(L89=J89,K89,K89+(M89-K89)*(C89-J89)/(L89-J89))</f>
        <v/>
      </c>
    </row>
    <row r="90">
      <c r="A90" s="7" t="n">
        <v>57640</v>
      </c>
      <c r="B90" s="10" t="n">
        <v>0.25</v>
      </c>
      <c r="C90" s="12">
        <f>(A90-$B$5)/365.25</f>
        <v/>
      </c>
      <c r="D90" s="10" t="n">
        <v>3.426662915941144</v>
      </c>
      <c r="E90" s="13">
        <f>EXP(-D90/100*C90)</f>
        <v/>
      </c>
      <c r="F90" s="12">
        <f>B90*E90</f>
        <v/>
      </c>
      <c r="G90" s="10" t="n">
        <v>70.09289617486338</v>
      </c>
      <c r="H90" s="13">
        <f>(1/(1+$B$103/200))^G90</f>
        <v/>
      </c>
      <c r="I90" s="12">
        <f>B90*H90</f>
        <v/>
      </c>
      <c r="J90" s="8" t="n">
        <v>35</v>
      </c>
      <c r="K90" s="10" t="n">
        <v>3.428853909821747</v>
      </c>
      <c r="L90" s="8" t="n">
        <v>35.5</v>
      </c>
      <c r="M90" s="10" t="n">
        <v>3.405682780349813</v>
      </c>
      <c r="N90" s="12">
        <f>IF(L90=J90,K90,K90+(M90-K90)*(C90-J90)/(L90-J90))</f>
        <v/>
      </c>
    </row>
    <row r="91">
      <c r="A91" s="7" t="n">
        <v>57822</v>
      </c>
      <c r="B91" s="10" t="n">
        <v>0.25</v>
      </c>
      <c r="C91" s="12">
        <f>(A91-$B$5)/365.25</f>
        <v/>
      </c>
      <c r="D91" s="10" t="n">
        <v>3.403576528194293</v>
      </c>
      <c r="E91" s="13">
        <f>EXP(-D91/100*C91)</f>
        <v/>
      </c>
      <c r="F91" s="12">
        <f>B91*E91</f>
        <v/>
      </c>
      <c r="G91" s="10" t="n">
        <v>71.09289617486338</v>
      </c>
      <c r="H91" s="13">
        <f>(1/(1+$B$103/200))^G91</f>
        <v/>
      </c>
      <c r="I91" s="12">
        <f>B91*H91</f>
        <v/>
      </c>
      <c r="J91" s="8" t="n">
        <v>35.5</v>
      </c>
      <c r="K91" s="10" t="n">
        <v>3.405682780349813</v>
      </c>
      <c r="L91" s="8" t="n">
        <v>36</v>
      </c>
      <c r="M91" s="10" t="n">
        <v>3.382580465066039</v>
      </c>
      <c r="N91" s="12">
        <f>IF(L91=J91,K91,K91+(M91-K91)*(C91-J91)/(L91-J91))</f>
        <v/>
      </c>
    </row>
    <row r="92">
      <c r="A92" s="7" t="n">
        <v>58005</v>
      </c>
      <c r="B92" s="10" t="n">
        <v>0.25</v>
      </c>
      <c r="C92" s="12">
        <f>(A92-$B$5)/365.25</f>
        <v/>
      </c>
      <c r="D92" s="10" t="n">
        <v>3.380434174653173</v>
      </c>
      <c r="E92" s="13">
        <f>EXP(-D92/100*C92)</f>
        <v/>
      </c>
      <c r="F92" s="12">
        <f>B92*E92</f>
        <v/>
      </c>
      <c r="G92" s="10" t="n">
        <v>72.09289617486338</v>
      </c>
      <c r="H92" s="13">
        <f>(1/(1+$B$103/200))^G92</f>
        <v/>
      </c>
      <c r="I92" s="12">
        <f>B92*H92</f>
        <v/>
      </c>
      <c r="J92" s="8" t="n">
        <v>36</v>
      </c>
      <c r="K92" s="10" t="n">
        <v>3.382580465066039</v>
      </c>
      <c r="L92" s="8" t="n">
        <v>36.5</v>
      </c>
      <c r="M92" s="10" t="n">
        <v>3.3595669903437</v>
      </c>
      <c r="N92" s="12">
        <f>IF(L92=J92,K92,K92+(M92-K92)*(C92-J92)/(L92-J92))</f>
        <v/>
      </c>
    </row>
    <row r="93">
      <c r="A93" s="7" t="n">
        <v>58187</v>
      </c>
      <c r="B93" s="10" t="n">
        <v>0.25</v>
      </c>
      <c r="C93" s="12">
        <f>(A93-$B$5)/365.25</f>
        <v/>
      </c>
      <c r="D93" s="10" t="n">
        <v>3.357508451964856</v>
      </c>
      <c r="E93" s="13">
        <f>EXP(-D93/100*C93)</f>
        <v/>
      </c>
      <c r="F93" s="12">
        <f>B93*E93</f>
        <v/>
      </c>
      <c r="G93" s="10" t="n">
        <v>73.09289617486338</v>
      </c>
      <c r="H93" s="13">
        <f>(1/(1+$B$103/200))^G93</f>
        <v/>
      </c>
      <c r="I93" s="12">
        <f>B93*H93</f>
        <v/>
      </c>
      <c r="J93" s="8" t="n">
        <v>36.5</v>
      </c>
      <c r="K93" s="10" t="n">
        <v>3.3595669903437</v>
      </c>
      <c r="L93" s="8" t="n">
        <v>37</v>
      </c>
      <c r="M93" s="10" t="n">
        <v>3.336659879308427</v>
      </c>
      <c r="N93" s="12">
        <f>IF(L93=J93,K93,K93+(M93-K93)*(C93-J93)/(L93-J93))</f>
        <v/>
      </c>
    </row>
    <row r="94">
      <c r="A94" s="7" t="n">
        <v>58370</v>
      </c>
      <c r="B94" s="10" t="n">
        <v>0.25</v>
      </c>
      <c r="C94" s="12">
        <f>(A94-$B$5)/365.25</f>
        <v/>
      </c>
      <c r="D94" s="10" t="n">
        <v>3.334564756584117</v>
      </c>
      <c r="E94" s="13">
        <f>EXP(-D94/100*C94)</f>
        <v/>
      </c>
      <c r="F94" s="12">
        <f>B94*E94</f>
        <v/>
      </c>
      <c r="G94" s="10" t="n">
        <v>74.09289617486338</v>
      </c>
      <c r="H94" s="13">
        <f>(1/(1+$B$103/200))^G94</f>
        <v/>
      </c>
      <c r="I94" s="12">
        <f>B94*H94</f>
        <v/>
      </c>
      <c r="J94" s="8" t="n">
        <v>37</v>
      </c>
      <c r="K94" s="10" t="n">
        <v>3.336659879308427</v>
      </c>
      <c r="L94" s="8" t="n">
        <v>37.5</v>
      </c>
      <c r="M94" s="10" t="n">
        <v>3.313874318161341</v>
      </c>
      <c r="N94" s="12">
        <f>IF(L94=J94,K94,K94+(M94-K94)*(C94-J94)/(L94-J94))</f>
        <v/>
      </c>
    </row>
    <row r="95">
      <c r="A95" s="7" t="n">
        <v>58553</v>
      </c>
      <c r="B95" s="10" t="n">
        <v>0.25</v>
      </c>
      <c r="C95" s="12">
        <f>(A95-$B$5)/365.25</f>
        <v/>
      </c>
      <c r="D95" s="10" t="n">
        <v>3.311744407527831</v>
      </c>
      <c r="E95" s="13">
        <f>EXP(-D95/100*C95)</f>
        <v/>
      </c>
      <c r="F95" s="12">
        <f>B95*E95</f>
        <v/>
      </c>
      <c r="G95" s="10" t="n">
        <v>75.09289617486338</v>
      </c>
      <c r="H95" s="13">
        <f>(1/(1+$B$103/200))^G95</f>
        <v/>
      </c>
      <c r="I95" s="12">
        <f>B95*H95</f>
        <v/>
      </c>
      <c r="J95" s="8" t="n">
        <v>37.5</v>
      </c>
      <c r="K95" s="10" t="n">
        <v>3.313874318161341</v>
      </c>
      <c r="L95" s="8" t="n">
        <v>38</v>
      </c>
      <c r="M95" s="10" t="n">
        <v>3.291223188204364</v>
      </c>
      <c r="N95" s="12">
        <f>IF(L95=J95,K95,K95+(M95-K95)*(C95-J95)/(L95-J95))</f>
        <v/>
      </c>
    </row>
    <row r="96">
      <c r="A96" s="7" t="n">
        <v>58736</v>
      </c>
      <c r="B96" s="10" t="n">
        <v>0.25</v>
      </c>
      <c r="C96" s="12">
        <f>(A96-$B$5)/365.25</f>
        <v/>
      </c>
      <c r="D96" s="10" t="n">
        <v>3.289060078626683</v>
      </c>
      <c r="E96" s="13">
        <f>EXP(-D96/100*C96)</f>
        <v/>
      </c>
      <c r="F96" s="12">
        <f>B96*E96</f>
        <v/>
      </c>
      <c r="G96" s="10" t="n">
        <v>76.09289617486338</v>
      </c>
      <c r="H96" s="13">
        <f>(1/(1+$B$103/200))^G96</f>
        <v/>
      </c>
      <c r="I96" s="12">
        <f>B96*H96</f>
        <v/>
      </c>
      <c r="J96" s="8" t="n">
        <v>38</v>
      </c>
      <c r="K96" s="10" t="n">
        <v>3.291223188204364</v>
      </c>
      <c r="L96" s="8" t="n">
        <v>38.5</v>
      </c>
      <c r="M96" s="10" t="n">
        <v>3.26871669329893</v>
      </c>
      <c r="N96" s="12">
        <f>IF(L96=J96,K96,K96+(M96-K96)*(C96-J96)/(L96-J96))</f>
        <v/>
      </c>
    </row>
    <row r="97">
      <c r="A97" s="7" t="n">
        <v>58918</v>
      </c>
      <c r="B97" s="10" t="n">
        <v>0.25</v>
      </c>
      <c r="C97" s="12">
        <f>(A97-$B$5)/365.25</f>
        <v/>
      </c>
      <c r="D97" s="10" t="n">
        <v>3.266644716510061</v>
      </c>
      <c r="E97" s="13">
        <f>EXP(-D97/100*C97)</f>
        <v/>
      </c>
      <c r="F97" s="12">
        <f>B97*E97</f>
        <v/>
      </c>
      <c r="G97" s="10" t="n">
        <v>77.09289617486338</v>
      </c>
      <c r="H97" s="13">
        <f>(1/(1+$B$103/200))^G97</f>
        <v/>
      </c>
      <c r="I97" s="12">
        <f>B97*H97</f>
        <v/>
      </c>
      <c r="J97" s="8" t="n">
        <v>38.5</v>
      </c>
      <c r="K97" s="10" t="n">
        <v>3.26871669329893</v>
      </c>
      <c r="L97" s="8" t="n">
        <v>39</v>
      </c>
      <c r="M97" s="10" t="n">
        <v>3.246362291028188</v>
      </c>
      <c r="N97" s="12">
        <f>IF(L97=J97,K97,K97+(M97-K97)*(C97-J97)/(L97-J97))</f>
        <v/>
      </c>
    </row>
    <row r="98">
      <c r="A98" s="7" t="n">
        <v>59101</v>
      </c>
      <c r="B98" s="10" t="n">
        <v>100.25</v>
      </c>
      <c r="C98" s="12">
        <f>(A98-$B$5)/365.25</f>
        <v/>
      </c>
      <c r="D98" s="10" t="n">
        <v>3.24425848333461</v>
      </c>
      <c r="E98" s="13">
        <f>EXP(-D98/100*C98)</f>
        <v/>
      </c>
      <c r="F98" s="12">
        <f>B98*E98</f>
        <v/>
      </c>
      <c r="G98" s="10" t="n">
        <v>78.09289617486338</v>
      </c>
      <c r="H98" s="13">
        <f>(1/(1+$B$103/200))^G98</f>
        <v/>
      </c>
      <c r="I98" s="12">
        <f>B98*H98</f>
        <v/>
      </c>
      <c r="J98" s="8" t="n">
        <v>39</v>
      </c>
      <c r="K98" s="10" t="n">
        <v>3.246362291028188</v>
      </c>
      <c r="L98" s="8" t="n">
        <v>39.5</v>
      </c>
      <c r="M98" s="10" t="n">
        <v>3.224164882976969</v>
      </c>
      <c r="N98" s="12">
        <f>IF(L98=J98,K98,K98+(M98-K98)*(C98-J98)/(L98-J98))</f>
        <v/>
      </c>
    </row>
    <row r="100">
      <c r="A100" s="6" t="inlineStr">
        <is>
          <t>Curve dirty price = SUM(PV)</t>
        </is>
      </c>
      <c r="B100" s="12">
        <f>SUM(F20:F98)</f>
        <v/>
      </c>
    </row>
    <row r="101">
      <c r="A101" s="6" t="inlineStr">
        <is>
          <t>Accrued interest</t>
        </is>
      </c>
      <c r="B101" s="12">
        <f>B12</f>
        <v/>
      </c>
    </row>
    <row r="102">
      <c r="A102" s="6" t="inlineStr">
        <is>
          <t>Curve clean price</t>
        </is>
      </c>
      <c r="B102" s="12">
        <f>B100-B101</f>
        <v/>
      </c>
    </row>
    <row r="103">
      <c r="A103" s="6" t="inlineStr">
        <is>
          <t>Model yield (% , brentq in Python)</t>
        </is>
      </c>
      <c r="B103" s="14" t="n">
        <v>3.343851437394987</v>
      </c>
    </row>
    <row r="104">
      <c r="A104" s="6" t="inlineStr">
        <is>
          <t>Price at the model yield = SUM(PV at model yield)</t>
        </is>
      </c>
      <c r="B104" s="12">
        <f>SUM(I20:I98)</f>
        <v/>
      </c>
    </row>
    <row r="105">
      <c r="A105" s="6" t="inlineStr">
        <is>
          <t>Check: price at model yield - curve dirty (≈ 0)</t>
        </is>
      </c>
      <c r="B105" s="15">
        <f>B104-B100</f>
        <v/>
      </c>
    </row>
    <row r="106">
      <c r="A106" s="6" t="inlineStr">
        <is>
          <t>M1 (bp) = 100·(AAY - model yield)</t>
        </is>
      </c>
      <c r="B106" s="16">
        <f>100*(B13-B103)</f>
        <v/>
      </c>
    </row>
    <row r="107">
      <c r="A107" s="6" t="inlineStr">
        <is>
          <t>Python M1 (bp), for comparison</t>
        </is>
      </c>
      <c r="B107" s="8" t="n">
        <v>2.679456260501301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6" customWidth="1" min="3" max="3"/>
    <col width="18" customWidth="1" min="4" max="4"/>
    <col width="18" customWidth="1" min="5" max="5"/>
    <col width="10" customWidth="1" min="6" max="6"/>
    <col width="52" customWidth="1" min="7" max="7"/>
  </cols>
  <sheetData>
    <row r="1">
      <c r="A1" s="5" t="inlineStr">
        <is>
          <t>A5: 0½% Treasury Gilt 2061, auction 04 Oct 2022 - M1b baseline, T-25 to T-6 (decision #4)</t>
        </is>
      </c>
    </row>
    <row r="3">
      <c r="A3" s="3" t="inlineStr">
        <is>
          <t>k (business days)</t>
        </is>
      </c>
      <c r="B3" s="3" t="inlineStr">
        <is>
          <t>Date</t>
        </is>
      </c>
      <c r="C3" s="3" t="inlineStr">
        <is>
          <t>Market yield (%): DMO yield (from the DMO clean price before 25 Nov 2002)</t>
        </is>
      </c>
      <c r="D3" s="3" t="inlineStr">
        <is>
          <t>Model yield (%, curve of that day)</t>
        </is>
      </c>
      <c r="E3" s="3" t="inlineStr">
        <is>
          <t>Residual (bp) = 100·(DMO - model)</t>
        </is>
      </c>
      <c r="F3" s="3" t="inlineStr">
        <is>
          <t>Included (1/0)</t>
        </is>
      </c>
      <c r="G3" s="3" t="inlineStr">
        <is>
          <t>Excluded because</t>
        </is>
      </c>
    </row>
    <row r="4">
      <c r="A4" s="9" t="n">
        <v>-25</v>
      </c>
      <c r="B4" s="7" t="n">
        <v>44799</v>
      </c>
      <c r="C4" s="10" t="n"/>
      <c r="D4" s="10" t="n">
        <v>2.61719936</v>
      </c>
      <c r="E4" s="17">
        <f>IF(F4=1,100*(C4-D4),"")</f>
        <v/>
      </c>
      <c r="F4" s="9" t="n">
        <v>0</v>
      </c>
      <c r="G4" s="9" t="inlineStr">
        <is>
          <t>outside the reference-price data (1 Nov 1998 - 21 Jul 2017)</t>
        </is>
      </c>
    </row>
    <row r="5">
      <c r="A5" s="9" t="n">
        <v>-24</v>
      </c>
      <c r="B5" s="7" t="n">
        <v>44803</v>
      </c>
      <c r="C5" s="10" t="n"/>
      <c r="D5" s="10" t="n">
        <v>2.736074811</v>
      </c>
      <c r="E5" s="17">
        <f>IF(F5=1,100*(C5-D5),"")</f>
        <v/>
      </c>
      <c r="F5" s="9" t="n">
        <v>0</v>
      </c>
      <c r="G5" s="9" t="inlineStr">
        <is>
          <t>outside the reference-price data (1 Nov 1998 - 21 Jul 2017)</t>
        </is>
      </c>
    </row>
    <row r="6">
      <c r="A6" s="9" t="n">
        <v>-23</v>
      </c>
      <c r="B6" s="7" t="n">
        <v>44804</v>
      </c>
      <c r="C6" s="10" t="n"/>
      <c r="D6" s="10" t="n">
        <v>2.824600504</v>
      </c>
      <c r="E6" s="17">
        <f>IF(F6=1,100*(C6-D6),"")</f>
        <v/>
      </c>
      <c r="F6" s="9" t="n">
        <v>0</v>
      </c>
      <c r="G6" s="9" t="inlineStr">
        <is>
          <t>outside the reference-price data (1 Nov 1998 - 21 Jul 2017)</t>
        </is>
      </c>
    </row>
    <row r="7">
      <c r="A7" s="9" t="n">
        <v>-22</v>
      </c>
      <c r="B7" s="7" t="n">
        <v>44805</v>
      </c>
      <c r="C7" s="10" t="n"/>
      <c r="D7" s="10" t="n">
        <v>2.968038944</v>
      </c>
      <c r="E7" s="17">
        <f>IF(F7=1,100*(C7-D7),"")</f>
        <v/>
      </c>
      <c r="F7" s="9" t="n">
        <v>0</v>
      </c>
      <c r="G7" s="9" t="inlineStr">
        <is>
          <t>outside the reference-price data (1 Nov 1998 - 21 Jul 2017)</t>
        </is>
      </c>
    </row>
    <row r="8">
      <c r="A8" s="9" t="n">
        <v>-21</v>
      </c>
      <c r="B8" s="7" t="n">
        <v>44806</v>
      </c>
      <c r="C8" s="10" t="n"/>
      <c r="D8" s="10" t="n">
        <v>3.019329513</v>
      </c>
      <c r="E8" s="17">
        <f>IF(F8=1,100*(C8-D8),"")</f>
        <v/>
      </c>
      <c r="F8" s="9" t="n">
        <v>0</v>
      </c>
      <c r="G8" s="9" t="inlineStr">
        <is>
          <t>outside the reference-price data (1 Nov 1998 - 21 Jul 2017)</t>
        </is>
      </c>
    </row>
    <row r="9">
      <c r="A9" s="9" t="n">
        <v>-20</v>
      </c>
      <c r="B9" s="7" t="n">
        <v>44809</v>
      </c>
      <c r="C9" s="10" t="n"/>
      <c r="D9" s="10" t="n">
        <v>2.954781799</v>
      </c>
      <c r="E9" s="17">
        <f>IF(F9=1,100*(C9-D9),"")</f>
        <v/>
      </c>
      <c r="F9" s="9" t="n">
        <v>0</v>
      </c>
      <c r="G9" s="9" t="inlineStr">
        <is>
          <t>outside the reference-price data (1 Nov 1998 - 21 Jul 2017)</t>
        </is>
      </c>
    </row>
    <row r="10">
      <c r="A10" s="9" t="n">
        <v>-19</v>
      </c>
      <c r="B10" s="7" t="n">
        <v>44810</v>
      </c>
      <c r="C10" s="10" t="n"/>
      <c r="D10" s="10" t="n">
        <v>3.113173777</v>
      </c>
      <c r="E10" s="17">
        <f>IF(F10=1,100*(C10-D10),"")</f>
        <v/>
      </c>
      <c r="F10" s="9" t="n">
        <v>0</v>
      </c>
      <c r="G10" s="9" t="inlineStr">
        <is>
          <t>outside the reference-price data (1 Nov 1998 - 21 Jul 2017)</t>
        </is>
      </c>
    </row>
    <row r="11">
      <c r="A11" s="9" t="n">
        <v>-18</v>
      </c>
      <c r="B11" s="7" t="n">
        <v>44811</v>
      </c>
      <c r="C11" s="10" t="n"/>
      <c r="D11" s="10" t="n">
        <v>3.126550938</v>
      </c>
      <c r="E11" s="17">
        <f>IF(F11=1,100*(C11-D11),"")</f>
        <v/>
      </c>
      <c r="F11" s="9" t="n">
        <v>0</v>
      </c>
      <c r="G11" s="9" t="inlineStr">
        <is>
          <t>outside the reference-price data (1 Nov 1998 - 21 Jul 2017)</t>
        </is>
      </c>
    </row>
    <row r="12">
      <c r="A12" s="9" t="n">
        <v>-17</v>
      </c>
      <c r="B12" s="7" t="n">
        <v>44812</v>
      </c>
      <c r="C12" s="10" t="n"/>
      <c r="D12" s="10" t="n">
        <v>3.264129558</v>
      </c>
      <c r="E12" s="17">
        <f>IF(F12=1,100*(C12-D12),"")</f>
        <v/>
      </c>
      <c r="F12" s="9" t="n">
        <v>0</v>
      </c>
      <c r="G12" s="9" t="inlineStr">
        <is>
          <t>outside the reference-price data (1 Nov 1998 - 21 Jul 2017)</t>
        </is>
      </c>
    </row>
    <row r="13">
      <c r="A13" s="9" t="n">
        <v>-16</v>
      </c>
      <c r="B13" s="7" t="n">
        <v>44813</v>
      </c>
      <c r="C13" s="10" t="n"/>
      <c r="D13" s="10" t="n">
        <v>3.261734717</v>
      </c>
      <c r="E13" s="17">
        <f>IF(F13=1,100*(C13-D13),"")</f>
        <v/>
      </c>
      <c r="F13" s="9" t="n">
        <v>0</v>
      </c>
      <c r="G13" s="9" t="inlineStr">
        <is>
          <t>outside the reference-price data (1 Nov 1998 - 21 Jul 2017)</t>
        </is>
      </c>
    </row>
    <row r="14">
      <c r="A14" s="9" t="n">
        <v>-15</v>
      </c>
      <c r="B14" s="7" t="n">
        <v>44816</v>
      </c>
      <c r="C14" s="10" t="n"/>
      <c r="D14" s="10" t="n">
        <v>3.191193475</v>
      </c>
      <c r="E14" s="17">
        <f>IF(F14=1,100*(C14-D14),"")</f>
        <v/>
      </c>
      <c r="F14" s="9" t="n">
        <v>0</v>
      </c>
      <c r="G14" s="9" t="inlineStr">
        <is>
          <t>outside the reference-price data (1 Nov 1998 - 21 Jul 2017)</t>
        </is>
      </c>
    </row>
    <row r="15">
      <c r="A15" s="9" t="n">
        <v>-14</v>
      </c>
      <c r="B15" s="7" t="n">
        <v>44817</v>
      </c>
      <c r="C15" s="10" t="n"/>
      <c r="D15" s="10" t="n">
        <v>3.215508842</v>
      </c>
      <c r="E15" s="17">
        <f>IF(F15=1,100*(C15-D15),"")</f>
        <v/>
      </c>
      <c r="F15" s="9" t="n">
        <v>0</v>
      </c>
      <c r="G15" s="9" t="inlineStr">
        <is>
          <t>outside the reference-price data (1 Nov 1998 - 21 Jul 2017)</t>
        </is>
      </c>
    </row>
    <row r="16">
      <c r="A16" s="9" t="n">
        <v>-13</v>
      </c>
      <c r="B16" s="7" t="n">
        <v>44818</v>
      </c>
      <c r="C16" s="10" t="n"/>
      <c r="D16" s="10" t="n">
        <v>3.183160003</v>
      </c>
      <c r="E16" s="17">
        <f>IF(F16=1,100*(C16-D16),"")</f>
        <v/>
      </c>
      <c r="F16" s="9" t="n">
        <v>0</v>
      </c>
      <c r="G16" s="9" t="inlineStr">
        <is>
          <t>outside the reference-price data (1 Nov 1998 - 21 Jul 2017)</t>
        </is>
      </c>
    </row>
    <row r="17">
      <c r="A17" s="9" t="n">
        <v>-12</v>
      </c>
      <c r="B17" s="7" t="n">
        <v>44819</v>
      </c>
      <c r="C17" s="10" t="n"/>
      <c r="D17" s="10" t="n">
        <v>3.204838649</v>
      </c>
      <c r="E17" s="17">
        <f>IF(F17=1,100*(C17-D17),"")</f>
        <v/>
      </c>
      <c r="F17" s="9" t="n">
        <v>0</v>
      </c>
      <c r="G17" s="9" t="inlineStr">
        <is>
          <t>outside the reference-price data (1 Nov 1998 - 21 Jul 2017)</t>
        </is>
      </c>
    </row>
    <row r="18">
      <c r="A18" s="9" t="n">
        <v>-11</v>
      </c>
      <c r="B18" s="7" t="n">
        <v>44820</v>
      </c>
      <c r="C18" s="10" t="n"/>
      <c r="D18" s="10" t="n">
        <v>3.210084383</v>
      </c>
      <c r="E18" s="17">
        <f>IF(F18=1,100*(C18-D18),"")</f>
        <v/>
      </c>
      <c r="F18" s="9" t="n">
        <v>0</v>
      </c>
      <c r="G18" s="9" t="inlineStr">
        <is>
          <t>outside the reference-price data (1 Nov 1998 - 21 Jul 2017)</t>
        </is>
      </c>
    </row>
    <row r="19">
      <c r="A19" s="9" t="n">
        <v>-10</v>
      </c>
      <c r="B19" s="7" t="n">
        <v>44824</v>
      </c>
      <c r="C19" s="10" t="n"/>
      <c r="D19" s="10" t="n">
        <v>3.322540491</v>
      </c>
      <c r="E19" s="17">
        <f>IF(F19=1,100*(C19-D19),"")</f>
        <v/>
      </c>
      <c r="F19" s="9" t="n">
        <v>0</v>
      </c>
      <c r="G19" s="9" t="inlineStr">
        <is>
          <t>outside the reference-price data (1 Nov 1998 - 21 Jul 2017)</t>
        </is>
      </c>
    </row>
    <row r="20">
      <c r="A20" s="9" t="n">
        <v>-9</v>
      </c>
      <c r="B20" s="7" t="n">
        <v>44825</v>
      </c>
      <c r="C20" s="10" t="n"/>
      <c r="D20" s="10" t="n">
        <v>3.315202138</v>
      </c>
      <c r="E20" s="17">
        <f>IF(F20=1,100*(C20-D20),"")</f>
        <v/>
      </c>
      <c r="F20" s="9" t="n">
        <v>0</v>
      </c>
      <c r="G20" s="9" t="inlineStr">
        <is>
          <t>outside the reference-price data (1 Nov 1998 - 21 Jul 2017)</t>
        </is>
      </c>
    </row>
    <row r="21">
      <c r="A21" s="9" t="n">
        <v>-8</v>
      </c>
      <c r="B21" s="7" t="n">
        <v>44826</v>
      </c>
      <c r="C21" s="10" t="n"/>
      <c r="D21" s="10" t="n">
        <v>3.4976187</v>
      </c>
      <c r="E21" s="17">
        <f>IF(F21=1,100*(C21-D21),"")</f>
        <v/>
      </c>
      <c r="F21" s="9" t="n">
        <v>0</v>
      </c>
      <c r="G21" s="9" t="inlineStr">
        <is>
          <t>outside the reference-price data (1 Nov 1998 - 21 Jul 2017)</t>
        </is>
      </c>
    </row>
    <row r="22">
      <c r="A22" s="9" t="n">
        <v>-7</v>
      </c>
      <c r="B22" s="7" t="n">
        <v>44827</v>
      </c>
      <c r="C22" s="10" t="n"/>
      <c r="D22" s="10" t="n">
        <v>3.716276291</v>
      </c>
      <c r="E22" s="17">
        <f>IF(F22=1,100*(C22-D22),"")</f>
        <v/>
      </c>
      <c r="F22" s="9" t="n">
        <v>0</v>
      </c>
      <c r="G22" s="9" t="inlineStr">
        <is>
          <t>outside the reference-price data (1 Nov 1998 - 21 Jul 2017)</t>
        </is>
      </c>
    </row>
    <row r="23">
      <c r="A23" s="9" t="n">
        <v>-6</v>
      </c>
      <c r="B23" s="7" t="n">
        <v>44830</v>
      </c>
      <c r="C23" s="10" t="n"/>
      <c r="D23" s="10" t="n">
        <v>4.114181842</v>
      </c>
      <c r="E23" s="17">
        <f>IF(F23=1,100*(C23-D23),"")</f>
        <v/>
      </c>
      <c r="F23" s="9" t="n">
        <v>0</v>
      </c>
      <c r="G23" s="9" t="inlineStr">
        <is>
          <t>outside the reference-price data (1 Nov 1998 - 21 Jul 2017)</t>
        </is>
      </c>
    </row>
    <row r="25">
      <c r="A25" s="6" t="inlineStr">
        <is>
          <t>Valid days (need ≥ 10)</t>
        </is>
      </c>
      <c r="B25" s="18">
        <f>SUM(F4:F23)</f>
        <v/>
      </c>
    </row>
    <row r="26">
      <c r="A26" s="6" t="inlineStr">
        <is>
          <t>Baseline = mean residual (bp)</t>
        </is>
      </c>
      <c r="B26" s="17">
        <f>IF(B25&gt;=10,AVERAGEIF(F4:F23,1,E4:E23),"n/a")</f>
        <v/>
      </c>
    </row>
    <row r="27">
      <c r="A27" s="6" t="inlineStr">
        <is>
          <t>M1 (bp), from the M1 sheet</t>
        </is>
      </c>
      <c r="B27" s="17">
        <f>'A5 M1'!B106</f>
        <v/>
      </c>
    </row>
    <row r="28">
      <c r="A28" s="6" t="inlineStr">
        <is>
          <t>M1b (bp) = M1 - baseline</t>
        </is>
      </c>
      <c r="B28" s="16">
        <f>IF(B25&gt;=10,B27-B26,"n/a")</f>
        <v/>
      </c>
    </row>
    <row r="29">
      <c r="A29" s="6" t="inlineStr">
        <is>
          <t>Python M1b (bp), for comparison</t>
        </is>
      </c>
      <c r="B29" s="8" t="n"/>
    </row>
    <row r="30">
      <c r="A30" s="6" t="inlineStr">
        <is>
          <t>Python note</t>
        </is>
      </c>
      <c r="B30" s="9" t="inlineStr">
        <is>
          <t>outside the reference-price data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H26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5" t="inlineStr">
        <is>
          <t>A5: control maturities = BoE points 2-30y more than 3y from the gilt's 39.05y to maturity (57 points). Top: z (%); bottom: daily change (bp).</t>
        </is>
      </c>
    </row>
    <row r="3">
      <c r="A3" s="3" t="inlineStr">
        <is>
          <t>k</t>
        </is>
      </c>
      <c r="B3" s="3" t="inlineStr">
        <is>
          <t>Date</t>
        </is>
      </c>
      <c r="C3" s="3" t="inlineStr">
        <is>
          <t>z 2y</t>
        </is>
      </c>
      <c r="D3" s="3" t="inlineStr">
        <is>
          <t>z 2.5y</t>
        </is>
      </c>
      <c r="E3" s="3" t="inlineStr">
        <is>
          <t>z 3y</t>
        </is>
      </c>
      <c r="F3" s="3" t="inlineStr">
        <is>
          <t>z 3.5y</t>
        </is>
      </c>
      <c r="G3" s="3" t="inlineStr">
        <is>
          <t>z 4y</t>
        </is>
      </c>
      <c r="H3" s="3" t="inlineStr">
        <is>
          <t>z 4.5y</t>
        </is>
      </c>
      <c r="I3" s="3" t="inlineStr">
        <is>
          <t>z 5y</t>
        </is>
      </c>
      <c r="J3" s="3" t="inlineStr">
        <is>
          <t>z 5.5y</t>
        </is>
      </c>
      <c r="K3" s="3" t="inlineStr">
        <is>
          <t>z 6y</t>
        </is>
      </c>
      <c r="L3" s="3" t="inlineStr">
        <is>
          <t>z 6.5y</t>
        </is>
      </c>
      <c r="M3" s="3" t="inlineStr">
        <is>
          <t>z 7y</t>
        </is>
      </c>
      <c r="N3" s="3" t="inlineStr">
        <is>
          <t>z 7.5y</t>
        </is>
      </c>
      <c r="O3" s="3" t="inlineStr">
        <is>
          <t>z 8y</t>
        </is>
      </c>
      <c r="P3" s="3" t="inlineStr">
        <is>
          <t>z 8.5y</t>
        </is>
      </c>
      <c r="Q3" s="3" t="inlineStr">
        <is>
          <t>z 9y</t>
        </is>
      </c>
      <c r="R3" s="3" t="inlineStr">
        <is>
          <t>z 9.5y</t>
        </is>
      </c>
      <c r="S3" s="3" t="inlineStr">
        <is>
          <t>z 10y</t>
        </is>
      </c>
      <c r="T3" s="3" t="inlineStr">
        <is>
          <t>z 10.5y</t>
        </is>
      </c>
      <c r="U3" s="3" t="inlineStr">
        <is>
          <t>z 11y</t>
        </is>
      </c>
      <c r="V3" s="3" t="inlineStr">
        <is>
          <t>z 11.5y</t>
        </is>
      </c>
      <c r="W3" s="3" t="inlineStr">
        <is>
          <t>z 12y</t>
        </is>
      </c>
      <c r="X3" s="3" t="inlineStr">
        <is>
          <t>z 12.5y</t>
        </is>
      </c>
      <c r="Y3" s="3" t="inlineStr">
        <is>
          <t>z 13y</t>
        </is>
      </c>
      <c r="Z3" s="3" t="inlineStr">
        <is>
          <t>z 13.5y</t>
        </is>
      </c>
      <c r="AA3" s="3" t="inlineStr">
        <is>
          <t>z 14y</t>
        </is>
      </c>
      <c r="AB3" s="3" t="inlineStr">
        <is>
          <t>z 14.5y</t>
        </is>
      </c>
      <c r="AC3" s="3" t="inlineStr">
        <is>
          <t>z 15y</t>
        </is>
      </c>
      <c r="AD3" s="3" t="inlineStr">
        <is>
          <t>z 15.5y</t>
        </is>
      </c>
      <c r="AE3" s="3" t="inlineStr">
        <is>
          <t>z 16y</t>
        </is>
      </c>
      <c r="AF3" s="3" t="inlineStr">
        <is>
          <t>z 16.5y</t>
        </is>
      </c>
      <c r="AG3" s="3" t="inlineStr">
        <is>
          <t>z 17y</t>
        </is>
      </c>
      <c r="AH3" s="3" t="inlineStr">
        <is>
          <t>z 17.5y</t>
        </is>
      </c>
      <c r="AI3" s="3" t="inlineStr">
        <is>
          <t>z 18y</t>
        </is>
      </c>
      <c r="AJ3" s="3" t="inlineStr">
        <is>
          <t>z 18.5y</t>
        </is>
      </c>
      <c r="AK3" s="3" t="inlineStr">
        <is>
          <t>z 19y</t>
        </is>
      </c>
      <c r="AL3" s="3" t="inlineStr">
        <is>
          <t>z 19.5y</t>
        </is>
      </c>
      <c r="AM3" s="3" t="inlineStr">
        <is>
          <t>z 20y</t>
        </is>
      </c>
      <c r="AN3" s="3" t="inlineStr">
        <is>
          <t>z 20.5y</t>
        </is>
      </c>
      <c r="AO3" s="3" t="inlineStr">
        <is>
          <t>z 21y</t>
        </is>
      </c>
      <c r="AP3" s="3" t="inlineStr">
        <is>
          <t>z 21.5y</t>
        </is>
      </c>
      <c r="AQ3" s="3" t="inlineStr">
        <is>
          <t>z 22y</t>
        </is>
      </c>
      <c r="AR3" s="3" t="inlineStr">
        <is>
          <t>z 22.5y</t>
        </is>
      </c>
      <c r="AS3" s="3" t="inlineStr">
        <is>
          <t>z 23y</t>
        </is>
      </c>
      <c r="AT3" s="3" t="inlineStr">
        <is>
          <t>z 23.5y</t>
        </is>
      </c>
      <c r="AU3" s="3" t="inlineStr">
        <is>
          <t>z 24y</t>
        </is>
      </c>
      <c r="AV3" s="3" t="inlineStr">
        <is>
          <t>z 24.5y</t>
        </is>
      </c>
      <c r="AW3" s="3" t="inlineStr">
        <is>
          <t>z 25y</t>
        </is>
      </c>
      <c r="AX3" s="3" t="inlineStr">
        <is>
          <t>z 25.5y</t>
        </is>
      </c>
      <c r="AY3" s="3" t="inlineStr">
        <is>
          <t>z 26y</t>
        </is>
      </c>
      <c r="AZ3" s="3" t="inlineStr">
        <is>
          <t>z 26.5y</t>
        </is>
      </c>
      <c r="BA3" s="3" t="inlineStr">
        <is>
          <t>z 27y</t>
        </is>
      </c>
      <c r="BB3" s="3" t="inlineStr">
        <is>
          <t>z 27.5y</t>
        </is>
      </c>
      <c r="BC3" s="3" t="inlineStr">
        <is>
          <t>z 28y</t>
        </is>
      </c>
      <c r="BD3" s="3" t="inlineStr">
        <is>
          <t>z 28.5y</t>
        </is>
      </c>
      <c r="BE3" s="3" t="inlineStr">
        <is>
          <t>z 29y</t>
        </is>
      </c>
      <c r="BF3" s="3" t="inlineStr">
        <is>
          <t>z 29.5y</t>
        </is>
      </c>
      <c r="BG3" s="3" t="inlineStr">
        <is>
          <t>z 30y</t>
        </is>
      </c>
    </row>
    <row r="4">
      <c r="A4" s="9" t="n">
        <v>-121</v>
      </c>
      <c r="B4" s="7" t="n">
        <v>44658</v>
      </c>
      <c r="C4" s="10" t="n">
        <v>1.479622464567627</v>
      </c>
      <c r="D4" s="10" t="n">
        <v>1.500782469903096</v>
      </c>
      <c r="E4" s="10" t="n">
        <v>1.509461081735784</v>
      </c>
      <c r="F4" s="10" t="n">
        <v>1.513984263067026</v>
      </c>
      <c r="G4" s="10" t="n">
        <v>1.518368472231262</v>
      </c>
      <c r="H4" s="10" t="n">
        <v>1.524455879556762</v>
      </c>
      <c r="I4" s="10" t="n">
        <v>1.533022067889996</v>
      </c>
      <c r="J4" s="10" t="n">
        <v>1.54432488630804</v>
      </c>
      <c r="K4" s="10" t="n">
        <v>1.558352252654976</v>
      </c>
      <c r="L4" s="10" t="n">
        <v>1.574933027371761</v>
      </c>
      <c r="M4" s="10" t="n">
        <v>1.593794609007745</v>
      </c>
      <c r="N4" s="10" t="n">
        <v>1.614593884807221</v>
      </c>
      <c r="O4" s="10" t="n">
        <v>1.636943740596856</v>
      </c>
      <c r="P4" s="10" t="n">
        <v>1.66042910711527</v>
      </c>
      <c r="Q4" s="10" t="n">
        <v>1.684617794525326</v>
      </c>
      <c r="R4" s="10" t="n">
        <v>1.7090722145633</v>
      </c>
      <c r="S4" s="10" t="n">
        <v>1.733371228922494</v>
      </c>
      <c r="T4" s="10" t="n">
        <v>1.757130421913016</v>
      </c>
      <c r="U4" s="10" t="n">
        <v>1.780007794530646</v>
      </c>
      <c r="V4" s="10" t="n">
        <v>1.801730012680058</v>
      </c>
      <c r="W4" s="10" t="n">
        <v>1.822087340618258</v>
      </c>
      <c r="X4" s="10" t="n">
        <v>1.840920962275349</v>
      </c>
      <c r="Y4" s="10" t="n">
        <v>1.858115705155892</v>
      </c>
      <c r="Z4" s="10" t="n">
        <v>1.873609447553758</v>
      </c>
      <c r="AA4" s="10" t="n">
        <v>1.887396355041116</v>
      </c>
      <c r="AB4" s="10" t="n">
        <v>1.899518117988514</v>
      </c>
      <c r="AC4" s="10" t="n">
        <v>1.910042741616512</v>
      </c>
      <c r="AD4" s="10" t="n">
        <v>1.91905041276663</v>
      </c>
      <c r="AE4" s="10" t="n">
        <v>1.926631051890631</v>
      </c>
      <c r="AF4" s="10" t="n">
        <v>1.932882838261092</v>
      </c>
      <c r="AG4" s="10" t="n">
        <v>1.937910538228439</v>
      </c>
      <c r="AH4" s="10" t="n">
        <v>1.941813756457901</v>
      </c>
      <c r="AI4" s="10" t="n">
        <v>1.944679071556792</v>
      </c>
      <c r="AJ4" s="10" t="n">
        <v>1.946584515545817</v>
      </c>
      <c r="AK4" s="10" t="n">
        <v>1.947599581802224</v>
      </c>
      <c r="AL4" s="10" t="n">
        <v>1.947785856158909</v>
      </c>
      <c r="AM4" s="10" t="n">
        <v>1.947197191644329</v>
      </c>
      <c r="AN4" s="10" t="n">
        <v>1.945880552844048</v>
      </c>
      <c r="AO4" s="10" t="n">
        <v>1.943876952117079</v>
      </c>
      <c r="AP4" s="10" t="n">
        <v>1.941222372976719</v>
      </c>
      <c r="AQ4" s="10" t="n">
        <v>1.937948815790154</v>
      </c>
      <c r="AR4" s="10" t="n">
        <v>1.934084958429344</v>
      </c>
      <c r="AS4" s="10" t="n">
        <v>1.929656931219341</v>
      </c>
      <c r="AT4" s="10" t="n">
        <v>1.924688899367706</v>
      </c>
      <c r="AU4" s="10" t="n">
        <v>1.919203824742444</v>
      </c>
      <c r="AV4" s="10" t="n">
        <v>1.913224038051823</v>
      </c>
      <c r="AW4" s="10" t="n">
        <v>1.906772253297986</v>
      </c>
      <c r="AX4" s="10" t="n">
        <v>1.899872176491078</v>
      </c>
      <c r="AY4" s="10" t="n">
        <v>1.892548894846112</v>
      </c>
      <c r="AZ4" s="10" t="n">
        <v>1.884828964253781</v>
      </c>
      <c r="BA4" s="10" t="n">
        <v>1.876740321820669</v>
      </c>
      <c r="BB4" s="10" t="n">
        <v>1.868312284585193</v>
      </c>
      <c r="BC4" s="10" t="n">
        <v>1.859575915465606</v>
      </c>
      <c r="BD4" s="10" t="n">
        <v>1.850564094476334</v>
      </c>
      <c r="BE4" s="10" t="n">
        <v>1.841311389290578</v>
      </c>
      <c r="BF4" s="10" t="n">
        <v>1.831853746523173</v>
      </c>
      <c r="BG4" s="10" t="n">
        <v>1.822228217072523</v>
      </c>
    </row>
    <row r="5">
      <c r="A5" s="9" t="n">
        <v>-120</v>
      </c>
      <c r="B5" s="7" t="n">
        <v>44659</v>
      </c>
      <c r="C5" s="10" t="n">
        <v>1.492383282909453</v>
      </c>
      <c r="D5" s="10" t="n">
        <v>1.514702386738889</v>
      </c>
      <c r="E5" s="10" t="n">
        <v>1.524349285800325</v>
      </c>
      <c r="F5" s="10" t="n">
        <v>1.529746800124787</v>
      </c>
      <c r="G5" s="10" t="n">
        <v>1.534972268859522</v>
      </c>
      <c r="H5" s="10" t="n">
        <v>1.541906532472116</v>
      </c>
      <c r="I5" s="10" t="n">
        <v>1.551349907813065</v>
      </c>
      <c r="J5" s="10" t="n">
        <v>1.563575247197279</v>
      </c>
      <c r="K5" s="10" t="n">
        <v>1.57857700382718</v>
      </c>
      <c r="L5" s="10" t="n">
        <v>1.596186004793661</v>
      </c>
      <c r="M5" s="10" t="n">
        <v>1.616126985019227</v>
      </c>
      <c r="N5" s="10" t="n">
        <v>1.638051365513187</v>
      </c>
      <c r="O5" s="10" t="n">
        <v>1.661564853433046</v>
      </c>
      <c r="P5" s="10" t="n">
        <v>1.68624451052807</v>
      </c>
      <c r="Q5" s="10" t="n">
        <v>1.711649169209786</v>
      </c>
      <c r="R5" s="10" t="n">
        <v>1.737331721937194</v>
      </c>
      <c r="S5" s="10" t="n">
        <v>1.762860910116341</v>
      </c>
      <c r="T5" s="10" t="n">
        <v>1.787841811806059</v>
      </c>
      <c r="U5" s="10" t="n">
        <v>1.811921270714654</v>
      </c>
      <c r="V5" s="10" t="n">
        <v>1.834815258408476</v>
      </c>
      <c r="W5" s="10" t="n">
        <v>1.856303664604291</v>
      </c>
      <c r="X5" s="10" t="n">
        <v>1.876217549233542</v>
      </c>
      <c r="Y5" s="10" t="n">
        <v>1.894432069442298</v>
      </c>
      <c r="Z5" s="10" t="n">
        <v>1.910876720566733</v>
      </c>
      <c r="AA5" s="10" t="n">
        <v>1.925538668794203</v>
      </c>
      <c r="AB5" s="10" t="n">
        <v>1.938454164931121</v>
      </c>
      <c r="AC5" s="10" t="n">
        <v>1.949687720570846</v>
      </c>
      <c r="AD5" s="10" t="n">
        <v>1.959318338657692</v>
      </c>
      <c r="AE5" s="10" t="n">
        <v>1.967436768587513</v>
      </c>
      <c r="AF5" s="10" t="n">
        <v>1.974143726442313</v>
      </c>
      <c r="AG5" s="10" t="n">
        <v>1.979547942441217</v>
      </c>
      <c r="AH5" s="10" t="n">
        <v>1.983754284050973</v>
      </c>
      <c r="AI5" s="10" t="n">
        <v>1.986856128606452</v>
      </c>
      <c r="AJ5" s="10" t="n">
        <v>1.988939024018074</v>
      </c>
      <c r="AK5" s="10" t="n">
        <v>1.990080344095675</v>
      </c>
      <c r="AL5" s="10" t="n">
        <v>1.990349651821154</v>
      </c>
      <c r="AM5" s="10" t="n">
        <v>1.989808442427744</v>
      </c>
      <c r="AN5" s="10" t="n">
        <v>1.988510835557642</v>
      </c>
      <c r="AO5" s="10" t="n">
        <v>1.986504434997276</v>
      </c>
      <c r="AP5" s="10" t="n">
        <v>1.983831272033678</v>
      </c>
      <c r="AQ5" s="10" t="n">
        <v>1.980528833912565</v>
      </c>
      <c r="AR5" s="10" t="n">
        <v>1.976630761166603</v>
      </c>
      <c r="AS5" s="10" t="n">
        <v>1.972167650514991</v>
      </c>
      <c r="AT5" s="10" t="n">
        <v>1.967167657380303</v>
      </c>
      <c r="AU5" s="10" t="n">
        <v>1.96165722865236</v>
      </c>
      <c r="AV5" s="10" t="n">
        <v>1.955661678891296</v>
      </c>
      <c r="AW5" s="10" t="n">
        <v>1.949206187605463</v>
      </c>
      <c r="AX5" s="10" t="n">
        <v>1.942316406682639</v>
      </c>
      <c r="AY5" s="10" t="n">
        <v>1.935018862199891</v>
      </c>
      <c r="AZ5" s="10" t="n">
        <v>1.92734105036654</v>
      </c>
      <c r="BA5" s="10" t="n">
        <v>1.919311382997334</v>
      </c>
      <c r="BB5" s="10" t="n">
        <v>1.910959231884795</v>
      </c>
      <c r="BC5" s="10" t="n">
        <v>1.902315327449664</v>
      </c>
      <c r="BD5" s="10" t="n">
        <v>1.893411860631454</v>
      </c>
      <c r="BE5" s="10" t="n">
        <v>1.884282395426643</v>
      </c>
      <c r="BF5" s="10" t="n">
        <v>1.874961589876017</v>
      </c>
      <c r="BG5" s="10" t="n">
        <v>1.865484961860124</v>
      </c>
    </row>
    <row r="6">
      <c r="A6" s="9" t="n">
        <v>-119</v>
      </c>
      <c r="B6" s="7" t="n">
        <v>44662</v>
      </c>
      <c r="C6" s="10" t="n">
        <v>1.554925296085517</v>
      </c>
      <c r="D6" s="10" t="n">
        <v>1.580164644543652</v>
      </c>
      <c r="E6" s="10" t="n">
        <v>1.591354963619855</v>
      </c>
      <c r="F6" s="10" t="n">
        <v>1.597836646493998</v>
      </c>
      <c r="G6" s="10" t="n">
        <v>1.604070294111617</v>
      </c>
      <c r="H6" s="10" t="n">
        <v>1.612087399669451</v>
      </c>
      <c r="I6" s="10" t="n">
        <v>1.622732537582961</v>
      </c>
      <c r="J6" s="10" t="n">
        <v>1.636271946579581</v>
      </c>
      <c r="K6" s="10" t="n">
        <v>1.652666884003921</v>
      </c>
      <c r="L6" s="10" t="n">
        <v>1.671703248117989</v>
      </c>
      <c r="M6" s="10" t="n">
        <v>1.693057351372251</v>
      </c>
      <c r="N6" s="10" t="n">
        <v>1.716333655322491</v>
      </c>
      <c r="O6" s="10" t="n">
        <v>1.7410956126622</v>
      </c>
      <c r="P6" s="10" t="n">
        <v>1.766885786035462</v>
      </c>
      <c r="Q6" s="10" t="n">
        <v>1.793237905633079</v>
      </c>
      <c r="R6" s="10" t="n">
        <v>1.819690063653397</v>
      </c>
      <c r="S6" s="10" t="n">
        <v>1.845805585531445</v>
      </c>
      <c r="T6" s="10" t="n">
        <v>1.871191944932921</v>
      </c>
      <c r="U6" s="10" t="n">
        <v>1.895505102304673</v>
      </c>
      <c r="V6" s="10" t="n">
        <v>1.918473802746074</v>
      </c>
      <c r="W6" s="10" t="n">
        <v>1.939893018443869</v>
      </c>
      <c r="X6" s="10" t="n">
        <v>1.959610735155482</v>
      </c>
      <c r="Y6" s="10" t="n">
        <v>1.977520359950623</v>
      </c>
      <c r="Z6" s="10" t="n">
        <v>1.993569370081623</v>
      </c>
      <c r="AA6" s="10" t="n">
        <v>2.007761627242139</v>
      </c>
      <c r="AB6" s="10" t="n">
        <v>2.020148687294183</v>
      </c>
      <c r="AC6" s="10" t="n">
        <v>2.030808584499987</v>
      </c>
      <c r="AD6" s="10" t="n">
        <v>2.039832095390577</v>
      </c>
      <c r="AE6" s="10" t="n">
        <v>2.047320263043461</v>
      </c>
      <c r="AF6" s="10" t="n">
        <v>2.053382841545277</v>
      </c>
      <c r="AG6" s="10" t="n">
        <v>2.058136504930761</v>
      </c>
      <c r="AH6" s="10" t="n">
        <v>2.06169286477368</v>
      </c>
      <c r="AI6" s="10" t="n">
        <v>2.064150950040837</v>
      </c>
      <c r="AJ6" s="10" t="n">
        <v>2.065601143141857</v>
      </c>
      <c r="AK6" s="10" t="n">
        <v>2.066125023313985</v>
      </c>
      <c r="AL6" s="10" t="n">
        <v>2.065795884840934</v>
      </c>
      <c r="AM6" s="10" t="n">
        <v>2.064678699033685</v>
      </c>
      <c r="AN6" s="10" t="n">
        <v>2.062830950426711</v>
      </c>
      <c r="AO6" s="10" t="n">
        <v>2.060303599065164</v>
      </c>
      <c r="AP6" s="10" t="n">
        <v>2.057142032751645</v>
      </c>
      <c r="AQ6" s="10" t="n">
        <v>2.053387085874727</v>
      </c>
      <c r="AR6" s="10" t="n">
        <v>2.049075701065725</v>
      </c>
      <c r="AS6" s="10" t="n">
        <v>2.04424160961795</v>
      </c>
      <c r="AT6" s="10" t="n">
        <v>2.03891585728213</v>
      </c>
      <c r="AU6" s="10" t="n">
        <v>2.033127396369997</v>
      </c>
      <c r="AV6" s="10" t="n">
        <v>2.026903588903747</v>
      </c>
      <c r="AW6" s="10" t="n">
        <v>2.020271055912213</v>
      </c>
      <c r="AX6" s="10" t="n">
        <v>2.013256203030518</v>
      </c>
      <c r="AY6" s="10" t="n">
        <v>2.005885551774262</v>
      </c>
      <c r="AZ6" s="10" t="n">
        <v>1.998185792629271</v>
      </c>
      <c r="BA6" s="10" t="n">
        <v>1.99018376904159</v>
      </c>
      <c r="BB6" s="10" t="n">
        <v>1.981906571621512</v>
      </c>
      <c r="BC6" s="10" t="n">
        <v>1.973381924143356</v>
      </c>
      <c r="BD6" s="10" t="n">
        <v>1.96463833745822</v>
      </c>
      <c r="BE6" s="10" t="n">
        <v>1.95570512971095</v>
      </c>
      <c r="BF6" s="10" t="n">
        <v>1.946612271656487</v>
      </c>
      <c r="BG6" s="10" t="n">
        <v>1.937390289242193</v>
      </c>
    </row>
    <row r="7">
      <c r="A7" s="9" t="n">
        <v>-118</v>
      </c>
      <c r="B7" s="7" t="n">
        <v>44663</v>
      </c>
      <c r="C7" s="10" t="n">
        <v>1.508127150264976</v>
      </c>
      <c r="D7" s="10" t="n">
        <v>1.534048243155607</v>
      </c>
      <c r="E7" s="10" t="n">
        <v>1.545803212299317</v>
      </c>
      <c r="F7" s="10" t="n">
        <v>1.552584886771712</v>
      </c>
      <c r="G7" s="10" t="n">
        <v>1.558895371454448</v>
      </c>
      <c r="H7" s="10" t="n">
        <v>1.566848780552014</v>
      </c>
      <c r="I7" s="10" t="n">
        <v>1.577371853956242</v>
      </c>
      <c r="J7" s="10" t="n">
        <v>1.590801063327694</v>
      </c>
      <c r="K7" s="10" t="n">
        <v>1.607151777945073</v>
      </c>
      <c r="L7" s="10" t="n">
        <v>1.626247659147584</v>
      </c>
      <c r="M7" s="10" t="n">
        <v>1.647787126367007</v>
      </c>
      <c r="N7" s="10" t="n">
        <v>1.671382638779672</v>
      </c>
      <c r="O7" s="10" t="n">
        <v>1.696594382422737</v>
      </c>
      <c r="P7" s="10" t="n">
        <v>1.7229546211876</v>
      </c>
      <c r="Q7" s="10" t="n">
        <v>1.749982218315632</v>
      </c>
      <c r="R7" s="10" t="n">
        <v>1.777197938281607</v>
      </c>
      <c r="S7" s="10" t="n">
        <v>1.804146728204512</v>
      </c>
      <c r="T7" s="10" t="n">
        <v>1.830418107813825</v>
      </c>
      <c r="U7" s="10" t="n">
        <v>1.85565132411859</v>
      </c>
      <c r="V7" s="10" t="n">
        <v>1.879559861830655</v>
      </c>
      <c r="W7" s="10" t="n">
        <v>1.90192454655184</v>
      </c>
      <c r="X7" s="10" t="n">
        <v>1.92258010698977</v>
      </c>
      <c r="Y7" s="10" t="n">
        <v>1.941407533177871</v>
      </c>
      <c r="Z7" s="10" t="n">
        <v>1.958343108585197</v>
      </c>
      <c r="AA7" s="10" t="n">
        <v>1.973380813494704</v>
      </c>
      <c r="AB7" s="10" t="n">
        <v>1.986563758477487</v>
      </c>
      <c r="AC7" s="10" t="n">
        <v>1.997963307735599</v>
      </c>
      <c r="AD7" s="10" t="n">
        <v>2.007665474093994</v>
      </c>
      <c r="AE7" s="10" t="n">
        <v>2.015768175108335</v>
      </c>
      <c r="AF7" s="10" t="n">
        <v>2.022379429317921</v>
      </c>
      <c r="AG7" s="10" t="n">
        <v>2.02761535546927</v>
      </c>
      <c r="AH7" s="10" t="n">
        <v>2.031588157036575</v>
      </c>
      <c r="AI7" s="10" t="n">
        <v>2.034398680605649</v>
      </c>
      <c r="AJ7" s="10" t="n">
        <v>2.036140093693918</v>
      </c>
      <c r="AK7" s="10" t="n">
        <v>2.036897619029984</v>
      </c>
      <c r="AL7" s="10" t="n">
        <v>2.036748897386159</v>
      </c>
      <c r="AM7" s="10" t="n">
        <v>2.035763769134374</v>
      </c>
      <c r="AN7" s="10" t="n">
        <v>2.034004926464519</v>
      </c>
      <c r="AO7" s="10" t="n">
        <v>2.031528710631644</v>
      </c>
      <c r="AP7" s="10" t="n">
        <v>2.028385961986136</v>
      </c>
      <c r="AQ7" s="10" t="n">
        <v>2.024622886110271</v>
      </c>
      <c r="AR7" s="10" t="n">
        <v>2.020281641017383</v>
      </c>
      <c r="AS7" s="10" t="n">
        <v>2.01540084773083</v>
      </c>
      <c r="AT7" s="10" t="n">
        <v>2.010016024696251</v>
      </c>
      <c r="AU7" s="10" t="n">
        <v>2.004160025741463</v>
      </c>
      <c r="AV7" s="10" t="n">
        <v>1.997863499420334</v>
      </c>
      <c r="AW7" s="10" t="n">
        <v>1.991155698784917</v>
      </c>
      <c r="AX7" s="10" t="n">
        <v>1.984065010650272</v>
      </c>
      <c r="AY7" s="10" t="n">
        <v>1.976619328158467</v>
      </c>
      <c r="AZ7" s="10" t="n">
        <v>1.968846191059367</v>
      </c>
      <c r="BA7" s="10" t="n">
        <v>1.960772832747404</v>
      </c>
      <c r="BB7" s="10" t="n">
        <v>1.952426336456434</v>
      </c>
      <c r="BC7" s="10" t="n">
        <v>1.943834126397809</v>
      </c>
      <c r="BD7" s="10" t="n">
        <v>1.93502420351667</v>
      </c>
      <c r="BE7" s="10" t="n">
        <v>1.926025249365062</v>
      </c>
      <c r="BF7" s="10" t="n">
        <v>1.916866535933927</v>
      </c>
      <c r="BG7" s="10" t="n">
        <v>1.90757790678911</v>
      </c>
    </row>
    <row r="8">
      <c r="A8" s="9" t="n">
        <v>-117</v>
      </c>
      <c r="B8" s="7" t="n">
        <v>44664</v>
      </c>
      <c r="C8" s="10" t="n">
        <v>1.497321809507112</v>
      </c>
      <c r="D8" s="10" t="n">
        <v>1.523746015159898</v>
      </c>
      <c r="E8" s="10" t="n">
        <v>1.536191479021359</v>
      </c>
      <c r="F8" s="10" t="n">
        <v>1.543774190296047</v>
      </c>
      <c r="G8" s="10" t="n">
        <v>1.550985800343332</v>
      </c>
      <c r="H8" s="10" t="n">
        <v>1.559935973699334</v>
      </c>
      <c r="I8" s="10" t="n">
        <v>1.571543200587207</v>
      </c>
      <c r="J8" s="10" t="n">
        <v>1.586131873805541</v>
      </c>
      <c r="K8" s="10" t="n">
        <v>1.603699708310597</v>
      </c>
      <c r="L8" s="10" t="n">
        <v>1.624048009419755</v>
      </c>
      <c r="M8" s="10" t="n">
        <v>1.646851328345209</v>
      </c>
      <c r="N8" s="10" t="n">
        <v>1.671699000116515</v>
      </c>
      <c r="O8" s="10" t="n">
        <v>1.698130371736581</v>
      </c>
      <c r="P8" s="10" t="n">
        <v>1.72566005202032</v>
      </c>
      <c r="Q8" s="10" t="n">
        <v>1.753792971390233</v>
      </c>
      <c r="R8" s="10" t="n">
        <v>1.782040244825221</v>
      </c>
      <c r="S8" s="10" t="n">
        <v>1.809940679000111</v>
      </c>
      <c r="T8" s="10" t="n">
        <v>1.837080470175541</v>
      </c>
      <c r="U8" s="10" t="n">
        <v>1.863097887697381</v>
      </c>
      <c r="V8" s="10" t="n">
        <v>1.887706407749313</v>
      </c>
      <c r="W8" s="10" t="n">
        <v>1.910687273523682</v>
      </c>
      <c r="X8" s="10" t="n">
        <v>1.931875969773267</v>
      </c>
      <c r="Y8" s="10" t="n">
        <v>1.951154542164335</v>
      </c>
      <c r="Z8" s="10" t="n">
        <v>1.968460487098226</v>
      </c>
      <c r="AA8" s="10" t="n">
        <v>1.983788954343677</v>
      </c>
      <c r="AB8" s="10" t="n">
        <v>1.997184245265024</v>
      </c>
      <c r="AC8" s="10" t="n">
        <v>2.008719377323853</v>
      </c>
      <c r="AD8" s="10" t="n">
        <v>2.018482797830642</v>
      </c>
      <c r="AE8" s="10" t="n">
        <v>2.026575545749335</v>
      </c>
      <c r="AF8" s="10" t="n">
        <v>2.033109343871058</v>
      </c>
      <c r="AG8" s="10" t="n">
        <v>2.038204512107035</v>
      </c>
      <c r="AH8" s="10" t="n">
        <v>2.041978102410115</v>
      </c>
      <c r="AI8" s="10" t="n">
        <v>2.044536597448746</v>
      </c>
      <c r="AJ8" s="10" t="n">
        <v>2.045979311015496</v>
      </c>
      <c r="AK8" s="10" t="n">
        <v>2.046398064864726</v>
      </c>
      <c r="AL8" s="10" t="n">
        <v>2.045877436161205</v>
      </c>
      <c r="AM8" s="10" t="n">
        <v>2.044494380089483</v>
      </c>
      <c r="AN8" s="10" t="n">
        <v>2.042318695942824</v>
      </c>
      <c r="AO8" s="10" t="n">
        <v>2.039413656789105</v>
      </c>
      <c r="AP8" s="10" t="n">
        <v>2.035836775341505</v>
      </c>
      <c r="AQ8" s="10" t="n">
        <v>2.031640521725187</v>
      </c>
      <c r="AR8" s="10" t="n">
        <v>2.026872875596699</v>
      </c>
      <c r="AS8" s="10" t="n">
        <v>2.021577736608453</v>
      </c>
      <c r="AT8" s="10" t="n">
        <v>2.015795333213702</v>
      </c>
      <c r="AU8" s="10" t="n">
        <v>2.009562622757747</v>
      </c>
      <c r="AV8" s="10" t="n">
        <v>2.002913754193973</v>
      </c>
      <c r="AW8" s="10" t="n">
        <v>1.995880847905068</v>
      </c>
      <c r="AX8" s="10" t="n">
        <v>1.988494516252759</v>
      </c>
      <c r="AY8" s="10" t="n">
        <v>1.980784226464822</v>
      </c>
      <c r="AZ8" s="10" t="n">
        <v>1.972778457003416</v>
      </c>
      <c r="BA8" s="10" t="n">
        <v>1.964504791188906</v>
      </c>
      <c r="BB8" s="10" t="n">
        <v>1.955990124577864</v>
      </c>
      <c r="BC8" s="10" t="n">
        <v>1.947261190642808</v>
      </c>
      <c r="BD8" s="10" t="n">
        <v>1.938344846158832</v>
      </c>
      <c r="BE8" s="10" t="n">
        <v>1.929268241902438</v>
      </c>
      <c r="BF8" s="10" t="n">
        <v>1.92005880540987</v>
      </c>
      <c r="BG8" s="10" t="n">
        <v>1.910744296975565</v>
      </c>
    </row>
    <row r="9">
      <c r="A9" s="9" t="n">
        <v>-116</v>
      </c>
      <c r="B9" s="7" t="n">
        <v>44665</v>
      </c>
      <c r="C9" s="10" t="n">
        <v>1.547579862590146</v>
      </c>
      <c r="D9" s="10" t="n">
        <v>1.573345654223574</v>
      </c>
      <c r="E9" s="10" t="n">
        <v>1.586113738590921</v>
      </c>
      <c r="F9" s="10" t="n">
        <v>1.594702040712485</v>
      </c>
      <c r="G9" s="10" t="n">
        <v>1.603363924025156</v>
      </c>
      <c r="H9" s="10" t="n">
        <v>1.614046490850208</v>
      </c>
      <c r="I9" s="10" t="n">
        <v>1.62755193794093</v>
      </c>
      <c r="J9" s="10" t="n">
        <v>1.644125073115629</v>
      </c>
      <c r="K9" s="10" t="n">
        <v>1.663703221772741</v>
      </c>
      <c r="L9" s="10" t="n">
        <v>1.686042091284702</v>
      </c>
      <c r="M9" s="10" t="n">
        <v>1.710784742837596</v>
      </c>
      <c r="N9" s="10" t="n">
        <v>1.737501901624698</v>
      </c>
      <c r="O9" s="10" t="n">
        <v>1.765723033649903</v>
      </c>
      <c r="P9" s="10" t="n">
        <v>1.794959331835491</v>
      </c>
      <c r="Q9" s="10" t="n">
        <v>1.824717066180941</v>
      </c>
      <c r="R9" s="10" t="n">
        <v>1.854508883602489</v>
      </c>
      <c r="S9" s="10" t="n">
        <v>1.883876729546539</v>
      </c>
      <c r="T9" s="10" t="n">
        <v>1.912408410013795</v>
      </c>
      <c r="U9" s="10" t="n">
        <v>1.939743538572372</v>
      </c>
      <c r="V9" s="10" t="n">
        <v>1.965596127708789</v>
      </c>
      <c r="W9" s="10" t="n">
        <v>1.989746384770459</v>
      </c>
      <c r="X9" s="10" t="n">
        <v>2.012027493457503</v>
      </c>
      <c r="Y9" s="10" t="n">
        <v>2.03231859612294</v>
      </c>
      <c r="Z9" s="10" t="n">
        <v>2.05055506314635</v>
      </c>
      <c r="AA9" s="10" t="n">
        <v>2.066730709150447</v>
      </c>
      <c r="AB9" s="10" t="n">
        <v>2.080888995071404</v>
      </c>
      <c r="AC9" s="10" t="n">
        <v>2.093102959976158</v>
      </c>
      <c r="AD9" s="10" t="n">
        <v>2.103462624576376</v>
      </c>
      <c r="AE9" s="10" t="n">
        <v>2.112071986453432</v>
      </c>
      <c r="AF9" s="10" t="n">
        <v>2.11904690235087</v>
      </c>
      <c r="AG9" s="10" t="n">
        <v>2.124512755701184</v>
      </c>
      <c r="AH9" s="10" t="n">
        <v>2.128592238108367</v>
      </c>
      <c r="AI9" s="10" t="n">
        <v>2.131398462332262</v>
      </c>
      <c r="AJ9" s="10" t="n">
        <v>2.133037661489133</v>
      </c>
      <c r="AK9" s="10" t="n">
        <v>2.133608609444176</v>
      </c>
      <c r="AL9" s="10" t="n">
        <v>2.133202674409821</v>
      </c>
      <c r="AM9" s="10" t="n">
        <v>2.131903173262532</v>
      </c>
      <c r="AN9" s="10" t="n">
        <v>2.1297857484049</v>
      </c>
      <c r="AO9" s="10" t="n">
        <v>2.126918961344407</v>
      </c>
      <c r="AP9" s="10" t="n">
        <v>2.123365158626987</v>
      </c>
      <c r="AQ9" s="10" t="n">
        <v>2.119181321353756</v>
      </c>
      <c r="AR9" s="10" t="n">
        <v>2.114419717153497</v>
      </c>
      <c r="AS9" s="10" t="n">
        <v>2.109128502502413</v>
      </c>
      <c r="AT9" s="10" t="n">
        <v>2.103352200099183</v>
      </c>
      <c r="AU9" s="10" t="n">
        <v>2.097132103945241</v>
      </c>
      <c r="AV9" s="10" t="n">
        <v>2.09050672996871</v>
      </c>
      <c r="AW9" s="10" t="n">
        <v>2.083512521962644</v>
      </c>
      <c r="AX9" s="10" t="n">
        <v>2.076184314866963</v>
      </c>
      <c r="AY9" s="10" t="n">
        <v>2.068555584939184</v>
      </c>
      <c r="AZ9" s="10" t="n">
        <v>2.060658372315644</v>
      </c>
      <c r="BA9" s="10" t="n">
        <v>2.052523328293711</v>
      </c>
      <c r="BB9" s="10" t="n">
        <v>2.044179911098952</v>
      </c>
      <c r="BC9" s="10" t="n">
        <v>2.035656737652204</v>
      </c>
      <c r="BD9" s="10" t="n">
        <v>2.026981797568169</v>
      </c>
      <c r="BE9" s="10" t="n">
        <v>2.018182597527689</v>
      </c>
      <c r="BF9" s="10" t="n">
        <v>2.009286138474712</v>
      </c>
      <c r="BG9" s="10" t="n">
        <v>2.000318960998442</v>
      </c>
    </row>
    <row r="10">
      <c r="A10" s="9" t="n">
        <v>-115</v>
      </c>
      <c r="B10" s="7" t="n">
        <v>44670</v>
      </c>
      <c r="C10" s="10" t="n">
        <v>1.605330991204203</v>
      </c>
      <c r="D10" s="10" t="n">
        <v>1.637493520758674</v>
      </c>
      <c r="E10" s="10" t="n">
        <v>1.655656435926177</v>
      </c>
      <c r="F10" s="10" t="n">
        <v>1.668927590184236</v>
      </c>
      <c r="G10" s="10" t="n">
        <v>1.681752548216441</v>
      </c>
      <c r="H10" s="10" t="n">
        <v>1.696198381799605</v>
      </c>
      <c r="I10" s="10" t="n">
        <v>1.713137489150387</v>
      </c>
      <c r="J10" s="10" t="n">
        <v>1.732852826274691</v>
      </c>
      <c r="K10" s="10" t="n">
        <v>1.755301290055062</v>
      </c>
      <c r="L10" s="10" t="n">
        <v>1.780247152292288</v>
      </c>
      <c r="M10" s="10" t="n">
        <v>1.807337274073037</v>
      </c>
      <c r="N10" s="10" t="n">
        <v>1.836145485171035</v>
      </c>
      <c r="O10" s="10" t="n">
        <v>1.86620612259057</v>
      </c>
      <c r="P10" s="10" t="n">
        <v>1.897037941460751</v>
      </c>
      <c r="Q10" s="10" t="n">
        <v>1.928157778332195</v>
      </c>
      <c r="R10" s="10" t="n">
        <v>1.959092209545705</v>
      </c>
      <c r="S10" s="10" t="n">
        <v>1.989400385051508</v>
      </c>
      <c r="T10" s="10" t="n">
        <v>2.018689907830048</v>
      </c>
      <c r="U10" s="10" t="n">
        <v>2.046622739620376</v>
      </c>
      <c r="V10" s="10" t="n">
        <v>2.072934824909497</v>
      </c>
      <c r="W10" s="10" t="n">
        <v>2.097427253300672</v>
      </c>
      <c r="X10" s="10" t="n">
        <v>2.119953248296254</v>
      </c>
      <c r="Y10" s="10" t="n">
        <v>2.140411074647662</v>
      </c>
      <c r="Z10" s="10" t="n">
        <v>2.158752827188369</v>
      </c>
      <c r="AA10" s="10" t="n">
        <v>2.174985887324354</v>
      </c>
      <c r="AB10" s="10" t="n">
        <v>2.189164330935636</v>
      </c>
      <c r="AC10" s="10" t="n">
        <v>2.201369232897076</v>
      </c>
      <c r="AD10" s="10" t="n">
        <v>2.211696570309389</v>
      </c>
      <c r="AE10" s="10" t="n">
        <v>2.220254553132391</v>
      </c>
      <c r="AF10" s="10" t="n">
        <v>2.227161770721492</v>
      </c>
      <c r="AG10" s="10" t="n">
        <v>2.232545065317384</v>
      </c>
      <c r="AH10" s="10" t="n">
        <v>2.236527528462512</v>
      </c>
      <c r="AI10" s="10" t="n">
        <v>2.239221967722941</v>
      </c>
      <c r="AJ10" s="10" t="n">
        <v>2.240733777875715</v>
      </c>
      <c r="AK10" s="10" t="n">
        <v>2.241160517729722</v>
      </c>
      <c r="AL10" s="10" t="n">
        <v>2.2405920953787</v>
      </c>
      <c r="AM10" s="10" t="n">
        <v>2.239110330598922</v>
      </c>
      <c r="AN10" s="10" t="n">
        <v>2.236789558956476</v>
      </c>
      <c r="AO10" s="10" t="n">
        <v>2.23369741156822</v>
      </c>
      <c r="AP10" s="10" t="n">
        <v>2.229895815615963</v>
      </c>
      <c r="AQ10" s="10" t="n">
        <v>2.225442080510531</v>
      </c>
      <c r="AR10" s="10" t="n">
        <v>2.220389580147264</v>
      </c>
      <c r="AS10" s="10" t="n">
        <v>2.214788451138287</v>
      </c>
      <c r="AT10" s="10" t="n">
        <v>2.208686024697813</v>
      </c>
      <c r="AU10" s="10" t="n">
        <v>2.20212708885086</v>
      </c>
      <c r="AV10" s="10" t="n">
        <v>2.195154206122646</v>
      </c>
      <c r="AW10" s="10" t="n">
        <v>2.187808199912902</v>
      </c>
      <c r="AX10" s="10" t="n">
        <v>2.180128466080729</v>
      </c>
      <c r="AY10" s="10" t="n">
        <v>2.172153023480212</v>
      </c>
      <c r="AZ10" s="10" t="n">
        <v>2.163918144555471</v>
      </c>
      <c r="BA10" s="10" t="n">
        <v>2.155458333736905</v>
      </c>
      <c r="BB10" s="10" t="n">
        <v>2.146806487217845</v>
      </c>
      <c r="BC10" s="10" t="n">
        <v>2.137994044546681</v>
      </c>
      <c r="BD10" s="10" t="n">
        <v>2.129051152197475</v>
      </c>
      <c r="BE10" s="10" t="n">
        <v>2.120006832294695</v>
      </c>
      <c r="BF10" s="10" t="n">
        <v>2.110889008566602</v>
      </c>
      <c r="BG10" s="10" t="n">
        <v>2.101724595686097</v>
      </c>
    </row>
    <row r="11">
      <c r="A11" s="9" t="n">
        <v>-114</v>
      </c>
      <c r="B11" s="7" t="n">
        <v>44671</v>
      </c>
      <c r="C11" s="10" t="n">
        <v>1.58192330638453</v>
      </c>
      <c r="D11" s="10" t="n">
        <v>1.611523903863112</v>
      </c>
      <c r="E11" s="10" t="n">
        <v>1.62672578745924</v>
      </c>
      <c r="F11" s="10" t="n">
        <v>1.63660576549427</v>
      </c>
      <c r="G11" s="10" t="n">
        <v>1.645725201804273</v>
      </c>
      <c r="H11" s="10" t="n">
        <v>1.656292513030726</v>
      </c>
      <c r="I11" s="10" t="n">
        <v>1.669310667630286</v>
      </c>
      <c r="J11" s="10" t="n">
        <v>1.685170848296421</v>
      </c>
      <c r="K11" s="10" t="n">
        <v>1.70391454690678</v>
      </c>
      <c r="L11" s="10" t="n">
        <v>1.725366154683099</v>
      </c>
      <c r="M11" s="10" t="n">
        <v>1.749211235837168</v>
      </c>
      <c r="N11" s="10" t="n">
        <v>1.775045355435093</v>
      </c>
      <c r="O11" s="10" t="n">
        <v>1.802411818912732</v>
      </c>
      <c r="P11" s="10" t="n">
        <v>1.830828785742454</v>
      </c>
      <c r="Q11" s="10" t="n">
        <v>1.859804984197459</v>
      </c>
      <c r="R11" s="10" t="n">
        <v>1.888853395780586</v>
      </c>
      <c r="S11" s="10" t="n">
        <v>1.917515853997739</v>
      </c>
      <c r="T11" s="10" t="n">
        <v>1.945380656506039</v>
      </c>
      <c r="U11" s="10" t="n">
        <v>1.972089971752632</v>
      </c>
      <c r="V11" s="10" t="n">
        <v>1.997361284484954</v>
      </c>
      <c r="W11" s="10" t="n">
        <v>2.020978529493932</v>
      </c>
      <c r="X11" s="10" t="n">
        <v>2.042778819574691</v>
      </c>
      <c r="Y11" s="10" t="n">
        <v>2.062645395337834</v>
      </c>
      <c r="Z11" s="10" t="n">
        <v>2.08051736917073</v>
      </c>
      <c r="AA11" s="10" t="n">
        <v>2.096391255716838</v>
      </c>
      <c r="AB11" s="10" t="n">
        <v>2.110311434898423</v>
      </c>
      <c r="AC11" s="10" t="n">
        <v>2.122349520125892</v>
      </c>
      <c r="AD11" s="10" t="n">
        <v>2.132591984527925</v>
      </c>
      <c r="AE11" s="10" t="n">
        <v>2.141137494643708</v>
      </c>
      <c r="AF11" s="10" t="n">
        <v>2.148095062936482</v>
      </c>
      <c r="AG11" s="10" t="n">
        <v>2.153581888888389</v>
      </c>
      <c r="AH11" s="10" t="n">
        <v>2.157710953360986</v>
      </c>
      <c r="AI11" s="10" t="n">
        <v>2.160584566435475</v>
      </c>
      <c r="AJ11" s="10" t="n">
        <v>2.162297879504595</v>
      </c>
      <c r="AK11" s="10" t="n">
        <v>2.162938728765464</v>
      </c>
      <c r="AL11" s="10" t="n">
        <v>2.162587948752696</v>
      </c>
      <c r="AM11" s="10" t="n">
        <v>2.161319204546465</v>
      </c>
      <c r="AN11" s="10" t="n">
        <v>2.159199604873216</v>
      </c>
      <c r="AO11" s="10" t="n">
        <v>2.156290429197317</v>
      </c>
      <c r="AP11" s="10" t="n">
        <v>2.152648114211767</v>
      </c>
      <c r="AQ11" s="10" t="n">
        <v>2.14832538979756</v>
      </c>
      <c r="AR11" s="10" t="n">
        <v>2.143371923198707</v>
      </c>
      <c r="AS11" s="10" t="n">
        <v>2.137835034053211</v>
      </c>
      <c r="AT11" s="10" t="n">
        <v>2.131760074069365</v>
      </c>
      <c r="AU11" s="10" t="n">
        <v>2.125190616670922</v>
      </c>
      <c r="AV11" s="10" t="n">
        <v>2.118168699257928</v>
      </c>
      <c r="AW11" s="10" t="n">
        <v>2.110735227340985</v>
      </c>
      <c r="AX11" s="10" t="n">
        <v>2.102930215258465</v>
      </c>
      <c r="AY11" s="10" t="n">
        <v>2.094792749274668</v>
      </c>
      <c r="AZ11" s="10" t="n">
        <v>2.086360493819984</v>
      </c>
      <c r="BA11" s="10" t="n">
        <v>2.077669613672187</v>
      </c>
      <c r="BB11" s="10" t="n">
        <v>2.068754892292994</v>
      </c>
      <c r="BC11" s="10" t="n">
        <v>2.059649807355459</v>
      </c>
      <c r="BD11" s="10" t="n">
        <v>2.050386666184012</v>
      </c>
      <c r="BE11" s="10" t="n">
        <v>2.040996774879761</v>
      </c>
      <c r="BF11" s="10" t="n">
        <v>2.031510477325842</v>
      </c>
      <c r="BG11" s="10" t="n">
        <v>2.021957262504732</v>
      </c>
    </row>
    <row r="12">
      <c r="A12" s="9" t="n">
        <v>-113</v>
      </c>
      <c r="B12" s="7" t="n">
        <v>44672</v>
      </c>
      <c r="C12" s="10" t="n">
        <v>1.72391497924734</v>
      </c>
      <c r="D12" s="10" t="n">
        <v>1.749184286897975</v>
      </c>
      <c r="E12" s="10" t="n">
        <v>1.759486004298139</v>
      </c>
      <c r="F12" s="10" t="n">
        <v>1.764360206436836</v>
      </c>
      <c r="G12" s="10" t="n">
        <v>1.768470902700498</v>
      </c>
      <c r="H12" s="10" t="n">
        <v>1.774029901838944</v>
      </c>
      <c r="I12" s="10" t="n">
        <v>1.782028942713026</v>
      </c>
      <c r="J12" s="10" t="n">
        <v>1.792853707292121</v>
      </c>
      <c r="K12" s="10" t="n">
        <v>1.80654999317419</v>
      </c>
      <c r="L12" s="10" t="n">
        <v>1.822953317261269</v>
      </c>
      <c r="M12" s="10" t="n">
        <v>1.841764058904309</v>
      </c>
      <c r="N12" s="10" t="n">
        <v>1.862594779654563</v>
      </c>
      <c r="O12" s="10" t="n">
        <v>1.885008294925488</v>
      </c>
      <c r="P12" s="10" t="n">
        <v>1.908543859626441</v>
      </c>
      <c r="Q12" s="10" t="n">
        <v>1.932731876944341</v>
      </c>
      <c r="R12" s="10" t="n">
        <v>1.957106683668595</v>
      </c>
      <c r="S12" s="10" t="n">
        <v>1.981230227352937</v>
      </c>
      <c r="T12" s="10" t="n">
        <v>2.004709718098741</v>
      </c>
      <c r="U12" s="10" t="n">
        <v>2.02720481729633</v>
      </c>
      <c r="V12" s="10" t="n">
        <v>2.048449154322091</v>
      </c>
      <c r="W12" s="10" t="n">
        <v>2.068241639190197</v>
      </c>
      <c r="X12" s="10" t="n">
        <v>2.086433423504348</v>
      </c>
      <c r="Y12" s="10" t="n">
        <v>2.102920946919941</v>
      </c>
      <c r="Z12" s="10" t="n">
        <v>2.117655102028634</v>
      </c>
      <c r="AA12" s="10" t="n">
        <v>2.130642133900705</v>
      </c>
      <c r="AB12" s="10" t="n">
        <v>2.141932986597746</v>
      </c>
      <c r="AC12" s="10" t="n">
        <v>2.151601232054109</v>
      </c>
      <c r="AD12" s="10" t="n">
        <v>2.159730626161679</v>
      </c>
      <c r="AE12" s="10" t="n">
        <v>2.16641314570965</v>
      </c>
      <c r="AF12" s="10" t="n">
        <v>2.171747742794023</v>
      </c>
      <c r="AG12" s="10" t="n">
        <v>2.175838634752784</v>
      </c>
      <c r="AH12" s="10" t="n">
        <v>2.178782773765555</v>
      </c>
      <c r="AI12" s="10" t="n">
        <v>2.18066383569152</v>
      </c>
      <c r="AJ12" s="10" t="n">
        <v>2.181556892817333</v>
      </c>
      <c r="AK12" s="10" t="n">
        <v>2.181528843392875</v>
      </c>
      <c r="AL12" s="10" t="n">
        <v>2.180639270927405</v>
      </c>
      <c r="AM12" s="10" t="n">
        <v>2.178941111506592</v>
      </c>
      <c r="AN12" s="10" t="n">
        <v>2.176481684274624</v>
      </c>
      <c r="AO12" s="10" t="n">
        <v>2.173303659097655</v>
      </c>
      <c r="AP12" s="10" t="n">
        <v>2.169446075572259</v>
      </c>
      <c r="AQ12" s="10" t="n">
        <v>2.164945584309021</v>
      </c>
      <c r="AR12" s="10" t="n">
        <v>2.159837057236666</v>
      </c>
      <c r="AS12" s="10" t="n">
        <v>2.154154374638379</v>
      </c>
      <c r="AT12" s="10" t="n">
        <v>2.147930816340827</v>
      </c>
      <c r="AU12" s="10" t="n">
        <v>2.141199386434146</v>
      </c>
      <c r="AV12" s="10" t="n">
        <v>2.133993059029849</v>
      </c>
      <c r="AW12" s="10" t="n">
        <v>2.126345242442572</v>
      </c>
      <c r="AX12" s="10" t="n">
        <v>2.118289991507978</v>
      </c>
      <c r="AY12" s="10" t="n">
        <v>2.109861917950233</v>
      </c>
      <c r="AZ12" s="10" t="n">
        <v>2.101095622313053</v>
      </c>
      <c r="BA12" s="10" t="n">
        <v>2.092025505721732</v>
      </c>
      <c r="BB12" s="10" t="n">
        <v>2.08268576907099</v>
      </c>
      <c r="BC12" s="10" t="n">
        <v>2.073110379363055</v>
      </c>
      <c r="BD12" s="10" t="n">
        <v>2.063333111785469</v>
      </c>
      <c r="BE12" s="10" t="n">
        <v>2.05338763717627</v>
      </c>
      <c r="BF12" s="10" t="n">
        <v>2.043307488709717</v>
      </c>
      <c r="BG12" s="10" t="n">
        <v>2.033126094694919</v>
      </c>
    </row>
    <row r="13">
      <c r="A13" s="9" t="n">
        <v>-112</v>
      </c>
      <c r="B13" s="7" t="n">
        <v>44673</v>
      </c>
      <c r="C13" s="10" t="n">
        <v>1.710666255966391</v>
      </c>
      <c r="D13" s="10" t="n">
        <v>1.734656770816227</v>
      </c>
      <c r="E13" s="10" t="n">
        <v>1.744491132210087</v>
      </c>
      <c r="F13" s="10" t="n">
        <v>1.749213516108195</v>
      </c>
      <c r="G13" s="10" t="n">
        <v>1.753242280094349</v>
      </c>
      <c r="H13" s="10" t="n">
        <v>1.758662655447978</v>
      </c>
      <c r="I13" s="10" t="n">
        <v>1.766400863172676</v>
      </c>
      <c r="J13" s="10" t="n">
        <v>1.77680416027393</v>
      </c>
      <c r="K13" s="10" t="n">
        <v>1.789898740463206</v>
      </c>
      <c r="L13" s="10" t="n">
        <v>1.805512119137868</v>
      </c>
      <c r="M13" s="10" t="n">
        <v>1.823345076349781</v>
      </c>
      <c r="N13" s="10" t="n">
        <v>1.843017066924675</v>
      </c>
      <c r="O13" s="10" t="n">
        <v>1.864104110544291</v>
      </c>
      <c r="P13" s="10" t="n">
        <v>1.886162919455263</v>
      </c>
      <c r="Q13" s="10" t="n">
        <v>1.908744280500454</v>
      </c>
      <c r="R13" s="10" t="n">
        <v>1.931405959323551</v>
      </c>
      <c r="S13" s="10" t="n">
        <v>1.953735415799082</v>
      </c>
      <c r="T13" s="10" t="n">
        <v>1.975366897473601</v>
      </c>
      <c r="U13" s="10" t="n">
        <v>1.995987666742356</v>
      </c>
      <c r="V13" s="10" t="n">
        <v>2.015357349922079</v>
      </c>
      <c r="W13" s="10" t="n">
        <v>2.033298925640457</v>
      </c>
      <c r="X13" s="10" t="n">
        <v>2.049686068641992</v>
      </c>
      <c r="Y13" s="10" t="n">
        <v>2.064436306080085</v>
      </c>
      <c r="Z13" s="10" t="n">
        <v>2.077518699378469</v>
      </c>
      <c r="AA13" s="10" t="n">
        <v>2.088953888854856</v>
      </c>
      <c r="AB13" s="10" t="n">
        <v>2.098803602297793</v>
      </c>
      <c r="AC13" s="10" t="n">
        <v>2.107148119060175</v>
      </c>
      <c r="AD13" s="10" t="n">
        <v>2.11407422157292</v>
      </c>
      <c r="AE13" s="10" t="n">
        <v>2.119673818485729</v>
      </c>
      <c r="AF13" s="10" t="n">
        <v>2.124043167967275</v>
      </c>
      <c r="AG13" s="10" t="n">
        <v>2.127281479311042</v>
      </c>
      <c r="AH13" s="10" t="n">
        <v>2.129478242997058</v>
      </c>
      <c r="AI13" s="10" t="n">
        <v>2.130707823867771</v>
      </c>
      <c r="AJ13" s="10" t="n">
        <v>2.131034799835382</v>
      </c>
      <c r="AK13" s="10" t="n">
        <v>2.130514798996175</v>
      </c>
      <c r="AL13" s="10" t="n">
        <v>2.129195734409942</v>
      </c>
      <c r="AM13" s="10" t="n">
        <v>2.12711900697691</v>
      </c>
      <c r="AN13" s="10" t="n">
        <v>2.124320788434852</v>
      </c>
      <c r="AO13" s="10" t="n">
        <v>2.12083312237236</v>
      </c>
      <c r="AP13" s="10" t="n">
        <v>2.116685049111644</v>
      </c>
      <c r="AQ13" s="10" t="n">
        <v>2.111904015988</v>
      </c>
      <c r="AR13" s="10" t="n">
        <v>2.106516526360462</v>
      </c>
      <c r="AS13" s="10" t="n">
        <v>2.100549089954698</v>
      </c>
      <c r="AT13" s="10" t="n">
        <v>2.094028649768762</v>
      </c>
      <c r="AU13" s="10" t="n">
        <v>2.086982994038822</v>
      </c>
      <c r="AV13" s="10" t="n">
        <v>2.079440972166843</v>
      </c>
      <c r="AW13" s="10" t="n">
        <v>2.071432906843795</v>
      </c>
      <c r="AX13" s="10" t="n">
        <v>2.062990717642474</v>
      </c>
      <c r="AY13" s="10" t="n">
        <v>2.054147710055119</v>
      </c>
      <c r="AZ13" s="10" t="n">
        <v>2.044937876897245</v>
      </c>
      <c r="BA13" s="10" t="n">
        <v>2.035395635566424</v>
      </c>
      <c r="BB13" s="10" t="n">
        <v>2.025555765982407</v>
      </c>
      <c r="BC13" s="10" t="n">
        <v>2.015453314921147</v>
      </c>
      <c r="BD13" s="10" t="n">
        <v>2.005123613470534</v>
      </c>
      <c r="BE13" s="10" t="n">
        <v>1.994602364160142</v>
      </c>
      <c r="BF13" s="10" t="n">
        <v>1.983925601449217</v>
      </c>
      <c r="BG13" s="10" t="n">
        <v>1.973129723384533</v>
      </c>
    </row>
    <row r="14">
      <c r="A14" s="9" t="n">
        <v>-111</v>
      </c>
      <c r="B14" s="7" t="n">
        <v>44676</v>
      </c>
      <c r="C14" s="10" t="n">
        <v>1.562866359599712</v>
      </c>
      <c r="D14" s="10" t="n">
        <v>1.588600750478028</v>
      </c>
      <c r="E14" s="10" t="n">
        <v>1.601793439366614</v>
      </c>
      <c r="F14" s="10" t="n">
        <v>1.610328944822932</v>
      </c>
      <c r="G14" s="10" t="n">
        <v>1.618142122223315</v>
      </c>
      <c r="H14" s="10" t="n">
        <v>1.627107464510987</v>
      </c>
      <c r="I14" s="10" t="n">
        <v>1.638066014096685</v>
      </c>
      <c r="J14" s="10" t="n">
        <v>1.651344221245356</v>
      </c>
      <c r="K14" s="10" t="n">
        <v>1.666986427175374</v>
      </c>
      <c r="L14" s="10" t="n">
        <v>1.684863465553589</v>
      </c>
      <c r="M14" s="10" t="n">
        <v>1.704734559467502</v>
      </c>
      <c r="N14" s="10" t="n">
        <v>1.726284512864932</v>
      </c>
      <c r="O14" s="10" t="n">
        <v>1.749153301611988</v>
      </c>
      <c r="P14" s="10" t="n">
        <v>1.772952906184491</v>
      </c>
      <c r="Q14" s="10" t="n">
        <v>1.797277639386793</v>
      </c>
      <c r="R14" s="10" t="n">
        <v>1.821716171193051</v>
      </c>
      <c r="S14" s="10" t="n">
        <v>1.845873939442349</v>
      </c>
      <c r="T14" s="10" t="n">
        <v>1.869391301875447</v>
      </c>
      <c r="U14" s="10" t="n">
        <v>1.891951231103781</v>
      </c>
      <c r="V14" s="10" t="n">
        <v>1.913302459554832</v>
      </c>
      <c r="W14" s="10" t="n">
        <v>1.933252152369155</v>
      </c>
      <c r="X14" s="10" t="n">
        <v>1.951654235927704</v>
      </c>
      <c r="Y14" s="10" t="n">
        <v>1.968403708606133</v>
      </c>
      <c r="Z14" s="10" t="n">
        <v>1.98344675164366</v>
      </c>
      <c r="AA14" s="10" t="n">
        <v>1.996782031590316</v>
      </c>
      <c r="AB14" s="10" t="n">
        <v>2.008451107520369</v>
      </c>
      <c r="AC14" s="10" t="n">
        <v>2.018517605222791</v>
      </c>
      <c r="AD14" s="10" t="n">
        <v>2.027055693733785</v>
      </c>
      <c r="AE14" s="10" t="n">
        <v>2.034148126822345</v>
      </c>
      <c r="AF14" s="10" t="n">
        <v>2.039884942273166</v>
      </c>
      <c r="AG14" s="10" t="n">
        <v>2.044361663417407</v>
      </c>
      <c r="AH14" s="10" t="n">
        <v>2.047667021477383</v>
      </c>
      <c r="AI14" s="10" t="n">
        <v>2.049877657060287</v>
      </c>
      <c r="AJ14" s="10" t="n">
        <v>2.051062539417849</v>
      </c>
      <c r="AK14" s="10" t="n">
        <v>2.051283395672514</v>
      </c>
      <c r="AL14" s="10" t="n">
        <v>2.050595531598478</v>
      </c>
      <c r="AM14" s="10" t="n">
        <v>2.049048529195939</v>
      </c>
      <c r="AN14" s="10" t="n">
        <v>2.046687237371107</v>
      </c>
      <c r="AO14" s="10" t="n">
        <v>2.043552669907115</v>
      </c>
      <c r="AP14" s="10" t="n">
        <v>2.039682982839786</v>
      </c>
      <c r="AQ14" s="10" t="n">
        <v>2.035114680000373</v>
      </c>
      <c r="AR14" s="10" t="n">
        <v>2.029883162667395</v>
      </c>
      <c r="AS14" s="10" t="n">
        <v>2.024023475953869</v>
      </c>
      <c r="AT14" s="10" t="n">
        <v>2.017570643022512</v>
      </c>
      <c r="AU14" s="10" t="n">
        <v>2.010559947449365</v>
      </c>
      <c r="AV14" s="10" t="n">
        <v>2.003027116854118</v>
      </c>
      <c r="AW14" s="10" t="n">
        <v>1.995008684606372</v>
      </c>
      <c r="AX14" s="10" t="n">
        <v>1.986542125434847</v>
      </c>
      <c r="AY14" s="10" t="n">
        <v>1.977665660313966</v>
      </c>
      <c r="AZ14" s="10" t="n">
        <v>1.968417532694024</v>
      </c>
      <c r="BA14" s="10" t="n">
        <v>1.958835782404672</v>
      </c>
      <c r="BB14" s="10" t="n">
        <v>1.94895822572176</v>
      </c>
      <c r="BC14" s="10" t="n">
        <v>1.938822366504972</v>
      </c>
      <c r="BD14" s="10" t="n">
        <v>1.92846544406916</v>
      </c>
      <c r="BE14" s="10" t="n">
        <v>1.917924556186684</v>
      </c>
      <c r="BF14" s="10" t="n">
        <v>1.90723665289394</v>
      </c>
      <c r="BG14" s="10" t="n">
        <v>1.89643861013054</v>
      </c>
    </row>
    <row r="15">
      <c r="A15" s="9" t="n">
        <v>-110</v>
      </c>
      <c r="B15" s="7" t="n">
        <v>44677</v>
      </c>
      <c r="C15" s="10" t="n">
        <v>1.502771718934301</v>
      </c>
      <c r="D15" s="10" t="n">
        <v>1.526828502262057</v>
      </c>
      <c r="E15" s="10" t="n">
        <v>1.540155664201211</v>
      </c>
      <c r="F15" s="10" t="n">
        <v>1.549614984107518</v>
      </c>
      <c r="G15" s="10" t="n">
        <v>1.558673368238115</v>
      </c>
      <c r="H15" s="10" t="n">
        <v>1.568969266929463</v>
      </c>
      <c r="I15" s="10" t="n">
        <v>1.581219979030035</v>
      </c>
      <c r="J15" s="10" t="n">
        <v>1.595688277266367</v>
      </c>
      <c r="K15" s="10" t="n">
        <v>1.612391731743312</v>
      </c>
      <c r="L15" s="10" t="n">
        <v>1.631198015236497</v>
      </c>
      <c r="M15" s="10" t="n">
        <v>1.651876867945385</v>
      </c>
      <c r="N15" s="10" t="n">
        <v>1.674130296063559</v>
      </c>
      <c r="O15" s="10" t="n">
        <v>1.697616922078486</v>
      </c>
      <c r="P15" s="10" t="n">
        <v>1.721965620401604</v>
      </c>
      <c r="Q15" s="10" t="n">
        <v>1.746784633129526</v>
      </c>
      <c r="R15" s="10" t="n">
        <v>1.771673539650529</v>
      </c>
      <c r="S15" s="10" t="n">
        <v>1.796245768762953</v>
      </c>
      <c r="T15" s="10" t="n">
        <v>1.820147386840375</v>
      </c>
      <c r="U15" s="10" t="n">
        <v>1.84306533799099</v>
      </c>
      <c r="V15" s="10" t="n">
        <v>1.864751138146876</v>
      </c>
      <c r="W15" s="10" t="n">
        <v>1.885013746215529</v>
      </c>
      <c r="X15" s="10" t="n">
        <v>1.903708090318943</v>
      </c>
      <c r="Y15" s="10" t="n">
        <v>1.920729591622258</v>
      </c>
      <c r="Z15" s="10" t="n">
        <v>1.936024457298314</v>
      </c>
      <c r="AA15" s="10" t="n">
        <v>1.949591033245437</v>
      </c>
      <c r="AB15" s="10" t="n">
        <v>1.961470408444518</v>
      </c>
      <c r="AC15" s="10" t="n">
        <v>1.9717257962118</v>
      </c>
      <c r="AD15" s="10" t="n">
        <v>1.980431171223895</v>
      </c>
      <c r="AE15" s="10" t="n">
        <v>1.987669289622832</v>
      </c>
      <c r="AF15" s="10" t="n">
        <v>1.993530358490998</v>
      </c>
      <c r="AG15" s="10" t="n">
        <v>1.998110196351324</v>
      </c>
      <c r="AH15" s="10" t="n">
        <v>2.001497923055827</v>
      </c>
      <c r="AI15" s="10" t="n">
        <v>2.003770775715804</v>
      </c>
      <c r="AJ15" s="10" t="n">
        <v>2.004998397596279</v>
      </c>
      <c r="AK15" s="10" t="n">
        <v>2.005243220985422</v>
      </c>
      <c r="AL15" s="10" t="n">
        <v>2.004561248136294</v>
      </c>
      <c r="AM15" s="10" t="n">
        <v>2.00300269434183</v>
      </c>
      <c r="AN15" s="10" t="n">
        <v>2.000613002666972</v>
      </c>
      <c r="AO15" s="10" t="n">
        <v>1.99743377048115</v>
      </c>
      <c r="AP15" s="10" t="n">
        <v>1.993503762626467</v>
      </c>
      <c r="AQ15" s="10" t="n">
        <v>1.988860160741935</v>
      </c>
      <c r="AR15" s="10" t="n">
        <v>1.983539118147822</v>
      </c>
      <c r="AS15" s="10" t="n">
        <v>1.977576510434374</v>
      </c>
      <c r="AT15" s="10" t="n">
        <v>1.97100825321788</v>
      </c>
      <c r="AU15" s="10" t="n">
        <v>1.963870544850691</v>
      </c>
      <c r="AV15" s="10" t="n">
        <v>1.956200020814794</v>
      </c>
      <c r="AW15" s="10" t="n">
        <v>1.948034059983601</v>
      </c>
      <c r="AX15" s="10" t="n">
        <v>1.939410887608982</v>
      </c>
      <c r="AY15" s="10" t="n">
        <v>1.930369365596886</v>
      </c>
      <c r="AZ15" s="10" t="n">
        <v>1.920948300455352</v>
      </c>
      <c r="BA15" s="10" t="n">
        <v>1.911186236251177</v>
      </c>
      <c r="BB15" s="10" t="n">
        <v>1.90112145792379</v>
      </c>
      <c r="BC15" s="10" t="n">
        <v>1.890791962146606</v>
      </c>
      <c r="BD15" s="10" t="n">
        <v>1.880235532910933</v>
      </c>
      <c r="BE15" s="10" t="n">
        <v>1.86948987723224</v>
      </c>
      <c r="BF15" s="10" t="n">
        <v>1.858592615797875</v>
      </c>
      <c r="BG15" s="10" t="n">
        <v>1.847581350531672</v>
      </c>
    </row>
    <row r="16">
      <c r="A16" s="9" t="n">
        <v>-109</v>
      </c>
      <c r="B16" s="7" t="n">
        <v>44678</v>
      </c>
      <c r="C16" s="10" t="n">
        <v>1.504738968020308</v>
      </c>
      <c r="D16" s="10" t="n">
        <v>1.526539838275959</v>
      </c>
      <c r="E16" s="10" t="n">
        <v>1.539865067634877</v>
      </c>
      <c r="F16" s="10" t="n">
        <v>1.550659225455038</v>
      </c>
      <c r="G16" s="10" t="n">
        <v>1.561804775228963</v>
      </c>
      <c r="H16" s="10" t="n">
        <v>1.574563999228263</v>
      </c>
      <c r="I16" s="10" t="n">
        <v>1.589413995418768</v>
      </c>
      <c r="J16" s="10" t="n">
        <v>1.606464600249562</v>
      </c>
      <c r="K16" s="10" t="n">
        <v>1.625638584253659</v>
      </c>
      <c r="L16" s="10" t="n">
        <v>1.646750627967686</v>
      </c>
      <c r="M16" s="10" t="n">
        <v>1.669547512413054</v>
      </c>
      <c r="N16" s="10" t="n">
        <v>1.693729516037836</v>
      </c>
      <c r="O16" s="10" t="n">
        <v>1.718966737199486</v>
      </c>
      <c r="P16" s="10" t="n">
        <v>1.744905892260064</v>
      </c>
      <c r="Q16" s="10" t="n">
        <v>1.7711751584359</v>
      </c>
      <c r="R16" s="10" t="n">
        <v>1.797393778202353</v>
      </c>
      <c r="S16" s="10" t="n">
        <v>1.823193130344192</v>
      </c>
      <c r="T16" s="10" t="n">
        <v>1.848235206648222</v>
      </c>
      <c r="U16" s="10" t="n">
        <v>1.872220685803134</v>
      </c>
      <c r="V16" s="10" t="n">
        <v>1.894911459542887</v>
      </c>
      <c r="W16" s="10" t="n">
        <v>1.916123800203333</v>
      </c>
      <c r="X16" s="10" t="n">
        <v>1.935717498527638</v>
      </c>
      <c r="Y16" s="10" t="n">
        <v>1.953590769206039</v>
      </c>
      <c r="Z16" s="10" t="n">
        <v>1.969690215588298</v>
      </c>
      <c r="AA16" s="10" t="n">
        <v>1.984012369364686</v>
      </c>
      <c r="AB16" s="10" t="n">
        <v>1.996595598961115</v>
      </c>
      <c r="AC16" s="10" t="n">
        <v>2.007500810577288</v>
      </c>
      <c r="AD16" s="10" t="n">
        <v>2.016800604485149</v>
      </c>
      <c r="AE16" s="10" t="n">
        <v>2.024577177222463</v>
      </c>
      <c r="AF16" s="10" t="n">
        <v>2.030920867613144</v>
      </c>
      <c r="AG16" s="10" t="n">
        <v>2.035928229825723</v>
      </c>
      <c r="AH16" s="10" t="n">
        <v>2.039690103384962</v>
      </c>
      <c r="AI16" s="10" t="n">
        <v>2.042286703940473</v>
      </c>
      <c r="AJ16" s="10" t="n">
        <v>2.04379154360497</v>
      </c>
      <c r="AK16" s="10" t="n">
        <v>2.044271681682535</v>
      </c>
      <c r="AL16" s="10" t="n">
        <v>2.043788325128315</v>
      </c>
      <c r="AM16" s="10" t="n">
        <v>2.042397256780944</v>
      </c>
      <c r="AN16" s="10" t="n">
        <v>2.040149735212571</v>
      </c>
      <c r="AO16" s="10" t="n">
        <v>2.037093343368013</v>
      </c>
      <c r="AP16" s="10" t="n">
        <v>2.033272992744921</v>
      </c>
      <c r="AQ16" s="10" t="n">
        <v>2.028732169647843</v>
      </c>
      <c r="AR16" s="10" t="n">
        <v>2.023513442221069</v>
      </c>
      <c r="AS16" s="10" t="n">
        <v>2.017659098478056</v>
      </c>
      <c r="AT16" s="10" t="n">
        <v>2.011211329591224</v>
      </c>
      <c r="AU16" s="10" t="n">
        <v>2.004212177892351</v>
      </c>
      <c r="AV16" s="10" t="n">
        <v>1.99670353692011</v>
      </c>
      <c r="AW16" s="10" t="n">
        <v>1.988727186928326</v>
      </c>
      <c r="AX16" s="10" t="n">
        <v>1.980324800326787</v>
      </c>
      <c r="AY16" s="10" t="n">
        <v>1.971537705192455</v>
      </c>
      <c r="AZ16" s="10" t="n">
        <v>1.96240623635683</v>
      </c>
      <c r="BA16" s="10" t="n">
        <v>1.952969607684952</v>
      </c>
      <c r="BB16" s="10" t="n">
        <v>1.94326597696495</v>
      </c>
      <c r="BC16" s="10" t="n">
        <v>1.933332437695944</v>
      </c>
      <c r="BD16" s="10" t="n">
        <v>1.923205130697898</v>
      </c>
      <c r="BE16" s="10" t="n">
        <v>1.912919414320483</v>
      </c>
      <c r="BF16" s="10" t="n">
        <v>1.902509905490744</v>
      </c>
      <c r="BG16" s="10" t="n">
        <v>1.892010590997719</v>
      </c>
    </row>
    <row r="17">
      <c r="A17" s="9" t="n">
        <v>-108</v>
      </c>
      <c r="B17" s="7" t="n">
        <v>44679</v>
      </c>
      <c r="C17" s="10" t="n">
        <v>1.54985857195363</v>
      </c>
      <c r="D17" s="10" t="n">
        <v>1.57174218323724</v>
      </c>
      <c r="E17" s="10" t="n">
        <v>1.584918698449495</v>
      </c>
      <c r="F17" s="10" t="n">
        <v>1.59555319986072</v>
      </c>
      <c r="G17" s="10" t="n">
        <v>1.60663104803671</v>
      </c>
      <c r="H17" s="10" t="n">
        <v>1.619471543530673</v>
      </c>
      <c r="I17" s="10" t="n">
        <v>1.634585847218907</v>
      </c>
      <c r="J17" s="10" t="n">
        <v>1.652099760589003</v>
      </c>
      <c r="K17" s="10" t="n">
        <v>1.671934333543077</v>
      </c>
      <c r="L17" s="10" t="n">
        <v>1.693886602516821</v>
      </c>
      <c r="M17" s="10" t="n">
        <v>1.717672171985085</v>
      </c>
      <c r="N17" s="10" t="n">
        <v>1.742951072567985</v>
      </c>
      <c r="O17" s="10" t="n">
        <v>1.769349984520121</v>
      </c>
      <c r="P17" s="10" t="n">
        <v>1.796475292596721</v>
      </c>
      <c r="Q17" s="10" t="n">
        <v>1.823921167821108</v>
      </c>
      <c r="R17" s="10" t="n">
        <v>1.851281338813695</v>
      </c>
      <c r="S17" s="10" t="n">
        <v>1.878170396483798</v>
      </c>
      <c r="T17" s="10" t="n">
        <v>1.904241171424147</v>
      </c>
      <c r="U17" s="10" t="n">
        <v>1.929191467002428</v>
      </c>
      <c r="V17" s="10" t="n">
        <v>1.952783728748348</v>
      </c>
      <c r="W17" s="10" t="n">
        <v>1.974837099556845</v>
      </c>
      <c r="X17" s="10" t="n">
        <v>1.995216093051469</v>
      </c>
      <c r="Y17" s="10" t="n">
        <v>2.013824912713842</v>
      </c>
      <c r="Z17" s="10" t="n">
        <v>2.030615761820419</v>
      </c>
      <c r="AA17" s="10" t="n">
        <v>2.045589550733751</v>
      </c>
      <c r="AB17" s="10" t="n">
        <v>2.058787853029798</v>
      </c>
      <c r="AC17" s="10" t="n">
        <v>2.070273856272496</v>
      </c>
      <c r="AD17" s="10" t="n">
        <v>2.080121807768525</v>
      </c>
      <c r="AE17" s="10" t="n">
        <v>2.088415026564268</v>
      </c>
      <c r="AF17" s="10" t="n">
        <v>2.095244528939792</v>
      </c>
      <c r="AG17" s="10" t="n">
        <v>2.100707159021044</v>
      </c>
      <c r="AH17" s="10" t="n">
        <v>2.10489383888729</v>
      </c>
      <c r="AI17" s="10" t="n">
        <v>2.107884959237714</v>
      </c>
      <c r="AJ17" s="10" t="n">
        <v>2.109754388017068</v>
      </c>
      <c r="AK17" s="10" t="n">
        <v>2.110569790048334</v>
      </c>
      <c r="AL17" s="10" t="n">
        <v>2.110393253815112</v>
      </c>
      <c r="AM17" s="10" t="n">
        <v>2.109281781413746</v>
      </c>
      <c r="AN17" s="10" t="n">
        <v>2.107288186371747</v>
      </c>
      <c r="AO17" s="10" t="n">
        <v>2.104461922732315</v>
      </c>
      <c r="AP17" s="10" t="n">
        <v>2.100850103777377</v>
      </c>
      <c r="AQ17" s="10" t="n">
        <v>2.096498784284378</v>
      </c>
      <c r="AR17" s="10" t="n">
        <v>2.091453455711496</v>
      </c>
      <c r="AS17" s="10" t="n">
        <v>2.085759692219026</v>
      </c>
      <c r="AT17" s="10" t="n">
        <v>2.07946326873953</v>
      </c>
      <c r="AU17" s="10" t="n">
        <v>2.072609959455048</v>
      </c>
      <c r="AV17" s="10" t="n">
        <v>2.065245432830253</v>
      </c>
      <c r="AW17" s="10" t="n">
        <v>2.057415110045408</v>
      </c>
      <c r="AX17" s="10" t="n">
        <v>2.049164105683645</v>
      </c>
      <c r="AY17" s="10" t="n">
        <v>2.040536939248299</v>
      </c>
      <c r="AZ17" s="10" t="n">
        <v>2.031576780935765</v>
      </c>
      <c r="BA17" s="10" t="n">
        <v>2.022325319264432</v>
      </c>
      <c r="BB17" s="10" t="n">
        <v>2.012822814940132</v>
      </c>
      <c r="BC17" s="10" t="n">
        <v>2.003107994247755</v>
      </c>
      <c r="BD17" s="10" t="n">
        <v>1.993218116081205</v>
      </c>
      <c r="BE17" s="10" t="n">
        <v>1.98318910517804</v>
      </c>
      <c r="BF17" s="10" t="n">
        <v>1.973055567859192</v>
      </c>
      <c r="BG17" s="10" t="n">
        <v>1.962850872929385</v>
      </c>
    </row>
    <row r="18">
      <c r="A18" s="9" t="n">
        <v>-107</v>
      </c>
      <c r="B18" s="7" t="n">
        <v>44680</v>
      </c>
      <c r="C18" s="10" t="n">
        <v>1.611122109550972</v>
      </c>
      <c r="D18" s="10" t="n">
        <v>1.633223924845106</v>
      </c>
      <c r="E18" s="10" t="n">
        <v>1.645902469768018</v>
      </c>
      <c r="F18" s="10" t="n">
        <v>1.655558750456002</v>
      </c>
      <c r="G18" s="10" t="n">
        <v>1.665292896756383</v>
      </c>
      <c r="H18" s="10" t="n">
        <v>1.676515279928936</v>
      </c>
      <c r="I18" s="10" t="n">
        <v>1.689829028296181</v>
      </c>
      <c r="J18" s="10" t="n">
        <v>1.705451057650616</v>
      </c>
      <c r="K18" s="10" t="n">
        <v>1.72338246332109</v>
      </c>
      <c r="L18" s="10" t="n">
        <v>1.74348825089801</v>
      </c>
      <c r="M18" s="10" t="n">
        <v>1.765536836876949</v>
      </c>
      <c r="N18" s="10" t="n">
        <v>1.789225981746626</v>
      </c>
      <c r="O18" s="10" t="n">
        <v>1.814205339281024</v>
      </c>
      <c r="P18" s="10" t="n">
        <v>1.840091961275452</v>
      </c>
      <c r="Q18" s="10" t="n">
        <v>1.866480139289572</v>
      </c>
      <c r="R18" s="10" t="n">
        <v>1.892956232781082</v>
      </c>
      <c r="S18" s="10" t="n">
        <v>1.919122078864475</v>
      </c>
      <c r="T18" s="10" t="n">
        <v>1.944614768219236</v>
      </c>
      <c r="U18" s="10" t="n">
        <v>1.969114543716495</v>
      </c>
      <c r="V18" s="10" t="n">
        <v>1.992367025092441</v>
      </c>
      <c r="W18" s="10" t="n">
        <v>2.014175243937239</v>
      </c>
      <c r="X18" s="10" t="n">
        <v>2.034388175289725</v>
      </c>
      <c r="Y18" s="10" t="n">
        <v>2.052895367460327</v>
      </c>
      <c r="Z18" s="10" t="n">
        <v>2.069636289379748</v>
      </c>
      <c r="AA18" s="10" t="n">
        <v>2.084600844360689</v>
      </c>
      <c r="AB18" s="10" t="n">
        <v>2.097820602696104</v>
      </c>
      <c r="AC18" s="10" t="n">
        <v>2.10934976684002</v>
      </c>
      <c r="AD18" s="10" t="n">
        <v>2.119254953579535</v>
      </c>
      <c r="AE18" s="10" t="n">
        <v>2.127613032236541</v>
      </c>
      <c r="AF18" s="10" t="n">
        <v>2.134509571253359</v>
      </c>
      <c r="AG18" s="10" t="n">
        <v>2.140036759047688</v>
      </c>
      <c r="AH18" s="10" t="n">
        <v>2.1442815594112</v>
      </c>
      <c r="AI18" s="10" t="n">
        <v>2.147321554507764</v>
      </c>
      <c r="AJ18" s="10" t="n">
        <v>2.149228621816754</v>
      </c>
      <c r="AK18" s="10" t="n">
        <v>2.150069142876124</v>
      </c>
      <c r="AL18" s="10" t="n">
        <v>2.149904530192995</v>
      </c>
      <c r="AM18" s="10" t="n">
        <v>2.148791629388364</v>
      </c>
      <c r="AN18" s="10" t="n">
        <v>2.146783494310822</v>
      </c>
      <c r="AO18" s="10" t="n">
        <v>2.143930099496235</v>
      </c>
      <c r="AP18" s="10" t="n">
        <v>2.140279273726726</v>
      </c>
      <c r="AQ18" s="10" t="n">
        <v>2.135877839982847</v>
      </c>
      <c r="AR18" s="10" t="n">
        <v>2.130772062600293</v>
      </c>
      <c r="AS18" s="10" t="n">
        <v>2.125008229164069</v>
      </c>
      <c r="AT18" s="10" t="n">
        <v>2.118632748992724</v>
      </c>
      <c r="AU18" s="10" t="n">
        <v>2.111691975907056</v>
      </c>
      <c r="AV18" s="10" t="n">
        <v>2.104232107973637</v>
      </c>
      <c r="AW18" s="10" t="n">
        <v>2.096299030048488</v>
      </c>
      <c r="AX18" s="10" t="n">
        <v>2.087938263548824</v>
      </c>
      <c r="AY18" s="10" t="n">
        <v>2.079194693038985</v>
      </c>
      <c r="AZ18" s="10" t="n">
        <v>2.070111844012163</v>
      </c>
      <c r="BA18" s="10" t="n">
        <v>2.060731771806764</v>
      </c>
      <c r="BB18" s="10" t="n">
        <v>2.0510951222762</v>
      </c>
      <c r="BC18" s="10" t="n">
        <v>2.041241055973814</v>
      </c>
      <c r="BD18" s="10" t="n">
        <v>2.03120732530562</v>
      </c>
      <c r="BE18" s="10" t="n">
        <v>2.02103040351972</v>
      </c>
      <c r="BF18" s="10" t="n">
        <v>2.010745508586631</v>
      </c>
      <c r="BG18" s="10" t="n">
        <v>2.000386696540514</v>
      </c>
    </row>
    <row r="19">
      <c r="A19" s="9" t="n">
        <v>-106</v>
      </c>
      <c r="B19" s="7" t="n">
        <v>44684</v>
      </c>
      <c r="C19" s="10" t="n">
        <v>1.648293387919698</v>
      </c>
      <c r="D19" s="10" t="n">
        <v>1.670482839654981</v>
      </c>
      <c r="E19" s="10" t="n">
        <v>1.683240044598759</v>
      </c>
      <c r="F19" s="10" t="n">
        <v>1.692955245881631</v>
      </c>
      <c r="G19" s="10" t="n">
        <v>1.70271614935703</v>
      </c>
      <c r="H19" s="10" t="n">
        <v>1.713923530623236</v>
      </c>
      <c r="I19" s="10" t="n">
        <v>1.727170380182645</v>
      </c>
      <c r="J19" s="10" t="n">
        <v>1.742665583354653</v>
      </c>
      <c r="K19" s="10" t="n">
        <v>1.760404929052072</v>
      </c>
      <c r="L19" s="10" t="n">
        <v>1.780251884778705</v>
      </c>
      <c r="M19" s="10" t="n">
        <v>1.801977115382234</v>
      </c>
      <c r="N19" s="10" t="n">
        <v>1.825283860075911</v>
      </c>
      <c r="O19" s="10" t="n">
        <v>1.849829246724806</v>
      </c>
      <c r="P19" s="10" t="n">
        <v>1.875238358712915</v>
      </c>
      <c r="Q19" s="10" t="n">
        <v>1.901113212555819</v>
      </c>
      <c r="R19" s="10" t="n">
        <v>1.927047221035451</v>
      </c>
      <c r="S19" s="10" t="n">
        <v>1.952648431201027</v>
      </c>
      <c r="T19" s="10" t="n">
        <v>1.977559991562411</v>
      </c>
      <c r="U19" s="10" t="n">
        <v>2.001468465677864</v>
      </c>
      <c r="V19" s="10" t="n">
        <v>2.024125735377518</v>
      </c>
      <c r="W19" s="10" t="n">
        <v>2.045340905007841</v>
      </c>
      <c r="X19" s="10" t="n">
        <v>2.064968870985537</v>
      </c>
      <c r="Y19" s="10" t="n">
        <v>2.08290500452566</v>
      </c>
      <c r="Z19" s="10" t="n">
        <v>2.099094399753298</v>
      </c>
      <c r="AA19" s="10" t="n">
        <v>2.113532191635826</v>
      </c>
      <c r="AB19" s="10" t="n">
        <v>2.126254509970973</v>
      </c>
      <c r="AC19" s="10" t="n">
        <v>2.137319119766159</v>
      </c>
      <c r="AD19" s="10" t="n">
        <v>2.146795261432461</v>
      </c>
      <c r="AE19" s="10" t="n">
        <v>2.154761637020081</v>
      </c>
      <c r="AF19" s="10" t="n">
        <v>2.161304976636651</v>
      </c>
      <c r="AG19" s="10" t="n">
        <v>2.166518027773363</v>
      </c>
      <c r="AH19" s="10" t="n">
        <v>2.17048760805388</v>
      </c>
      <c r="AI19" s="10" t="n">
        <v>2.173290586137014</v>
      </c>
      <c r="AJ19" s="10" t="n">
        <v>2.174997674728179</v>
      </c>
      <c r="AK19" s="10" t="n">
        <v>2.175673715585459</v>
      </c>
      <c r="AL19" s="10" t="n">
        <v>2.175378267027293</v>
      </c>
      <c r="AM19" s="10" t="n">
        <v>2.17416606524745</v>
      </c>
      <c r="AN19" s="10" t="n">
        <v>2.172087822397432</v>
      </c>
      <c r="AO19" s="10" t="n">
        <v>2.169190955467645</v>
      </c>
      <c r="AP19" s="10" t="n">
        <v>2.165520586271048</v>
      </c>
      <c r="AQ19" s="10" t="n">
        <v>2.161120756286161</v>
      </c>
      <c r="AR19" s="10" t="n">
        <v>2.156034933017691</v>
      </c>
      <c r="AS19" s="10" t="n">
        <v>2.150306707676187</v>
      </c>
      <c r="AT19" s="10" t="n">
        <v>2.143979943912213</v>
      </c>
      <c r="AU19" s="10" t="n">
        <v>2.137098668746514</v>
      </c>
      <c r="AV19" s="10" t="n">
        <v>2.129706991268105</v>
      </c>
      <c r="AW19" s="10" t="n">
        <v>2.121848971096754</v>
      </c>
      <c r="AX19" s="10" t="n">
        <v>2.113568572681078</v>
      </c>
      <c r="AY19" s="10" t="n">
        <v>2.104909385597993</v>
      </c>
      <c r="AZ19" s="10" t="n">
        <v>2.095913885406135</v>
      </c>
      <c r="BA19" s="10" t="n">
        <v>2.086623304027105</v>
      </c>
      <c r="BB19" s="10" t="n">
        <v>2.077077663751232</v>
      </c>
      <c r="BC19" s="10" t="n">
        <v>2.067315667735552</v>
      </c>
      <c r="BD19" s="10" t="n">
        <v>2.057374740724172</v>
      </c>
      <c r="BE19" s="10" t="n">
        <v>2.047291115111844</v>
      </c>
      <c r="BF19" s="10" t="n">
        <v>2.037099818279316</v>
      </c>
      <c r="BG19" s="10" t="n">
        <v>2.026834724835505</v>
      </c>
    </row>
    <row r="20">
      <c r="A20" s="9" t="n">
        <v>-105</v>
      </c>
      <c r="B20" s="7" t="n">
        <v>44685</v>
      </c>
      <c r="C20" s="10" t="n">
        <v>1.661111672631239</v>
      </c>
      <c r="D20" s="10" t="n">
        <v>1.682357997726142</v>
      </c>
      <c r="E20" s="10" t="n">
        <v>1.695519001004899</v>
      </c>
      <c r="F20" s="10" t="n">
        <v>1.706405479984573</v>
      </c>
      <c r="G20" s="10" t="n">
        <v>1.717713934020453</v>
      </c>
      <c r="H20" s="10" t="n">
        <v>1.730600958656595</v>
      </c>
      <c r="I20" s="10" t="n">
        <v>1.745510935317323</v>
      </c>
      <c r="J20" s="10" t="n">
        <v>1.762563070820034</v>
      </c>
      <c r="K20" s="10" t="n">
        <v>1.78169868603128</v>
      </c>
      <c r="L20" s="10" t="n">
        <v>1.802750106429401</v>
      </c>
      <c r="M20" s="10" t="n">
        <v>1.825474059199349</v>
      </c>
      <c r="N20" s="10" t="n">
        <v>1.849572647367558</v>
      </c>
      <c r="O20" s="10" t="n">
        <v>1.874711122351088</v>
      </c>
      <c r="P20" s="10" t="n">
        <v>1.900528303490518</v>
      </c>
      <c r="Q20" s="10" t="n">
        <v>1.926643442622222</v>
      </c>
      <c r="R20" s="10" t="n">
        <v>1.952669100913893</v>
      </c>
      <c r="S20" s="10" t="n">
        <v>1.978232688261161</v>
      </c>
      <c r="T20" s="10" t="n">
        <v>2.002996561004398</v>
      </c>
      <c r="U20" s="10" t="n">
        <v>2.026666355785395</v>
      </c>
      <c r="V20" s="10" t="n">
        <v>2.049011691210482</v>
      </c>
      <c r="W20" s="10" t="n">
        <v>2.069858035492505</v>
      </c>
      <c r="X20" s="10" t="n">
        <v>2.089075550177321</v>
      </c>
      <c r="Y20" s="10" t="n">
        <v>2.106573855611579</v>
      </c>
      <c r="Z20" s="10" t="n">
        <v>2.122310630791571</v>
      </c>
      <c r="AA20" s="10" t="n">
        <v>2.136291724378844</v>
      </c>
      <c r="AB20" s="10" t="n">
        <v>2.148562310665887</v>
      </c>
      <c r="AC20" s="10" t="n">
        <v>2.159187393077249</v>
      </c>
      <c r="AD20" s="10" t="n">
        <v>2.168241807640094</v>
      </c>
      <c r="AE20" s="10" t="n">
        <v>2.175808466461848</v>
      </c>
      <c r="AF20" s="10" t="n">
        <v>2.181977134081686</v>
      </c>
      <c r="AG20" s="10" t="n">
        <v>2.186842556607809</v>
      </c>
      <c r="AH20" s="10" t="n">
        <v>2.190492432606895</v>
      </c>
      <c r="AI20" s="10" t="n">
        <v>2.193003522106809</v>
      </c>
      <c r="AJ20" s="10" t="n">
        <v>2.194445557063946</v>
      </c>
      <c r="AK20" s="10" t="n">
        <v>2.194881635092933</v>
      </c>
      <c r="AL20" s="10" t="n">
        <v>2.19436893673211</v>
      </c>
      <c r="AM20" s="10" t="n">
        <v>2.192959331826215</v>
      </c>
      <c r="AN20" s="10" t="n">
        <v>2.190700379377354</v>
      </c>
      <c r="AO20" s="10" t="n">
        <v>2.18763621111091</v>
      </c>
      <c r="AP20" s="10" t="n">
        <v>2.183808629973079</v>
      </c>
      <c r="AQ20" s="10" t="n">
        <v>2.179258434399034</v>
      </c>
      <c r="AR20" s="10" t="n">
        <v>2.174025956204376</v>
      </c>
      <c r="AS20" s="10" t="n">
        <v>2.168151807641793</v>
      </c>
      <c r="AT20" s="10" t="n">
        <v>2.161677057479578</v>
      </c>
      <c r="AU20" s="10" t="n">
        <v>2.154643183588399</v>
      </c>
      <c r="AV20" s="10" t="n">
        <v>2.147092014188916</v>
      </c>
      <c r="AW20" s="10" t="n">
        <v>2.13906564328735</v>
      </c>
      <c r="AX20" s="10" t="n">
        <v>2.130606412220052</v>
      </c>
      <c r="AY20" s="10" t="n">
        <v>2.121756676633229</v>
      </c>
      <c r="AZ20" s="10" t="n">
        <v>2.112558122503958</v>
      </c>
      <c r="BA20" s="10" t="n">
        <v>2.103051623179876</v>
      </c>
      <c r="BB20" s="10" t="n">
        <v>2.093277247496244</v>
      </c>
      <c r="BC20" s="10" t="n">
        <v>2.083274151630765</v>
      </c>
      <c r="BD20" s="10" t="n">
        <v>2.073080566787799</v>
      </c>
      <c r="BE20" s="10" t="n">
        <v>2.062733802063437</v>
      </c>
      <c r="BF20" s="10" t="n">
        <v>2.052270151602239</v>
      </c>
      <c r="BG20" s="10" t="n">
        <v>2.041724870756293</v>
      </c>
    </row>
    <row r="21">
      <c r="A21" s="9" t="n">
        <v>-104</v>
      </c>
      <c r="B21" s="7" t="n">
        <v>44686</v>
      </c>
      <c r="C21" s="10" t="n">
        <v>1.5438801550376</v>
      </c>
      <c r="D21" s="10" t="n">
        <v>1.569794391517286</v>
      </c>
      <c r="E21" s="10" t="n">
        <v>1.588950522040192</v>
      </c>
      <c r="F21" s="10" t="n">
        <v>1.606697500788602</v>
      </c>
      <c r="G21" s="10" t="n">
        <v>1.625384210749678</v>
      </c>
      <c r="H21" s="10" t="n">
        <v>1.645911531214075</v>
      </c>
      <c r="I21" s="10" t="n">
        <v>1.668529678094378</v>
      </c>
      <c r="J21" s="10" t="n">
        <v>1.693207096970898</v>
      </c>
      <c r="K21" s="10" t="n">
        <v>1.719769589028401</v>
      </c>
      <c r="L21" s="10" t="n">
        <v>1.747965665559998</v>
      </c>
      <c r="M21" s="10" t="n">
        <v>1.777497316453991</v>
      </c>
      <c r="N21" s="10" t="n">
        <v>1.808036612258221</v>
      </c>
      <c r="O21" s="10" t="n">
        <v>1.839238823499774</v>
      </c>
      <c r="P21" s="10" t="n">
        <v>1.870746036880055</v>
      </c>
      <c r="Q21" s="10" t="n">
        <v>1.902189590674983</v>
      </c>
      <c r="R21" s="10" t="n">
        <v>1.933198520909488</v>
      </c>
      <c r="S21" s="10" t="n">
        <v>1.963418645264243</v>
      </c>
      <c r="T21" s="10" t="n">
        <v>1.992530620104353</v>
      </c>
      <c r="U21" s="10" t="n">
        <v>2.020257832053689</v>
      </c>
      <c r="V21" s="10" t="n">
        <v>2.046385155357863</v>
      </c>
      <c r="W21" s="10" t="n">
        <v>2.070750871795481</v>
      </c>
      <c r="X21" s="10" t="n">
        <v>2.093236002295117</v>
      </c>
      <c r="Y21" s="10" t="n">
        <v>2.113759302016288</v>
      </c>
      <c r="Z21" s="10" t="n">
        <v>2.132285288669062</v>
      </c>
      <c r="AA21" s="10" t="n">
        <v>2.1488247537476</v>
      </c>
      <c r="AB21" s="10" t="n">
        <v>2.163427869651739</v>
      </c>
      <c r="AC21" s="10" t="n">
        <v>2.176166078928651</v>
      </c>
      <c r="AD21" s="10" t="n">
        <v>2.187122418497732</v>
      </c>
      <c r="AE21" s="10" t="n">
        <v>2.196389509914957</v>
      </c>
      <c r="AF21" s="10" t="n">
        <v>2.204068107155216</v>
      </c>
      <c r="AG21" s="10" t="n">
        <v>2.210265038651444</v>
      </c>
      <c r="AH21" s="10" t="n">
        <v>2.215081257536001</v>
      </c>
      <c r="AI21" s="10" t="n">
        <v>2.218607941490648</v>
      </c>
      <c r="AJ21" s="10" t="n">
        <v>2.22092985370089</v>
      </c>
      <c r="AK21" s="10" t="n">
        <v>2.222125501285967</v>
      </c>
      <c r="AL21" s="10" t="n">
        <v>2.222267440883675</v>
      </c>
      <c r="AM21" s="10" t="n">
        <v>2.221422309116</v>
      </c>
      <c r="AN21" s="10" t="n">
        <v>2.219651491375328</v>
      </c>
      <c r="AO21" s="10" t="n">
        <v>2.217011825423175</v>
      </c>
      <c r="AP21" s="10" t="n">
        <v>2.213556682315369</v>
      </c>
      <c r="AQ21" s="10" t="n">
        <v>2.209337212636372</v>
      </c>
      <c r="AR21" s="10" t="n">
        <v>2.204402930898167</v>
      </c>
      <c r="AS21" s="10" t="n">
        <v>2.198802436899768</v>
      </c>
      <c r="AT21" s="10" t="n">
        <v>2.192583616668884</v>
      </c>
      <c r="AU21" s="10" t="n">
        <v>2.185793564241949</v>
      </c>
      <c r="AV21" s="10" t="n">
        <v>2.178478583975854</v>
      </c>
      <c r="AW21" s="10" t="n">
        <v>2.170684173445159</v>
      </c>
      <c r="AX21" s="10" t="n">
        <v>2.162455125680586</v>
      </c>
      <c r="AY21" s="10" t="n">
        <v>2.153835454663507</v>
      </c>
      <c r="AZ21" s="10" t="n">
        <v>2.144867854767783</v>
      </c>
      <c r="BA21" s="10" t="n">
        <v>2.135593639072071</v>
      </c>
      <c r="BB21" s="10" t="n">
        <v>2.126052841986513</v>
      </c>
      <c r="BC21" s="10" t="n">
        <v>2.116284273483844</v>
      </c>
      <c r="BD21" s="10" t="n">
        <v>2.106325576526815</v>
      </c>
      <c r="BE21" s="10" t="n">
        <v>2.096213259395832</v>
      </c>
      <c r="BF21" s="10" t="n">
        <v>2.085982612308181</v>
      </c>
      <c r="BG21" s="10" t="n">
        <v>2.075667714186594</v>
      </c>
    </row>
    <row r="22">
      <c r="A22" s="9" t="n">
        <v>-103</v>
      </c>
      <c r="B22" s="7" t="n">
        <v>44687</v>
      </c>
      <c r="C22" s="10" t="n">
        <v>1.518557153154315</v>
      </c>
      <c r="D22" s="10" t="n">
        <v>1.548653588456822</v>
      </c>
      <c r="E22" s="10" t="n">
        <v>1.573378861512691</v>
      </c>
      <c r="F22" s="10" t="n">
        <v>1.5973281050782</v>
      </c>
      <c r="G22" s="10" t="n">
        <v>1.62246208657521</v>
      </c>
      <c r="H22" s="10" t="n">
        <v>1.649460476274206</v>
      </c>
      <c r="I22" s="10" t="n">
        <v>1.678434812834274</v>
      </c>
      <c r="J22" s="10" t="n">
        <v>1.709259611431921</v>
      </c>
      <c r="K22" s="10" t="n">
        <v>1.741693568820612</v>
      </c>
      <c r="L22" s="10" t="n">
        <v>1.775437621181089</v>
      </c>
      <c r="M22" s="10" t="n">
        <v>1.810162142531579</v>
      </c>
      <c r="N22" s="10" t="n">
        <v>1.845519282643949</v>
      </c>
      <c r="O22" s="10" t="n">
        <v>1.88115125312906</v>
      </c>
      <c r="P22" s="10" t="n">
        <v>1.916694162284404</v>
      </c>
      <c r="Q22" s="10" t="n">
        <v>1.951780607734375</v>
      </c>
      <c r="R22" s="10" t="n">
        <v>1.986047025494634</v>
      </c>
      <c r="S22" s="10" t="n">
        <v>2.0191546953497</v>
      </c>
      <c r="T22" s="10" t="n">
        <v>2.050804642028036</v>
      </c>
      <c r="U22" s="10" t="n">
        <v>2.080745418304658</v>
      </c>
      <c r="V22" s="10" t="n">
        <v>2.108788711207294</v>
      </c>
      <c r="W22" s="10" t="n">
        <v>2.134800247704888</v>
      </c>
      <c r="X22" s="10" t="n">
        <v>2.158689000021352</v>
      </c>
      <c r="Y22" s="10" t="n">
        <v>2.180401958363713</v>
      </c>
      <c r="Z22" s="10" t="n">
        <v>2.199930945830744</v>
      </c>
      <c r="AA22" s="10" t="n">
        <v>2.217312459771482</v>
      </c>
      <c r="AB22" s="10" t="n">
        <v>2.232620585835429</v>
      </c>
      <c r="AC22" s="10" t="n">
        <v>2.245948423383695</v>
      </c>
      <c r="AD22" s="10" t="n">
        <v>2.257398674968903</v>
      </c>
      <c r="AE22" s="10" t="n">
        <v>2.267081957513696</v>
      </c>
      <c r="AF22" s="10" t="n">
        <v>2.27511560316376</v>
      </c>
      <c r="AG22" s="10" t="n">
        <v>2.28162170919832</v>
      </c>
      <c r="AH22" s="10" t="n">
        <v>2.28671474701699</v>
      </c>
      <c r="AI22" s="10" t="n">
        <v>2.29049784166578</v>
      </c>
      <c r="AJ22" s="10" t="n">
        <v>2.293066134539963</v>
      </c>
      <c r="AK22" s="10" t="n">
        <v>2.294507048995558</v>
      </c>
      <c r="AL22" s="10" t="n">
        <v>2.294900579333393</v>
      </c>
      <c r="AM22" s="10" t="n">
        <v>2.294319219276875</v>
      </c>
      <c r="AN22" s="10" t="n">
        <v>2.292828668736286</v>
      </c>
      <c r="AO22" s="10" t="n">
        <v>2.290488618561144</v>
      </c>
      <c r="AP22" s="10" t="n">
        <v>2.287353967279072</v>
      </c>
      <c r="AQ22" s="10" t="n">
        <v>2.28347614978824</v>
      </c>
      <c r="AR22" s="10" t="n">
        <v>2.278903892327218</v>
      </c>
      <c r="AS22" s="10" t="n">
        <v>2.27368415756601</v>
      </c>
      <c r="AT22" s="10" t="n">
        <v>2.267862535625937</v>
      </c>
      <c r="AU22" s="10" t="n">
        <v>2.261483442610825</v>
      </c>
      <c r="AV22" s="10" t="n">
        <v>2.254590280776255</v>
      </c>
      <c r="AW22" s="10" t="n">
        <v>2.247225619290119</v>
      </c>
      <c r="AX22" s="10" t="n">
        <v>2.239431417799266</v>
      </c>
      <c r="AY22" s="10" t="n">
        <v>2.231249053211937</v>
      </c>
      <c r="AZ22" s="10" t="n">
        <v>2.222718846609713</v>
      </c>
      <c r="BA22" s="10" t="n">
        <v>2.213880004908707</v>
      </c>
      <c r="BB22" s="10" t="n">
        <v>2.204770721280428</v>
      </c>
      <c r="BC22" s="10" t="n">
        <v>2.195428263986685</v>
      </c>
      <c r="BD22" s="10" t="n">
        <v>2.185888996111713</v>
      </c>
      <c r="BE22" s="10" t="n">
        <v>2.176188335147712</v>
      </c>
      <c r="BF22" s="10" t="n">
        <v>2.1663605842456</v>
      </c>
      <c r="BG22" s="10" t="n">
        <v>2.15643888144468</v>
      </c>
    </row>
    <row r="23">
      <c r="A23" s="9" t="n">
        <v>-102</v>
      </c>
      <c r="B23" s="7" t="n">
        <v>44690</v>
      </c>
      <c r="C23" s="10" t="n">
        <v>1.401987458380499</v>
      </c>
      <c r="D23" s="10" t="n">
        <v>1.435194459748882</v>
      </c>
      <c r="E23" s="10" t="n">
        <v>1.464307199030887</v>
      </c>
      <c r="F23" s="10" t="n">
        <v>1.492991549285537</v>
      </c>
      <c r="G23" s="10" t="n">
        <v>1.522890885972379</v>
      </c>
      <c r="H23" s="10" t="n">
        <v>1.554578763260915</v>
      </c>
      <c r="I23" s="10" t="n">
        <v>1.588137182736052</v>
      </c>
      <c r="J23" s="10" t="n">
        <v>1.623435602037247</v>
      </c>
      <c r="K23" s="10" t="n">
        <v>1.660231779982377</v>
      </c>
      <c r="L23" s="10" t="n">
        <v>1.698219695328561</v>
      </c>
      <c r="M23" s="10" t="n">
        <v>1.73705512299194</v>
      </c>
      <c r="N23" s="10" t="n">
        <v>1.776369600806608</v>
      </c>
      <c r="O23" s="10" t="n">
        <v>1.815781936349638</v>
      </c>
      <c r="P23" s="10" t="n">
        <v>1.854905874162195</v>
      </c>
      <c r="Q23" s="10" t="n">
        <v>1.893354693836205</v>
      </c>
      <c r="R23" s="10" t="n">
        <v>1.930750533812286</v>
      </c>
      <c r="S23" s="10" t="n">
        <v>1.966745927262367</v>
      </c>
      <c r="T23" s="10" t="n">
        <v>2.001038365870931</v>
      </c>
      <c r="U23" s="10" t="n">
        <v>2.033378087051725</v>
      </c>
      <c r="V23" s="10" t="n">
        <v>2.063581855552238</v>
      </c>
      <c r="W23" s="10" t="n">
        <v>2.091522932244895</v>
      </c>
      <c r="X23" s="10" t="n">
        <v>2.117119788377027</v>
      </c>
      <c r="Y23" s="10" t="n">
        <v>2.140330466158229</v>
      </c>
      <c r="Z23" s="10" t="n">
        <v>2.161158773175933</v>
      </c>
      <c r="AA23" s="10" t="n">
        <v>2.17965399722144</v>
      </c>
      <c r="AB23" s="10" t="n">
        <v>2.195904184200963</v>
      </c>
      <c r="AC23" s="10" t="n">
        <v>2.210016856825604</v>
      </c>
      <c r="AD23" s="10" t="n">
        <v>2.222109273420854</v>
      </c>
      <c r="AE23" s="10" t="n">
        <v>2.232306715111825</v>
      </c>
      <c r="AF23" s="10" t="n">
        <v>2.240741270247557</v>
      </c>
      <c r="AG23" s="10" t="n">
        <v>2.247549792778084</v>
      </c>
      <c r="AH23" s="10" t="n">
        <v>2.252860800086818</v>
      </c>
      <c r="AI23" s="10" t="n">
        <v>2.256790634626676</v>
      </c>
      <c r="AJ23" s="10" t="n">
        <v>2.259446835634788</v>
      </c>
      <c r="AK23" s="10" t="n">
        <v>2.260928383808435</v>
      </c>
      <c r="AL23" s="10" t="n">
        <v>2.261325888541923</v>
      </c>
      <c r="AM23" s="10" t="n">
        <v>2.260721329281766</v>
      </c>
      <c r="AN23" s="10" t="n">
        <v>2.259188717496077</v>
      </c>
      <c r="AO23" s="10" t="n">
        <v>2.256794898155944</v>
      </c>
      <c r="AP23" s="10" t="n">
        <v>2.253600801112662</v>
      </c>
      <c r="AQ23" s="10" t="n">
        <v>2.249662752440049</v>
      </c>
      <c r="AR23" s="10" t="n">
        <v>2.24503328780576</v>
      </c>
      <c r="AS23" s="10" t="n">
        <v>2.239762092242692</v>
      </c>
      <c r="AT23" s="10" t="n">
        <v>2.233896466103137</v>
      </c>
      <c r="AU23" s="10" t="n">
        <v>2.227481617441287</v>
      </c>
      <c r="AV23" s="10" t="n">
        <v>2.220560943015414</v>
      </c>
      <c r="AW23" s="10" t="n">
        <v>2.213176378882911</v>
      </c>
      <c r="AX23" s="10" t="n">
        <v>2.205368753368405</v>
      </c>
      <c r="AY23" s="10" t="n">
        <v>2.197177993412886</v>
      </c>
      <c r="AZ23" s="10" t="n">
        <v>2.188642889419293</v>
      </c>
      <c r="BA23" s="10" t="n">
        <v>2.179801103024993</v>
      </c>
      <c r="BB23" s="10" t="n">
        <v>2.170689337712073</v>
      </c>
      <c r="BC23" s="10" t="n">
        <v>2.161343603084229</v>
      </c>
      <c r="BD23" s="10" t="n">
        <v>2.151799282844895</v>
      </c>
      <c r="BE23" s="10" t="n">
        <v>2.142091096563186</v>
      </c>
      <c r="BF23" s="10" t="n">
        <v>2.132252906280531</v>
      </c>
      <c r="BG23" s="10" t="n">
        <v>2.122317669071848</v>
      </c>
    </row>
    <row r="24">
      <c r="A24" s="9" t="n">
        <v>-101</v>
      </c>
      <c r="B24" s="7" t="n">
        <v>44691</v>
      </c>
      <c r="C24" s="10" t="n">
        <v>1.334636477679198</v>
      </c>
      <c r="D24" s="10" t="n">
        <v>1.363032020372943</v>
      </c>
      <c r="E24" s="10" t="n">
        <v>1.388182635011679</v>
      </c>
      <c r="F24" s="10" t="n">
        <v>1.413031747639543</v>
      </c>
      <c r="G24" s="10" t="n">
        <v>1.43908158212229</v>
      </c>
      <c r="H24" s="10" t="n">
        <v>1.466966472972289</v>
      </c>
      <c r="I24" s="10" t="n">
        <v>1.496888945121512</v>
      </c>
      <c r="J24" s="10" t="n">
        <v>1.528837542989322</v>
      </c>
      <c r="K24" s="10" t="n">
        <v>1.562663372553691</v>
      </c>
      <c r="L24" s="10" t="n">
        <v>1.59811733815108</v>
      </c>
      <c r="M24" s="10" t="n">
        <v>1.634877188974703</v>
      </c>
      <c r="N24" s="10" t="n">
        <v>1.672566832802218</v>
      </c>
      <c r="O24" s="10" t="n">
        <v>1.710775346974768</v>
      </c>
      <c r="P24" s="10" t="n">
        <v>1.749072871077223</v>
      </c>
      <c r="Q24" s="10" t="n">
        <v>1.787020388678193</v>
      </c>
      <c r="R24" s="10" t="n">
        <v>1.824183742966068</v>
      </c>
      <c r="S24" s="10" t="n">
        <v>1.860158742416526</v>
      </c>
      <c r="T24" s="10" t="n">
        <v>1.894587566495675</v>
      </c>
      <c r="U24" s="10" t="n">
        <v>1.927168722406073</v>
      </c>
      <c r="V24" s="10" t="n">
        <v>1.957675745372918</v>
      </c>
      <c r="W24" s="10" t="n">
        <v>1.9859462451912</v>
      </c>
      <c r="X24" s="10" t="n">
        <v>2.011869109285434</v>
      </c>
      <c r="Y24" s="10" t="n">
        <v>2.035378611043149</v>
      </c>
      <c r="Z24" s="10" t="n">
        <v>2.056463328113347</v>
      </c>
      <c r="AA24" s="10" t="n">
        <v>2.075165773758383</v>
      </c>
      <c r="AB24" s="10" t="n">
        <v>2.091573124624843</v>
      </c>
      <c r="AC24" s="10" t="n">
        <v>2.105795145217711</v>
      </c>
      <c r="AD24" s="10" t="n">
        <v>2.117953285871777</v>
      </c>
      <c r="AE24" s="10" t="n">
        <v>2.128178650893477</v>
      </c>
      <c r="AF24" s="10" t="n">
        <v>2.13661053583792</v>
      </c>
      <c r="AG24" s="10" t="n">
        <v>2.143394038304712</v>
      </c>
      <c r="AH24" s="10" t="n">
        <v>2.148665362354693</v>
      </c>
      <c r="AI24" s="10" t="n">
        <v>2.152547629156766</v>
      </c>
      <c r="AJ24" s="10" t="n">
        <v>2.155154548552549</v>
      </c>
      <c r="AK24" s="10" t="n">
        <v>2.156590657396506</v>
      </c>
      <c r="AL24" s="10" t="n">
        <v>2.1569515320258</v>
      </c>
      <c r="AM24" s="10" t="n">
        <v>2.156323536653566</v>
      </c>
      <c r="AN24" s="10" t="n">
        <v>2.154784486444812</v>
      </c>
      <c r="AO24" s="10" t="n">
        <v>2.152404465305157</v>
      </c>
      <c r="AP24" s="10" t="n">
        <v>2.149247099706368</v>
      </c>
      <c r="AQ24" s="10" t="n">
        <v>2.145370866099124</v>
      </c>
      <c r="AR24" s="10" t="n">
        <v>2.14082995004713</v>
      </c>
      <c r="AS24" s="10" t="n">
        <v>2.135675223905862</v>
      </c>
      <c r="AT24" s="10" t="n">
        <v>2.129954742516445</v>
      </c>
      <c r="AU24" s="10" t="n">
        <v>2.123714046126139</v>
      </c>
      <c r="AV24" s="10" t="n">
        <v>2.11699647438733</v>
      </c>
      <c r="AW24" s="10" t="n">
        <v>2.109843554362069</v>
      </c>
      <c r="AX24" s="10" t="n">
        <v>2.102295406787519</v>
      </c>
      <c r="AY24" s="10" t="n">
        <v>2.094391005631864</v>
      </c>
      <c r="AZ24" s="10" t="n">
        <v>2.086167967756173</v>
      </c>
      <c r="BA24" s="10" t="n">
        <v>2.077662581910445</v>
      </c>
      <c r="BB24" s="10" t="n">
        <v>2.068909996937299</v>
      </c>
      <c r="BC24" s="10" t="n">
        <v>2.059944497752714</v>
      </c>
      <c r="BD24" s="10" t="n">
        <v>2.050799571540002</v>
      </c>
      <c r="BE24" s="10" t="n">
        <v>2.041507861063348</v>
      </c>
      <c r="BF24" s="10" t="n">
        <v>2.032100970387205</v>
      </c>
      <c r="BG24" s="10" t="n">
        <v>2.02260941321032</v>
      </c>
    </row>
    <row r="25">
      <c r="A25" s="9" t="n">
        <v>-100</v>
      </c>
      <c r="B25" s="7" t="n">
        <v>44692</v>
      </c>
      <c r="C25" s="10" t="n">
        <v>1.335154979496456</v>
      </c>
      <c r="D25" s="10" t="n">
        <v>1.359152554138816</v>
      </c>
      <c r="E25" s="10" t="n">
        <v>1.383234285755273</v>
      </c>
      <c r="F25" s="10" t="n">
        <v>1.408824159830609</v>
      </c>
      <c r="G25" s="10" t="n">
        <v>1.436585177582014</v>
      </c>
      <c r="H25" s="10" t="n">
        <v>1.46666592785666</v>
      </c>
      <c r="I25" s="10" t="n">
        <v>1.498982453419016</v>
      </c>
      <c r="J25" s="10" t="n">
        <v>1.533353965810143</v>
      </c>
      <c r="K25" s="10" t="n">
        <v>1.569534657941398</v>
      </c>
      <c r="L25" s="10" t="n">
        <v>1.60722518005157</v>
      </c>
      <c r="M25" s="10" t="n">
        <v>1.646083510671195</v>
      </c>
      <c r="N25" s="10" t="n">
        <v>1.685735157517813</v>
      </c>
      <c r="O25" s="10" t="n">
        <v>1.725785938360674</v>
      </c>
      <c r="P25" s="10" t="n">
        <v>1.76582938281819</v>
      </c>
      <c r="Q25" s="10" t="n">
        <v>1.805450791505083</v>
      </c>
      <c r="R25" s="10" t="n">
        <v>1.844236939724239</v>
      </c>
      <c r="S25" s="10" t="n">
        <v>1.881798812770523</v>
      </c>
      <c r="T25" s="10" t="n">
        <v>1.91778723588484</v>
      </c>
      <c r="U25" s="10" t="n">
        <v>1.951903890556684</v>
      </c>
      <c r="V25" s="10" t="n">
        <v>1.983922550705192</v>
      </c>
      <c r="W25" s="10" t="n">
        <v>2.013678907730854</v>
      </c>
      <c r="X25" s="10" t="n">
        <v>2.04105820723101</v>
      </c>
      <c r="Y25" s="10" t="n">
        <v>2.065990050030513</v>
      </c>
      <c r="Z25" s="10" t="n">
        <v>2.088458818642497</v>
      </c>
      <c r="AA25" s="10" t="n">
        <v>2.108503487985962</v>
      </c>
      <c r="AB25" s="10" t="n">
        <v>2.126207625009234</v>
      </c>
      <c r="AC25" s="10" t="n">
        <v>2.141677607438005</v>
      </c>
      <c r="AD25" s="10" t="n">
        <v>2.155031998253444</v>
      </c>
      <c r="AE25" s="10" t="n">
        <v>2.166399449151651</v>
      </c>
      <c r="AF25" s="10" t="n">
        <v>2.175917171950487</v>
      </c>
      <c r="AG25" s="10" t="n">
        <v>2.183728483307946</v>
      </c>
      <c r="AH25" s="10" t="n">
        <v>2.189968214452587</v>
      </c>
      <c r="AI25" s="10" t="n">
        <v>2.194758806565338</v>
      </c>
      <c r="AJ25" s="10" t="n">
        <v>2.198214244428733</v>
      </c>
      <c r="AK25" s="10" t="n">
        <v>2.200440378643546</v>
      </c>
      <c r="AL25" s="10" t="n">
        <v>2.201535096319541</v>
      </c>
      <c r="AM25" s="10" t="n">
        <v>2.201588076969058</v>
      </c>
      <c r="AN25" s="10" t="n">
        <v>2.200681324566781</v>
      </c>
      <c r="AO25" s="10" t="n">
        <v>2.198889856972097</v>
      </c>
      <c r="AP25" s="10" t="n">
        <v>2.19628285319078</v>
      </c>
      <c r="AQ25" s="10" t="n">
        <v>2.192924826271937</v>
      </c>
      <c r="AR25" s="10" t="n">
        <v>2.188876321835085</v>
      </c>
      <c r="AS25" s="10" t="n">
        <v>2.184194611944836</v>
      </c>
      <c r="AT25" s="10" t="n">
        <v>2.178934018311069</v>
      </c>
      <c r="AU25" s="10" t="n">
        <v>2.173145972894847</v>
      </c>
      <c r="AV25" s="10" t="n">
        <v>2.166879240190254</v>
      </c>
      <c r="AW25" s="10" t="n">
        <v>2.160180181777485</v>
      </c>
      <c r="AX25" s="10" t="n">
        <v>2.153093154088825</v>
      </c>
      <c r="AY25" s="10" t="n">
        <v>2.145660741524002</v>
      </c>
      <c r="AZ25" s="10" t="n">
        <v>2.137923450482353</v>
      </c>
      <c r="BA25" s="10" t="n">
        <v>2.129919764717679</v>
      </c>
      <c r="BB25" s="10" t="n">
        <v>2.121686347690727</v>
      </c>
      <c r="BC25" s="10" t="n">
        <v>2.113258250271398</v>
      </c>
      <c r="BD25" s="10" t="n">
        <v>2.1046689705705</v>
      </c>
      <c r="BE25" s="10" t="n">
        <v>2.095950415384599</v>
      </c>
      <c r="BF25" s="10" t="n">
        <v>2.087132719551149</v>
      </c>
      <c r="BG25" s="10" t="n">
        <v>2.078244215647597</v>
      </c>
    </row>
    <row r="26">
      <c r="A26" s="9" t="n">
        <v>-99</v>
      </c>
      <c r="B26" s="7" t="n">
        <v>44693</v>
      </c>
      <c r="C26" s="10" t="n">
        <v>1.223256523730811</v>
      </c>
      <c r="D26" s="10" t="n">
        <v>1.240336459505166</v>
      </c>
      <c r="E26" s="10" t="n">
        <v>1.258487804206978</v>
      </c>
      <c r="F26" s="10" t="n">
        <v>1.278527655456297</v>
      </c>
      <c r="G26" s="10" t="n">
        <v>1.300999187790728</v>
      </c>
      <c r="H26" s="10" t="n">
        <v>1.326074895713943</v>
      </c>
      <c r="I26" s="10" t="n">
        <v>1.353743318064414</v>
      </c>
      <c r="J26" s="10" t="n">
        <v>1.383903449663747</v>
      </c>
      <c r="K26" s="10" t="n">
        <v>1.416375510854111</v>
      </c>
      <c r="L26" s="10" t="n">
        <v>1.450900649281814</v>
      </c>
      <c r="M26" s="10" t="n">
        <v>1.48715190919372</v>
      </c>
      <c r="N26" s="10" t="n">
        <v>1.524748030103459</v>
      </c>
      <c r="O26" s="10" t="n">
        <v>1.563270659404388</v>
      </c>
      <c r="P26" s="10" t="n">
        <v>1.602276020170558</v>
      </c>
      <c r="Q26" s="10" t="n">
        <v>1.641302399599463</v>
      </c>
      <c r="R26" s="10" t="n">
        <v>1.67988360722101</v>
      </c>
      <c r="S26" s="10" t="n">
        <v>1.717575648064233</v>
      </c>
      <c r="T26" s="10" t="n">
        <v>1.7539751176459</v>
      </c>
      <c r="U26" s="10" t="n">
        <v>1.788731991124022</v>
      </c>
      <c r="V26" s="10" t="n">
        <v>1.821573599900834</v>
      </c>
      <c r="W26" s="10" t="n">
        <v>1.85229379084086</v>
      </c>
      <c r="X26" s="10" t="n">
        <v>1.880739647201932</v>
      </c>
      <c r="Y26" s="10" t="n">
        <v>1.906806234023467</v>
      </c>
      <c r="Z26" s="10" t="n">
        <v>1.930448868079619</v>
      </c>
      <c r="AA26" s="10" t="n">
        <v>1.951682780547646</v>
      </c>
      <c r="AB26" s="10" t="n">
        <v>1.970571733523195</v>
      </c>
      <c r="AC26" s="10" t="n">
        <v>1.987206033583446</v>
      </c>
      <c r="AD26" s="10" t="n">
        <v>2.001691671838137</v>
      </c>
      <c r="AE26" s="10" t="n">
        <v>2.014147695004032</v>
      </c>
      <c r="AF26" s="10" t="n">
        <v>2.024704227282642</v>
      </c>
      <c r="AG26" s="10" t="n">
        <v>2.033499635678909</v>
      </c>
      <c r="AH26" s="10" t="n">
        <v>2.040665791156528</v>
      </c>
      <c r="AI26" s="10" t="n">
        <v>2.046324026382118</v>
      </c>
      <c r="AJ26" s="10" t="n">
        <v>2.050588515180479</v>
      </c>
      <c r="AK26" s="10" t="n">
        <v>2.053566320415452</v>
      </c>
      <c r="AL26" s="10" t="n">
        <v>2.055357257097178</v>
      </c>
      <c r="AM26" s="10" t="n">
        <v>2.056053327591749</v>
      </c>
      <c r="AN26" s="10" t="n">
        <v>2.055739174793393</v>
      </c>
      <c r="AO26" s="10" t="n">
        <v>2.054492737075162</v>
      </c>
      <c r="AP26" s="10" t="n">
        <v>2.052386371478618</v>
      </c>
      <c r="AQ26" s="10" t="n">
        <v>2.049488002411481</v>
      </c>
      <c r="AR26" s="10" t="n">
        <v>2.045861761444536</v>
      </c>
      <c r="AS26" s="10" t="n">
        <v>2.041568577692611</v>
      </c>
      <c r="AT26" s="10" t="n">
        <v>2.036666413312558</v>
      </c>
      <c r="AU26" s="10" t="n">
        <v>2.031210184278671</v>
      </c>
      <c r="AV26" s="10" t="n">
        <v>2.02525191474514</v>
      </c>
      <c r="AW26" s="10" t="n">
        <v>2.018840893970579</v>
      </c>
      <c r="AX26" s="10" t="n">
        <v>2.012024044199543</v>
      </c>
      <c r="AY26" s="10" t="n">
        <v>2.004846149402503</v>
      </c>
      <c r="AZ26" s="10" t="n">
        <v>1.997349577442227</v>
      </c>
      <c r="BA26" s="10" t="n">
        <v>1.989574368607796</v>
      </c>
      <c r="BB26" s="10" t="n">
        <v>1.98155848003379</v>
      </c>
      <c r="BC26" s="10" t="n">
        <v>1.97333805208884</v>
      </c>
      <c r="BD26" s="10" t="n">
        <v>1.964947490700159</v>
      </c>
      <c r="BE26" s="10" t="n">
        <v>1.956419435629149</v>
      </c>
      <c r="BF26" s="10" t="n">
        <v>1.947784569492935</v>
      </c>
      <c r="BG26" s="10" t="n">
        <v>1.939071606149598</v>
      </c>
    </row>
    <row r="27">
      <c r="A27" s="9" t="n">
        <v>-98</v>
      </c>
      <c r="B27" s="7" t="n">
        <v>44694</v>
      </c>
      <c r="C27" s="10" t="n">
        <v>1.260303029853137</v>
      </c>
      <c r="D27" s="10" t="n">
        <v>1.276682168372937</v>
      </c>
      <c r="E27" s="10" t="n">
        <v>1.294765482024329</v>
      </c>
      <c r="F27" s="10" t="n">
        <v>1.315205316028193</v>
      </c>
      <c r="G27" s="10" t="n">
        <v>1.338380217280597</v>
      </c>
      <c r="H27" s="10" t="n">
        <v>1.364330493868863</v>
      </c>
      <c r="I27" s="10" t="n">
        <v>1.392945498701424</v>
      </c>
      <c r="J27" s="10" t="n">
        <v>1.424049921616988</v>
      </c>
      <c r="K27" s="10" t="n">
        <v>1.457410862111551</v>
      </c>
      <c r="L27" s="10" t="n">
        <v>1.492733268164967</v>
      </c>
      <c r="M27" s="10" t="n">
        <v>1.529668072480645</v>
      </c>
      <c r="N27" s="10" t="n">
        <v>1.567823871939146</v>
      </c>
      <c r="O27" s="10" t="n">
        <v>1.606780414924338</v>
      </c>
      <c r="P27" s="10" t="n">
        <v>1.646096379154368</v>
      </c>
      <c r="Q27" s="10" t="n">
        <v>1.685314914414368</v>
      </c>
      <c r="R27" s="10" t="n">
        <v>1.723977562945259</v>
      </c>
      <c r="S27" s="10" t="n">
        <v>1.761650219681385</v>
      </c>
      <c r="T27" s="10" t="n">
        <v>1.797941203404878</v>
      </c>
      <c r="U27" s="10" t="n">
        <v>1.832513356112379</v>
      </c>
      <c r="V27" s="10" t="n">
        <v>1.865107270870355</v>
      </c>
      <c r="W27" s="10" t="n">
        <v>1.895530096662634</v>
      </c>
      <c r="X27" s="10" t="n">
        <v>1.92364225405456</v>
      </c>
      <c r="Y27" s="10" t="n">
        <v>1.949352170049673</v>
      </c>
      <c r="Z27" s="10" t="n">
        <v>1.972627690482937</v>
      </c>
      <c r="AA27" s="10" t="n">
        <v>1.993494974832682</v>
      </c>
      <c r="AB27" s="10" t="n">
        <v>2.012026580835412</v>
      </c>
      <c r="AC27" s="10" t="n">
        <v>2.028319377659825</v>
      </c>
      <c r="AD27" s="10" t="n">
        <v>2.042484158657587</v>
      </c>
      <c r="AE27" s="10" t="n">
        <v>2.054643302449248</v>
      </c>
      <c r="AF27" s="10" t="n">
        <v>2.064929017580458</v>
      </c>
      <c r="AG27" s="10" t="n">
        <v>2.073480600443044</v>
      </c>
      <c r="AH27" s="10" t="n">
        <v>2.080429683058839</v>
      </c>
      <c r="AI27" s="10" t="n">
        <v>2.085896780883474</v>
      </c>
      <c r="AJ27" s="10" t="n">
        <v>2.08999467043454</v>
      </c>
      <c r="AK27" s="10" t="n">
        <v>2.092828518382687</v>
      </c>
      <c r="AL27" s="10" t="n">
        <v>2.094495821591376</v>
      </c>
      <c r="AM27" s="10" t="n">
        <v>2.095085955176346</v>
      </c>
      <c r="AN27" s="10" t="n">
        <v>2.094680653305563</v>
      </c>
      <c r="AO27" s="10" t="n">
        <v>2.093354688069327</v>
      </c>
      <c r="AP27" s="10" t="n">
        <v>2.09117706469377</v>
      </c>
      <c r="AQ27" s="10" t="n">
        <v>2.088212232225785</v>
      </c>
      <c r="AR27" s="10" t="n">
        <v>2.084520785109982</v>
      </c>
      <c r="AS27" s="10" t="n">
        <v>2.080160162542321</v>
      </c>
      <c r="AT27" s="10" t="n">
        <v>2.075184932805787</v>
      </c>
      <c r="AU27" s="10" t="n">
        <v>2.069646790698115</v>
      </c>
      <c r="AV27" s="10" t="n">
        <v>2.063594757386543</v>
      </c>
      <c r="AW27" s="10" t="n">
        <v>2.057075419078164</v>
      </c>
      <c r="AX27" s="10" t="n">
        <v>2.050133298517737</v>
      </c>
      <c r="AY27" s="10" t="n">
        <v>2.042811094620896</v>
      </c>
      <c r="AZ27" s="10" t="n">
        <v>2.035149500804371</v>
      </c>
      <c r="BA27" s="10" t="n">
        <v>2.027187294411983</v>
      </c>
      <c r="BB27" s="10" t="n">
        <v>2.018961582941199</v>
      </c>
      <c r="BC27" s="10" t="n">
        <v>2.010508125369545</v>
      </c>
      <c r="BD27" s="10" t="n">
        <v>2.001861405601299</v>
      </c>
      <c r="BE27" s="10" t="n">
        <v>1.99305457544883</v>
      </c>
      <c r="BF27" s="10" t="n">
        <v>1.984119216138859</v>
      </c>
      <c r="BG27" s="10" t="n">
        <v>1.975085290021856</v>
      </c>
    </row>
    <row r="28">
      <c r="A28" s="9" t="n">
        <v>-97</v>
      </c>
      <c r="B28" s="7" t="n">
        <v>44697</v>
      </c>
      <c r="C28" s="10" t="n">
        <v>1.260860794844193</v>
      </c>
      <c r="D28" s="10" t="n">
        <v>1.279143011238532</v>
      </c>
      <c r="E28" s="10" t="n">
        <v>1.297524722590818</v>
      </c>
      <c r="F28" s="10" t="n">
        <v>1.317462269595975</v>
      </c>
      <c r="G28" s="10" t="n">
        <v>1.339745077896768</v>
      </c>
      <c r="H28" s="10" t="n">
        <v>1.364639253274035</v>
      </c>
      <c r="I28" s="10" t="n">
        <v>1.392167346403904</v>
      </c>
      <c r="J28" s="10" t="n">
        <v>1.422233508807288</v>
      </c>
      <c r="K28" s="10" t="n">
        <v>1.454649510649118</v>
      </c>
      <c r="L28" s="10" t="n">
        <v>1.489140949916504</v>
      </c>
      <c r="M28" s="10" t="n">
        <v>1.525363359654885</v>
      </c>
      <c r="N28" s="10" t="n">
        <v>1.562919642316047</v>
      </c>
      <c r="O28" s="10" t="n">
        <v>1.60137721280721</v>
      </c>
      <c r="P28" s="10" t="n">
        <v>1.640277903411497</v>
      </c>
      <c r="Q28" s="10" t="n">
        <v>1.67914511427363</v>
      </c>
      <c r="R28" s="10" t="n">
        <v>1.717499677209756</v>
      </c>
      <c r="S28" s="10" t="n">
        <v>1.754888048450057</v>
      </c>
      <c r="T28" s="10" t="n">
        <v>1.790902041113806</v>
      </c>
      <c r="U28" s="10" t="n">
        <v>1.825191563751051</v>
      </c>
      <c r="V28" s="10" t="n">
        <v>1.857488494278567</v>
      </c>
      <c r="W28" s="10" t="n">
        <v>1.887594730505648</v>
      </c>
      <c r="X28" s="10" t="n">
        <v>1.915368215147585</v>
      </c>
      <c r="Y28" s="10" t="n">
        <v>1.940717331379847</v>
      </c>
      <c r="Z28" s="10" t="n">
        <v>1.963612374550483</v>
      </c>
      <c r="AA28" s="10" t="n">
        <v>1.984084067587049</v>
      </c>
      <c r="AB28" s="10" t="n">
        <v>2.002210900622349</v>
      </c>
      <c r="AC28" s="10" t="n">
        <v>2.018095978853097</v>
      </c>
      <c r="AD28" s="10" t="n">
        <v>2.031856320083274</v>
      </c>
      <c r="AE28" s="10" t="n">
        <v>2.043620514908692</v>
      </c>
      <c r="AF28" s="10" t="n">
        <v>2.053526973263695</v>
      </c>
      <c r="AG28" s="10" t="n">
        <v>2.061721091544957</v>
      </c>
      <c r="AH28" s="10" t="n">
        <v>2.068339791120486</v>
      </c>
      <c r="AI28" s="10" t="n">
        <v>2.073507892300495</v>
      </c>
      <c r="AJ28" s="10" t="n">
        <v>2.077341121022129</v>
      </c>
      <c r="AK28" s="10" t="n">
        <v>2.079946131098387</v>
      </c>
      <c r="AL28" s="10" t="n">
        <v>2.08142040220459</v>
      </c>
      <c r="AM28" s="10" t="n">
        <v>2.081851695183718</v>
      </c>
      <c r="AN28" s="10" t="n">
        <v>2.081318709816804</v>
      </c>
      <c r="AO28" s="10" t="n">
        <v>2.079891955879236</v>
      </c>
      <c r="AP28" s="10" t="n">
        <v>2.077635202988391</v>
      </c>
      <c r="AQ28" s="10" t="n">
        <v>2.074606948197887</v>
      </c>
      <c r="AR28" s="10" t="n">
        <v>2.070861337034565</v>
      </c>
      <c r="AS28" s="10" t="n">
        <v>2.066449199882952</v>
      </c>
      <c r="AT28" s="10" t="n">
        <v>2.061418512784637</v>
      </c>
      <c r="AU28" s="10" t="n">
        <v>2.055814612632026</v>
      </c>
      <c r="AV28" s="10" t="n">
        <v>2.049680511260077</v>
      </c>
      <c r="AW28" s="10" t="n">
        <v>2.043057316909285</v>
      </c>
      <c r="AX28" s="10" t="n">
        <v>2.035984672298857</v>
      </c>
      <c r="AY28" s="10" t="n">
        <v>2.028501097257017</v>
      </c>
      <c r="AZ28" s="10" t="n">
        <v>2.020643960007182</v>
      </c>
      <c r="BA28" s="10" t="n">
        <v>2.012449543503881</v>
      </c>
      <c r="BB28" s="10" t="n">
        <v>2.003953292216504</v>
      </c>
      <c r="BC28" s="10" t="n">
        <v>1.995190240962023</v>
      </c>
      <c r="BD28" s="10" t="n">
        <v>1.986195079736064</v>
      </c>
      <c r="BE28" s="10" t="n">
        <v>1.977002055421203</v>
      </c>
      <c r="BF28" s="10" t="n">
        <v>1.967644664585546</v>
      </c>
      <c r="BG28" s="10" t="n">
        <v>1.95815554894264</v>
      </c>
    </row>
    <row r="29">
      <c r="A29" s="9" t="n">
        <v>-96</v>
      </c>
      <c r="B29" s="7" t="n">
        <v>44698</v>
      </c>
      <c r="C29" s="10" t="n">
        <v>1.455609285705821</v>
      </c>
      <c r="D29" s="10" t="n">
        <v>1.473882074459544</v>
      </c>
      <c r="E29" s="10" t="n">
        <v>1.48980677174345</v>
      </c>
      <c r="F29" s="10" t="n">
        <v>1.506230957024847</v>
      </c>
      <c r="G29" s="10" t="n">
        <v>1.524457698753874</v>
      </c>
      <c r="H29" s="10" t="n">
        <v>1.544977675085822</v>
      </c>
      <c r="I29" s="10" t="n">
        <v>1.567945053761966</v>
      </c>
      <c r="J29" s="10" t="n">
        <v>1.593367395712533</v>
      </c>
      <c r="K29" s="10" t="n">
        <v>1.621149515924259</v>
      </c>
      <c r="L29" s="10" t="n">
        <v>1.651100606699755</v>
      </c>
      <c r="M29" s="10" t="n">
        <v>1.682941602612534</v>
      </c>
      <c r="N29" s="10" t="n">
        <v>1.716319707686625</v>
      </c>
      <c r="O29" s="10" t="n">
        <v>1.750828008045533</v>
      </c>
      <c r="P29" s="10" t="n">
        <v>1.786019745903663</v>
      </c>
      <c r="Q29" s="10" t="n">
        <v>1.821419435093609</v>
      </c>
      <c r="R29" s="10" t="n">
        <v>1.856542272254771</v>
      </c>
      <c r="S29" s="10" t="n">
        <v>1.89092592635717</v>
      </c>
      <c r="T29" s="10" t="n">
        <v>1.924153088382824</v>
      </c>
      <c r="U29" s="10" t="n">
        <v>1.955865021353111</v>
      </c>
      <c r="V29" s="10" t="n">
        <v>1.985785160911856</v>
      </c>
      <c r="W29" s="10" t="n">
        <v>2.01370701553741</v>
      </c>
      <c r="X29" s="10" t="n">
        <v>2.039480182127985</v>
      </c>
      <c r="Y29" s="10" t="n">
        <v>2.063004735985639</v>
      </c>
      <c r="Z29" s="10" t="n">
        <v>2.084242426969224</v>
      </c>
      <c r="AA29" s="10" t="n">
        <v>2.103214804373327</v>
      </c>
      <c r="AB29" s="10" t="n">
        <v>2.119990159702153</v>
      </c>
      <c r="AC29" s="10" t="n">
        <v>2.134660740150653</v>
      </c>
      <c r="AD29" s="10" t="n">
        <v>2.147332378669281</v>
      </c>
      <c r="AE29" s="10" t="n">
        <v>2.15812221462909</v>
      </c>
      <c r="AF29" s="10" t="n">
        <v>2.167156980727703</v>
      </c>
      <c r="AG29" s="10" t="n">
        <v>2.174570225663975</v>
      </c>
      <c r="AH29" s="10" t="n">
        <v>2.180487388428716</v>
      </c>
      <c r="AI29" s="10" t="n">
        <v>2.185022493432997</v>
      </c>
      <c r="AJ29" s="10" t="n">
        <v>2.188281130500754</v>
      </c>
      <c r="AK29" s="10" t="n">
        <v>2.190360512163583</v>
      </c>
      <c r="AL29" s="10" t="n">
        <v>2.191349461155238</v>
      </c>
      <c r="AM29" s="10" t="n">
        <v>2.191328029503558</v>
      </c>
      <c r="AN29" s="10" t="n">
        <v>2.190368166505484</v>
      </c>
      <c r="AO29" s="10" t="n">
        <v>2.188534543188426</v>
      </c>
      <c r="AP29" s="10" t="n">
        <v>2.185885827274641</v>
      </c>
      <c r="AQ29" s="10" t="n">
        <v>2.182475959248845</v>
      </c>
      <c r="AR29" s="10" t="n">
        <v>2.178354959735435</v>
      </c>
      <c r="AS29" s="10" t="n">
        <v>2.173569826199071</v>
      </c>
      <c r="AT29" s="10" t="n">
        <v>2.168164967737952</v>
      </c>
      <c r="AU29" s="10" t="n">
        <v>2.162182465686666</v>
      </c>
      <c r="AV29" s="10" t="n">
        <v>2.155662389841886</v>
      </c>
      <c r="AW29" s="10" t="n">
        <v>2.148643223669358</v>
      </c>
      <c r="AX29" s="10" t="n">
        <v>2.141162249875866</v>
      </c>
      <c r="AY29" s="10" t="n">
        <v>2.133255887072097</v>
      </c>
      <c r="AZ29" s="10" t="n">
        <v>2.124959785852656</v>
      </c>
      <c r="BA29" s="10" t="n">
        <v>2.116308900367881</v>
      </c>
      <c r="BB29" s="10" t="n">
        <v>2.10733775205617</v>
      </c>
      <c r="BC29" s="10" t="n">
        <v>2.098080944440634</v>
      </c>
      <c r="BD29" s="10" t="n">
        <v>2.088573262143123</v>
      </c>
      <c r="BE29" s="10" t="n">
        <v>2.078849598259693</v>
      </c>
      <c r="BF29" s="10" t="n">
        <v>2.06894465363661</v>
      </c>
      <c r="BG29" s="10" t="n">
        <v>2.058892824555706</v>
      </c>
    </row>
    <row r="30">
      <c r="A30" s="9" t="n">
        <v>-95</v>
      </c>
      <c r="B30" s="7" t="n">
        <v>44699</v>
      </c>
      <c r="C30" s="10" t="n">
        <v>1.468489161158147</v>
      </c>
      <c r="D30" s="10" t="n">
        <v>1.486573018465799</v>
      </c>
      <c r="E30" s="10" t="n">
        <v>1.501295472760698</v>
      </c>
      <c r="F30" s="10" t="n">
        <v>1.515944854527562</v>
      </c>
      <c r="G30" s="10" t="n">
        <v>1.532014947316297</v>
      </c>
      <c r="H30" s="10" t="n">
        <v>1.550092630288025</v>
      </c>
      <c r="I30" s="10" t="n">
        <v>1.570393263288771</v>
      </c>
      <c r="J30" s="10" t="n">
        <v>1.592978891451974</v>
      </c>
      <c r="K30" s="10" t="n">
        <v>1.617815898108155</v>
      </c>
      <c r="L30" s="10" t="n">
        <v>1.644788130866038</v>
      </c>
      <c r="M30" s="10" t="n">
        <v>1.6736986371743</v>
      </c>
      <c r="N30" s="10" t="n">
        <v>1.704277627240019</v>
      </c>
      <c r="O30" s="10" t="n">
        <v>1.736195391590594</v>
      </c>
      <c r="P30" s="10" t="n">
        <v>1.769070374045983</v>
      </c>
      <c r="Q30" s="10" t="n">
        <v>1.802478274129936</v>
      </c>
      <c r="R30" s="10" t="n">
        <v>1.835969014024979</v>
      </c>
      <c r="S30" s="10" t="n">
        <v>1.869097454191087</v>
      </c>
      <c r="T30" s="10" t="n">
        <v>1.90144589667167</v>
      </c>
      <c r="U30" s="10" t="n">
        <v>1.932639744443346</v>
      </c>
      <c r="V30" s="10" t="n">
        <v>1.962376670956477</v>
      </c>
      <c r="W30" s="10" t="n">
        <v>1.990416902608927</v>
      </c>
      <c r="X30" s="10" t="n">
        <v>2.016570744789298</v>
      </c>
      <c r="Y30" s="10" t="n">
        <v>2.040695008358286</v>
      </c>
      <c r="Z30" s="10" t="n">
        <v>2.062708121501135</v>
      </c>
      <c r="AA30" s="10" t="n">
        <v>2.082589637168483</v>
      </c>
      <c r="AB30" s="10" t="n">
        <v>2.100367908632951</v>
      </c>
      <c r="AC30" s="10" t="n">
        <v>2.116099691079499</v>
      </c>
      <c r="AD30" s="10" t="n">
        <v>2.129860254096204</v>
      </c>
      <c r="AE30" s="10" t="n">
        <v>2.141740364142676</v>
      </c>
      <c r="AF30" s="10" t="n">
        <v>2.151843936539217</v>
      </c>
      <c r="AG30" s="10" t="n">
        <v>2.160284871372406</v>
      </c>
      <c r="AH30" s="10" t="n">
        <v>2.167173293229192</v>
      </c>
      <c r="AI30" s="10" t="n">
        <v>2.172612184910707</v>
      </c>
      <c r="AJ30" s="10" t="n">
        <v>2.176699281531815</v>
      </c>
      <c r="AK30" s="10" t="n">
        <v>2.179526691965728</v>
      </c>
      <c r="AL30" s="10" t="n">
        <v>2.181180366753337</v>
      </c>
      <c r="AM30" s="10" t="n">
        <v>2.181739214025403</v>
      </c>
      <c r="AN30" s="10" t="n">
        <v>2.181275368619862</v>
      </c>
      <c r="AO30" s="10" t="n">
        <v>2.179854732978925</v>
      </c>
      <c r="AP30" s="10" t="n">
        <v>2.177538066156751</v>
      </c>
      <c r="AQ30" s="10" t="n">
        <v>2.174382079870768</v>
      </c>
      <c r="AR30" s="10" t="n">
        <v>2.17044016004697</v>
      </c>
      <c r="AS30" s="10" t="n">
        <v>2.165763195813634</v>
      </c>
      <c r="AT30" s="10" t="n">
        <v>2.16039989959055</v>
      </c>
      <c r="AU30" s="10" t="n">
        <v>2.154396890976899</v>
      </c>
      <c r="AV30" s="10" t="n">
        <v>2.147798898498383</v>
      </c>
      <c r="AW30" s="10" t="n">
        <v>2.140649021970121</v>
      </c>
      <c r="AX30" s="10" t="n">
        <v>2.132989063832674</v>
      </c>
      <c r="AY30" s="10" t="n">
        <v>2.124859849852297</v>
      </c>
      <c r="AZ30" s="10" t="n">
        <v>2.11630132835332</v>
      </c>
      <c r="BA30" s="10" t="n">
        <v>2.107352651141065</v>
      </c>
      <c r="BB30" s="10" t="n">
        <v>2.098052447914724</v>
      </c>
      <c r="BC30" s="10" t="n">
        <v>2.088439346766848</v>
      </c>
      <c r="BD30" s="10" t="n">
        <v>2.078552076000031</v>
      </c>
      <c r="BE30" s="10" t="n">
        <v>2.06842939222686</v>
      </c>
      <c r="BF30" s="10" t="n">
        <v>2.058109763725007</v>
      </c>
      <c r="BG30" s="10" t="n">
        <v>2.047631252518866</v>
      </c>
    </row>
    <row r="31">
      <c r="A31" s="9" t="n">
        <v>-94</v>
      </c>
      <c r="B31" s="7" t="n">
        <v>44700</v>
      </c>
      <c r="C31" s="10" t="n">
        <v>1.502158930271144</v>
      </c>
      <c r="D31" s="10" t="n">
        <v>1.516415215461386</v>
      </c>
      <c r="E31" s="10" t="n">
        <v>1.52697442521909</v>
      </c>
      <c r="F31" s="10" t="n">
        <v>1.537715922110616</v>
      </c>
      <c r="G31" s="10" t="n">
        <v>1.550362099404527</v>
      </c>
      <c r="H31" s="10" t="n">
        <v>1.565555524351263</v>
      </c>
      <c r="I31" s="10" t="n">
        <v>1.583480576972238</v>
      </c>
      <c r="J31" s="10" t="n">
        <v>1.60413116942362</v>
      </c>
      <c r="K31" s="10" t="n">
        <v>1.62739449708878</v>
      </c>
      <c r="L31" s="10" t="n">
        <v>1.653080488453854</v>
      </c>
      <c r="M31" s="10" t="n">
        <v>1.680930529214977</v>
      </c>
      <c r="N31" s="10" t="n">
        <v>1.710627610977483</v>
      </c>
      <c r="O31" s="10" t="n">
        <v>1.741807043628055</v>
      </c>
      <c r="P31" s="10" t="n">
        <v>1.774061693764403</v>
      </c>
      <c r="Q31" s="10" t="n">
        <v>1.806948817906848</v>
      </c>
      <c r="R31" s="10" t="n">
        <v>1.840005694718617</v>
      </c>
      <c r="S31" s="10" t="n">
        <v>1.872778541533576</v>
      </c>
      <c r="T31" s="10" t="n">
        <v>1.904843535458127</v>
      </c>
      <c r="U31" s="10" t="n">
        <v>1.935821152606615</v>
      </c>
      <c r="V31" s="10" t="n">
        <v>1.965403788049931</v>
      </c>
      <c r="W31" s="10" t="n">
        <v>1.993345865993145</v>
      </c>
      <c r="X31" s="10" t="n">
        <v>2.019451471811943</v>
      </c>
      <c r="Y31" s="10" t="n">
        <v>2.043570822359656</v>
      </c>
      <c r="Z31" s="10" t="n">
        <v>2.065614997935443</v>
      </c>
      <c r="AA31" s="10" t="n">
        <v>2.08555548024706</v>
      </c>
      <c r="AB31" s="10" t="n">
        <v>2.103412547416557</v>
      </c>
      <c r="AC31" s="10" t="n">
        <v>2.119235649080521</v>
      </c>
      <c r="AD31" s="10" t="n">
        <v>2.133093732260535</v>
      </c>
      <c r="AE31" s="10" t="n">
        <v>2.14507208097046</v>
      </c>
      <c r="AF31" s="10" t="n">
        <v>2.155269840914578</v>
      </c>
      <c r="AG31" s="10" t="n">
        <v>2.163796774276318</v>
      </c>
      <c r="AH31" s="10" t="n">
        <v>2.170759890428751</v>
      </c>
      <c r="AI31" s="10" t="n">
        <v>2.176260246692023</v>
      </c>
      <c r="AJ31" s="10" t="n">
        <v>2.180394616838747</v>
      </c>
      <c r="AK31" s="10" t="n">
        <v>2.183255026378976</v>
      </c>
      <c r="AL31" s="10" t="n">
        <v>2.184928094152472</v>
      </c>
      <c r="AM31" s="10" t="n">
        <v>2.185494052384418</v>
      </c>
      <c r="AN31" s="10" t="n">
        <v>2.185026937325668</v>
      </c>
      <c r="AO31" s="10" t="n">
        <v>2.183595064854006</v>
      </c>
      <c r="AP31" s="10" t="n">
        <v>2.181262071103114</v>
      </c>
      <c r="AQ31" s="10" t="n">
        <v>2.178087963390748</v>
      </c>
      <c r="AR31" s="10" t="n">
        <v>2.174129772542835</v>
      </c>
      <c r="AS31" s="10" t="n">
        <v>2.169442285624601</v>
      </c>
      <c r="AT31" s="10" t="n">
        <v>2.164078275140101</v>
      </c>
      <c r="AU31" s="10" t="n">
        <v>2.158088454357102</v>
      </c>
      <c r="AV31" s="10" t="n">
        <v>2.151521594897476</v>
      </c>
      <c r="AW31" s="10" t="n">
        <v>2.144424653422211</v>
      </c>
      <c r="AX31" s="10" t="n">
        <v>2.136843030373516</v>
      </c>
      <c r="AY31" s="10" t="n">
        <v>2.128820753906937</v>
      </c>
      <c r="AZ31" s="10" t="n">
        <v>2.120400397704162</v>
      </c>
      <c r="BA31" s="10" t="n">
        <v>2.111623162701249</v>
      </c>
      <c r="BB31" s="10" t="n">
        <v>2.10252912209259</v>
      </c>
      <c r="BC31" s="10" t="n">
        <v>2.093157598997636</v>
      </c>
      <c r="BD31" s="10" t="n">
        <v>2.083547253804352</v>
      </c>
      <c r="BE31" s="10" t="n">
        <v>2.073736037456746</v>
      </c>
      <c r="BF31" s="10" t="n">
        <v>2.06376092672807</v>
      </c>
      <c r="BG31" s="10" t="n">
        <v>2.053657852093781</v>
      </c>
    </row>
    <row r="32">
      <c r="A32" s="9" t="n">
        <v>-93</v>
      </c>
      <c r="B32" s="7" t="n">
        <v>44701</v>
      </c>
      <c r="C32" s="10" t="n">
        <v>1.515693529791085</v>
      </c>
      <c r="D32" s="10" t="n">
        <v>1.529078930568853</v>
      </c>
      <c r="E32" s="10" t="n">
        <v>1.539572613000779</v>
      </c>
      <c r="F32" s="10" t="n">
        <v>1.550778794273842</v>
      </c>
      <c r="G32" s="10" t="n">
        <v>1.564262892733935</v>
      </c>
      <c r="H32" s="10" t="n">
        <v>1.580560272102687</v>
      </c>
      <c r="I32" s="10" t="n">
        <v>1.599767469802144</v>
      </c>
      <c r="J32" s="10" t="n">
        <v>1.621803983983176</v>
      </c>
      <c r="K32" s="10" t="n">
        <v>1.646490346216287</v>
      </c>
      <c r="L32" s="10" t="n">
        <v>1.673580399550293</v>
      </c>
      <c r="M32" s="10" t="n">
        <v>1.702772147024009</v>
      </c>
      <c r="N32" s="10" t="n">
        <v>1.733717983703876</v>
      </c>
      <c r="O32" s="10" t="n">
        <v>1.766033698089627</v>
      </c>
      <c r="P32" s="10" t="n">
        <v>1.799302028368212</v>
      </c>
      <c r="Q32" s="10" t="n">
        <v>1.833077573596709</v>
      </c>
      <c r="R32" s="10" t="n">
        <v>1.866901727162288</v>
      </c>
      <c r="S32" s="10" t="n">
        <v>1.900329547418412</v>
      </c>
      <c r="T32" s="10" t="n">
        <v>1.932949273025197</v>
      </c>
      <c r="U32" s="10" t="n">
        <v>1.964395433097177</v>
      </c>
      <c r="V32" s="10" t="n">
        <v>1.994374141876103</v>
      </c>
      <c r="W32" s="10" t="n">
        <v>2.022652807217971</v>
      </c>
      <c r="X32" s="10" t="n">
        <v>2.049047913238312</v>
      </c>
      <c r="Y32" s="10" t="n">
        <v>2.073421429857679</v>
      </c>
      <c r="Z32" s="10" t="n">
        <v>2.095694124147766</v>
      </c>
      <c r="AA32" s="10" t="n">
        <v>2.115844755098689</v>
      </c>
      <c r="AB32" s="10" t="n">
        <v>2.13389920939969</v>
      </c>
      <c r="AC32" s="10" t="n">
        <v>2.149911031049059</v>
      </c>
      <c r="AD32" s="10" t="n">
        <v>2.163952073951837</v>
      </c>
      <c r="AE32" s="10" t="n">
        <v>2.176109537035708</v>
      </c>
      <c r="AF32" s="10" t="n">
        <v>2.186483639247562</v>
      </c>
      <c r="AG32" s="10" t="n">
        <v>2.195184405664163</v>
      </c>
      <c r="AH32" s="10" t="n">
        <v>2.202318214095522</v>
      </c>
      <c r="AI32" s="10" t="n">
        <v>2.207985037623159</v>
      </c>
      <c r="AJ32" s="10" t="n">
        <v>2.212280153036348</v>
      </c>
      <c r="AK32" s="10" t="n">
        <v>2.215293768183033</v>
      </c>
      <c r="AL32" s="10" t="n">
        <v>2.217110453550373</v>
      </c>
      <c r="AM32" s="10" t="n">
        <v>2.217808317482839</v>
      </c>
      <c r="AN32" s="10" t="n">
        <v>2.217459334866215</v>
      </c>
      <c r="AO32" s="10" t="n">
        <v>2.216129910964208</v>
      </c>
      <c r="AP32" s="10" t="n">
        <v>2.213882033335815</v>
      </c>
      <c r="AQ32" s="10" t="n">
        <v>2.210774432024332</v>
      </c>
      <c r="AR32" s="10" t="n">
        <v>2.206863262125315</v>
      </c>
      <c r="AS32" s="10" t="n">
        <v>2.202202902515716</v>
      </c>
      <c r="AT32" s="10" t="n">
        <v>2.196846148930094</v>
      </c>
      <c r="AU32" s="10" t="n">
        <v>2.190844114842083</v>
      </c>
      <c r="AV32" s="10" t="n">
        <v>2.184246295839759</v>
      </c>
      <c r="AW32" s="10" t="n">
        <v>2.177100628698343</v>
      </c>
      <c r="AX32" s="10" t="n">
        <v>2.169453695827285</v>
      </c>
      <c r="AY32" s="10" t="n">
        <v>2.161350834389456</v>
      </c>
      <c r="AZ32" s="10" t="n">
        <v>2.152835991012602</v>
      </c>
      <c r="BA32" s="10" t="n">
        <v>2.143951788717873</v>
      </c>
      <c r="BB32" s="10" t="n">
        <v>2.134739751654172</v>
      </c>
      <c r="BC32" s="10" t="n">
        <v>2.125240634457493</v>
      </c>
      <c r="BD32" s="10" t="n">
        <v>2.1154944964543</v>
      </c>
      <c r="BE32" s="10" t="n">
        <v>2.105540653932244</v>
      </c>
      <c r="BF32" s="10" t="n">
        <v>2.095417397813039</v>
      </c>
      <c r="BG32" s="10" t="n">
        <v>2.085161932385855</v>
      </c>
    </row>
    <row r="33">
      <c r="A33" s="9" t="n">
        <v>-92</v>
      </c>
      <c r="B33" s="7" t="n">
        <v>44704</v>
      </c>
      <c r="C33" s="10" t="n">
        <v>1.587953426809487</v>
      </c>
      <c r="D33" s="10" t="n">
        <v>1.602121008462173</v>
      </c>
      <c r="E33" s="10" t="n">
        <v>1.613243865354278</v>
      </c>
      <c r="F33" s="10" t="n">
        <v>1.6252646465962</v>
      </c>
      <c r="G33" s="10" t="n">
        <v>1.639819382399952</v>
      </c>
      <c r="H33" s="10" t="n">
        <v>1.657413359421971</v>
      </c>
      <c r="I33" s="10" t="n">
        <v>1.678072066443409</v>
      </c>
      <c r="J33" s="10" t="n">
        <v>1.701632644759858</v>
      </c>
      <c r="K33" s="10" t="n">
        <v>1.727833576609237</v>
      </c>
      <c r="L33" s="10" t="n">
        <v>1.756353489311604</v>
      </c>
      <c r="M33" s="10" t="n">
        <v>1.786826030538143</v>
      </c>
      <c r="N33" s="10" t="n">
        <v>1.818851947430463</v>
      </c>
      <c r="O33" s="10" t="n">
        <v>1.852009151667442</v>
      </c>
      <c r="P33" s="10" t="n">
        <v>1.885857137155025</v>
      </c>
      <c r="Q33" s="10" t="n">
        <v>1.919941619812725</v>
      </c>
      <c r="R33" s="10" t="n">
        <v>1.953808754477615</v>
      </c>
      <c r="S33" s="10" t="n">
        <v>1.987028918163273</v>
      </c>
      <c r="T33" s="10" t="n">
        <v>2.019214283740991</v>
      </c>
      <c r="U33" s="10" t="n">
        <v>2.05002904319323</v>
      </c>
      <c r="V33" s="10" t="n">
        <v>2.079210825986108</v>
      </c>
      <c r="W33" s="10" t="n">
        <v>2.106559616564607</v>
      </c>
      <c r="X33" s="10" t="n">
        <v>2.131925321720749</v>
      </c>
      <c r="Y33" s="10" t="n">
        <v>2.155203385049981</v>
      </c>
      <c r="Z33" s="10" t="n">
        <v>2.176345487279662</v>
      </c>
      <c r="AA33" s="10" t="n">
        <v>2.195358015670055</v>
      </c>
      <c r="AB33" s="10" t="n">
        <v>2.212291123679408</v>
      </c>
      <c r="AC33" s="10" t="n">
        <v>2.227218097358413</v>
      </c>
      <c r="AD33" s="10" t="n">
        <v>2.240226126942272</v>
      </c>
      <c r="AE33" s="10" t="n">
        <v>2.251414020323125</v>
      </c>
      <c r="AF33" s="10" t="n">
        <v>2.260890442799003</v>
      </c>
      <c r="AG33" s="10" t="n">
        <v>2.268771050342533</v>
      </c>
      <c r="AH33" s="10" t="n">
        <v>2.275164585611563</v>
      </c>
      <c r="AI33" s="10" t="n">
        <v>2.280170562766051</v>
      </c>
      <c r="AJ33" s="10" t="n">
        <v>2.28388178557687</v>
      </c>
      <c r="AK33" s="10" t="n">
        <v>2.286384366004494</v>
      </c>
      <c r="AL33" s="10" t="n">
        <v>2.287757598244822</v>
      </c>
      <c r="AM33" s="10" t="n">
        <v>2.288073608091514</v>
      </c>
      <c r="AN33" s="10" t="n">
        <v>2.287397982136933</v>
      </c>
      <c r="AO33" s="10" t="n">
        <v>2.285790516173338</v>
      </c>
      <c r="AP33" s="10" t="n">
        <v>2.283306529701701</v>
      </c>
      <c r="AQ33" s="10" t="n">
        <v>2.279998188704042</v>
      </c>
      <c r="AR33" s="10" t="n">
        <v>2.275915264733578</v>
      </c>
      <c r="AS33" s="10" t="n">
        <v>2.271106060621915</v>
      </c>
      <c r="AT33" s="10" t="n">
        <v>2.265617661662473</v>
      </c>
      <c r="AU33" s="10" t="n">
        <v>2.259495932201196</v>
      </c>
      <c r="AV33" s="10" t="n">
        <v>2.25278559872461</v>
      </c>
      <c r="AW33" s="10" t="n">
        <v>2.245530344429067</v>
      </c>
      <c r="AX33" s="10" t="n">
        <v>2.237772997378063</v>
      </c>
      <c r="AY33" s="10" t="n">
        <v>2.229555634797772</v>
      </c>
      <c r="AZ33" s="10" t="n">
        <v>2.220919460310928</v>
      </c>
      <c r="BA33" s="10" t="n">
        <v>2.211904840099674</v>
      </c>
      <c r="BB33" s="10" t="n">
        <v>2.20255150549278</v>
      </c>
      <c r="BC33" s="10" t="n">
        <v>2.192898887606311</v>
      </c>
      <c r="BD33" s="10" t="n">
        <v>2.182986177168537</v>
      </c>
      <c r="BE33" s="10" t="n">
        <v>2.172852260751807</v>
      </c>
      <c r="BF33" s="10" t="n">
        <v>2.162535418511624</v>
      </c>
      <c r="BG33" s="10" t="n">
        <v>2.152073238709443</v>
      </c>
    </row>
    <row r="34">
      <c r="A34" s="9" t="n">
        <v>-91</v>
      </c>
      <c r="B34" s="7" t="n">
        <v>44705</v>
      </c>
      <c r="C34" s="10" t="n">
        <v>1.443381176759637</v>
      </c>
      <c r="D34" s="10" t="n">
        <v>1.458331049082318</v>
      </c>
      <c r="E34" s="10" t="n">
        <v>1.471505368632861</v>
      </c>
      <c r="F34" s="10" t="n">
        <v>1.486088031597826</v>
      </c>
      <c r="G34" s="10" t="n">
        <v>1.503385511307459</v>
      </c>
      <c r="H34" s="10" t="n">
        <v>1.523742815423048</v>
      </c>
      <c r="I34" s="10" t="n">
        <v>1.547106134621598</v>
      </c>
      <c r="J34" s="10" t="n">
        <v>1.573276382864738</v>
      </c>
      <c r="K34" s="10" t="n">
        <v>1.601980557777131</v>
      </c>
      <c r="L34" s="10" t="n">
        <v>1.63290076447665</v>
      </c>
      <c r="M34" s="10" t="n">
        <v>1.665682426167836</v>
      </c>
      <c r="N34" s="10" t="n">
        <v>1.699941392924707</v>
      </c>
      <c r="O34" s="10" t="n">
        <v>1.735270912735515</v>
      </c>
      <c r="P34" s="10" t="n">
        <v>1.771243331135897</v>
      </c>
      <c r="Q34" s="10" t="n">
        <v>1.807413718276258</v>
      </c>
      <c r="R34" s="10" t="n">
        <v>1.843333262157142</v>
      </c>
      <c r="S34" s="10" t="n">
        <v>1.878572614520812</v>
      </c>
      <c r="T34" s="10" t="n">
        <v>1.912740123976311</v>
      </c>
      <c r="U34" s="10" t="n">
        <v>1.945493307475716</v>
      </c>
      <c r="V34" s="10" t="n">
        <v>1.976561516319526</v>
      </c>
      <c r="W34" s="10" t="n">
        <v>2.005735203774983</v>
      </c>
      <c r="X34" s="10" t="n">
        <v>2.032853747504059</v>
      </c>
      <c r="Y34" s="10" t="n">
        <v>2.057801643331107</v>
      </c>
      <c r="Z34" s="10" t="n">
        <v>2.080520441070099</v>
      </c>
      <c r="AA34" s="10" t="n">
        <v>2.101007655578751</v>
      </c>
      <c r="AB34" s="10" t="n">
        <v>2.119306356778776</v>
      </c>
      <c r="AC34" s="10" t="n">
        <v>2.135485468152753</v>
      </c>
      <c r="AD34" s="10" t="n">
        <v>2.149630606475315</v>
      </c>
      <c r="AE34" s="10" t="n">
        <v>2.161841372613085</v>
      </c>
      <c r="AF34" s="10" t="n">
        <v>2.172229232722852</v>
      </c>
      <c r="AG34" s="10" t="n">
        <v>2.180914381536612</v>
      </c>
      <c r="AH34" s="10" t="n">
        <v>2.188012033711815</v>
      </c>
      <c r="AI34" s="10" t="n">
        <v>2.193629870789441</v>
      </c>
      <c r="AJ34" s="10" t="n">
        <v>2.197869695678089</v>
      </c>
      <c r="AK34" s="10" t="n">
        <v>2.200827138053046</v>
      </c>
      <c r="AL34" s="10" t="n">
        <v>2.202591120474076</v>
      </c>
      <c r="AM34" s="10" t="n">
        <v>2.2032430746798</v>
      </c>
      <c r="AN34" s="10" t="n">
        <v>2.202857411832008</v>
      </c>
      <c r="AO34" s="10" t="n">
        <v>2.201502222351436</v>
      </c>
      <c r="AP34" s="10" t="n">
        <v>2.199240651521859</v>
      </c>
      <c r="AQ34" s="10" t="n">
        <v>2.196132273022172</v>
      </c>
      <c r="AR34" s="10" t="n">
        <v>2.192233900603963</v>
      </c>
      <c r="AS34" s="10" t="n">
        <v>2.18760056031247</v>
      </c>
      <c r="AT34" s="10" t="n">
        <v>2.182285700911834</v>
      </c>
      <c r="AU34" s="10" t="n">
        <v>2.176341065652709</v>
      </c>
      <c r="AV34" s="10" t="n">
        <v>2.169816726835478</v>
      </c>
      <c r="AW34" s="10" t="n">
        <v>2.162761086482703</v>
      </c>
      <c r="AX34" s="10" t="n">
        <v>2.15522106165146</v>
      </c>
      <c r="AY34" s="10" t="n">
        <v>2.147242157130019</v>
      </c>
      <c r="AZ34" s="10" t="n">
        <v>2.13886827678227</v>
      </c>
      <c r="BA34" s="10" t="n">
        <v>2.130141798527509</v>
      </c>
      <c r="BB34" s="10" t="n">
        <v>2.121103800900471</v>
      </c>
      <c r="BC34" s="10" t="n">
        <v>2.111794367241416</v>
      </c>
      <c r="BD34" s="10" t="n">
        <v>2.102252651031625</v>
      </c>
      <c r="BE34" s="10" t="n">
        <v>2.092516823029829</v>
      </c>
      <c r="BF34" s="10" t="n">
        <v>2.082623779129633</v>
      </c>
      <c r="BG34" s="10" t="n">
        <v>2.07260907641908</v>
      </c>
    </row>
    <row r="35">
      <c r="A35" s="9" t="n">
        <v>-90</v>
      </c>
      <c r="B35" s="7" t="n">
        <v>44706</v>
      </c>
      <c r="C35" s="10" t="n">
        <v>1.445729426539663</v>
      </c>
      <c r="D35" s="10" t="n">
        <v>1.461698845205123</v>
      </c>
      <c r="E35" s="10" t="n">
        <v>1.47686556382651</v>
      </c>
      <c r="F35" s="10" t="n">
        <v>1.494081173872684</v>
      </c>
      <c r="G35" s="10" t="n">
        <v>1.514418387745078</v>
      </c>
      <c r="H35" s="10" t="n">
        <v>1.5380582731657</v>
      </c>
      <c r="I35" s="10" t="n">
        <v>1.564826360169137</v>
      </c>
      <c r="J35" s="10" t="n">
        <v>1.594433675619419</v>
      </c>
      <c r="K35" s="10" t="n">
        <v>1.626540703702964</v>
      </c>
      <c r="L35" s="10" t="n">
        <v>1.6607810505527</v>
      </c>
      <c r="M35" s="10" t="n">
        <v>1.696763333375473</v>
      </c>
      <c r="N35" s="10" t="n">
        <v>1.734072330083745</v>
      </c>
      <c r="O35" s="10" t="n">
        <v>1.772273360238029</v>
      </c>
      <c r="P35" s="10" t="n">
        <v>1.810914941299844</v>
      </c>
      <c r="Q35" s="10" t="n">
        <v>1.849533325308967</v>
      </c>
      <c r="R35" s="10" t="n">
        <v>1.887667195337405</v>
      </c>
      <c r="S35" s="10" t="n">
        <v>1.924880915070223</v>
      </c>
      <c r="T35" s="10" t="n">
        <v>1.96078329508189</v>
      </c>
      <c r="U35" s="10" t="n">
        <v>1.995038826236986</v>
      </c>
      <c r="V35" s="10" t="n">
        <v>2.027388314526805</v>
      </c>
      <c r="W35" s="10" t="n">
        <v>2.057637038232406</v>
      </c>
      <c r="X35" s="10" t="n">
        <v>2.085641896306996</v>
      </c>
      <c r="Y35" s="10" t="n">
        <v>2.111306875961955</v>
      </c>
      <c r="Z35" s="10" t="n">
        <v>2.134593619924282</v>
      </c>
      <c r="AA35" s="10" t="n">
        <v>2.155519763213612</v>
      </c>
      <c r="AB35" s="10" t="n">
        <v>2.174148151964491</v>
      </c>
      <c r="AC35" s="10" t="n">
        <v>2.190566021202838</v>
      </c>
      <c r="AD35" s="10" t="n">
        <v>2.20487567704612</v>
      </c>
      <c r="AE35" s="10" t="n">
        <v>2.217192035814064</v>
      </c>
      <c r="AF35" s="10" t="n">
        <v>2.227640713391948</v>
      </c>
      <c r="AG35" s="10" t="n">
        <v>2.236354934407172</v>
      </c>
      <c r="AH35" s="10" t="n">
        <v>2.243461095501087</v>
      </c>
      <c r="AI35" s="10" t="n">
        <v>2.249076343379323</v>
      </c>
      <c r="AJ35" s="10" t="n">
        <v>2.253310540724615</v>
      </c>
      <c r="AK35" s="10" t="n">
        <v>2.256266127408737</v>
      </c>
      <c r="AL35" s="10" t="n">
        <v>2.258037700621975</v>
      </c>
      <c r="AM35" s="10" t="n">
        <v>2.258711336591619</v>
      </c>
      <c r="AN35" s="10" t="n">
        <v>2.258365190097677</v>
      </c>
      <c r="AO35" s="10" t="n">
        <v>2.257070309161797</v>
      </c>
      <c r="AP35" s="10" t="n">
        <v>2.254892119493438</v>
      </c>
      <c r="AQ35" s="10" t="n">
        <v>2.251891885609699</v>
      </c>
      <c r="AR35" s="10" t="n">
        <v>2.248127563049929</v>
      </c>
      <c r="AS35" s="10" t="n">
        <v>2.243654769348591</v>
      </c>
      <c r="AT35" s="10" t="n">
        <v>2.238527017459446</v>
      </c>
      <c r="AU35" s="10" t="n">
        <v>2.232795602990132</v>
      </c>
      <c r="AV35" s="10" t="n">
        <v>2.226509680779667</v>
      </c>
      <c r="AW35" s="10" t="n">
        <v>2.219716309813206</v>
      </c>
      <c r="AX35" s="10" t="n">
        <v>2.212460679882817</v>
      </c>
      <c r="AY35" s="10" t="n">
        <v>2.204786249672046</v>
      </c>
      <c r="AZ35" s="10" t="n">
        <v>2.196734656013285</v>
      </c>
      <c r="BA35" s="10" t="n">
        <v>2.18834582652745</v>
      </c>
      <c r="BB35" s="10" t="n">
        <v>2.17965825378359</v>
      </c>
      <c r="BC35" s="10" t="n">
        <v>2.17070937585701</v>
      </c>
      <c r="BD35" s="10" t="n">
        <v>2.161535662799563</v>
      </c>
      <c r="BE35" s="10" t="n">
        <v>2.152172569909828</v>
      </c>
      <c r="BF35" s="10" t="n">
        <v>2.142654252875257</v>
      </c>
      <c r="BG35" s="10" t="n">
        <v>2.1330135260214</v>
      </c>
    </row>
    <row r="36">
      <c r="A36" s="9" t="n">
        <v>-89</v>
      </c>
      <c r="B36" s="7" t="n">
        <v>44707</v>
      </c>
      <c r="C36" s="10" t="n">
        <v>1.47547786206075</v>
      </c>
      <c r="D36" s="10" t="n">
        <v>1.493867729813223</v>
      </c>
      <c r="E36" s="10" t="n">
        <v>1.512067744663581</v>
      </c>
      <c r="F36" s="10" t="n">
        <v>1.53276446976361</v>
      </c>
      <c r="G36" s="10" t="n">
        <v>1.55679405969778</v>
      </c>
      <c r="H36" s="10" t="n">
        <v>1.584144934488304</v>
      </c>
      <c r="I36" s="10" t="n">
        <v>1.614505278010443</v>
      </c>
      <c r="J36" s="10" t="n">
        <v>1.647493259944451</v>
      </c>
      <c r="K36" s="10" t="n">
        <v>1.682710336496225</v>
      </c>
      <c r="L36" s="10" t="n">
        <v>1.719758380768409</v>
      </c>
      <c r="M36" s="10" t="n">
        <v>1.758237055655215</v>
      </c>
      <c r="N36" s="10" t="n">
        <v>1.79774017161395</v>
      </c>
      <c r="O36" s="10" t="n">
        <v>1.837854273973837</v>
      </c>
      <c r="P36" s="10" t="n">
        <v>1.878155778805648</v>
      </c>
      <c r="Q36" s="10" t="n">
        <v>1.918211970228533</v>
      </c>
      <c r="R36" s="10" t="n">
        <v>1.957591988870455</v>
      </c>
      <c r="S36" s="10" t="n">
        <v>1.995889218765755</v>
      </c>
      <c r="T36" s="10" t="n">
        <v>2.032738002589854</v>
      </c>
      <c r="U36" s="10" t="n">
        <v>2.067824967490453</v>
      </c>
      <c r="V36" s="10" t="n">
        <v>2.100908997057402</v>
      </c>
      <c r="W36" s="10" t="n">
        <v>2.13180998444459</v>
      </c>
      <c r="X36" s="10" t="n">
        <v>2.1603966736105</v>
      </c>
      <c r="Y36" s="10" t="n">
        <v>2.186582497682747</v>
      </c>
      <c r="Z36" s="10" t="n">
        <v>2.210335764548685</v>
      </c>
      <c r="AA36" s="10" t="n">
        <v>2.23167784693011</v>
      </c>
      <c r="AB36" s="10" t="n">
        <v>2.250672690443823</v>
      </c>
      <c r="AC36" s="10" t="n">
        <v>2.267407701293922</v>
      </c>
      <c r="AD36" s="10" t="n">
        <v>2.281985182504003</v>
      </c>
      <c r="AE36" s="10" t="n">
        <v>2.294519914608456</v>
      </c>
      <c r="AF36" s="10" t="n">
        <v>2.30513726512052</v>
      </c>
      <c r="AG36" s="10" t="n">
        <v>2.3139702042124</v>
      </c>
      <c r="AH36" s="10" t="n">
        <v>2.321145907256745</v>
      </c>
      <c r="AI36" s="10" t="n">
        <v>2.326783611528763</v>
      </c>
      <c r="AJ36" s="10" t="n">
        <v>2.330996356893971</v>
      </c>
      <c r="AK36" s="10" t="n">
        <v>2.333890801923901</v>
      </c>
      <c r="AL36" s="10" t="n">
        <v>2.335566695585969</v>
      </c>
      <c r="AM36" s="10" t="n">
        <v>2.336116115897455</v>
      </c>
      <c r="AN36" s="10" t="n">
        <v>2.335623892824768</v>
      </c>
      <c r="AO36" s="10" t="n">
        <v>2.334168279225263</v>
      </c>
      <c r="AP36" s="10" t="n">
        <v>2.331822215885901</v>
      </c>
      <c r="AQ36" s="10" t="n">
        <v>2.328654556875893</v>
      </c>
      <c r="AR36" s="10" t="n">
        <v>2.324730744160282</v>
      </c>
      <c r="AS36" s="10" t="n">
        <v>2.320113478402381</v>
      </c>
      <c r="AT36" s="10" t="n">
        <v>2.314862797752289</v>
      </c>
      <c r="AU36" s="10" t="n">
        <v>2.309035754177688</v>
      </c>
      <c r="AV36" s="10" t="n">
        <v>2.302686414232014</v>
      </c>
      <c r="AW36" s="10" t="n">
        <v>2.295865765060047</v>
      </c>
      <c r="AX36" s="10" t="n">
        <v>2.288621925980483</v>
      </c>
      <c r="AY36" s="10" t="n">
        <v>2.281000274765027</v>
      </c>
      <c r="AZ36" s="10" t="n">
        <v>2.273043364979909</v>
      </c>
      <c r="BA36" s="10" t="n">
        <v>2.264791113757752</v>
      </c>
      <c r="BB36" s="10" t="n">
        <v>2.25628112283104</v>
      </c>
      <c r="BC36" s="10" t="n">
        <v>2.247549056016693</v>
      </c>
      <c r="BD36" s="10" t="n">
        <v>2.238628800344012</v>
      </c>
      <c r="BE36" s="10" t="n">
        <v>2.229552518547721</v>
      </c>
      <c r="BF36" s="10" t="n">
        <v>2.220350490327518</v>
      </c>
      <c r="BG36" s="10" t="n">
        <v>2.211051171447031</v>
      </c>
    </row>
    <row r="37">
      <c r="A37" s="9" t="n">
        <v>-88</v>
      </c>
      <c r="B37" s="7" t="n">
        <v>44708</v>
      </c>
      <c r="C37" s="10" t="n">
        <v>1.464551852024924</v>
      </c>
      <c r="D37" s="10" t="n">
        <v>1.48008051113878</v>
      </c>
      <c r="E37" s="10" t="n">
        <v>1.494606964012378</v>
      </c>
      <c r="F37" s="10" t="n">
        <v>1.511197913626535</v>
      </c>
      <c r="G37" s="10" t="n">
        <v>1.531008737555547</v>
      </c>
      <c r="H37" s="10" t="n">
        <v>1.554255755555295</v>
      </c>
      <c r="I37" s="10" t="n">
        <v>1.580781137043048</v>
      </c>
      <c r="J37" s="10" t="n">
        <v>1.610300308084954</v>
      </c>
      <c r="K37" s="10" t="n">
        <v>1.642472894700595</v>
      </c>
      <c r="L37" s="10" t="n">
        <v>1.676926403523784</v>
      </c>
      <c r="M37" s="10" t="n">
        <v>1.713261353884347</v>
      </c>
      <c r="N37" s="10" t="n">
        <v>1.751054325438841</v>
      </c>
      <c r="O37" s="10" t="n">
        <v>1.789862891695373</v>
      </c>
      <c r="P37" s="10" t="n">
        <v>1.829228646059278</v>
      </c>
      <c r="Q37" s="10" t="n">
        <v>1.868680305162004</v>
      </c>
      <c r="R37" s="10" t="n">
        <v>1.907745475547335</v>
      </c>
      <c r="S37" s="10" t="n">
        <v>1.945976528283624</v>
      </c>
      <c r="T37" s="10" t="n">
        <v>1.982966060916831</v>
      </c>
      <c r="U37" s="10" t="n">
        <v>2.018361373868173</v>
      </c>
      <c r="V37" s="10" t="n">
        <v>2.051885507725714</v>
      </c>
      <c r="W37" s="10" t="n">
        <v>2.083325161120292</v>
      </c>
      <c r="X37" s="10" t="n">
        <v>2.11251801943538</v>
      </c>
      <c r="Y37" s="10" t="n">
        <v>2.13934926473667</v>
      </c>
      <c r="Z37" s="10" t="n">
        <v>2.163763928971001</v>
      </c>
      <c r="AA37" s="10" t="n">
        <v>2.185764813921593</v>
      </c>
      <c r="AB37" s="10" t="n">
        <v>2.205401026475116</v>
      </c>
      <c r="AC37" s="10" t="n">
        <v>2.222748718194277</v>
      </c>
      <c r="AD37" s="10" t="n">
        <v>2.237902367027007</v>
      </c>
      <c r="AE37" s="10" t="n">
        <v>2.25097183880766</v>
      </c>
      <c r="AF37" s="10" t="n">
        <v>2.262080055759073</v>
      </c>
      <c r="AG37" s="10" t="n">
        <v>2.271359529246226</v>
      </c>
      <c r="AH37" s="10" t="n">
        <v>2.278938566754093</v>
      </c>
      <c r="AI37" s="10" t="n">
        <v>2.284939195696048</v>
      </c>
      <c r="AJ37" s="10" t="n">
        <v>2.289478355774685</v>
      </c>
      <c r="AK37" s="10" t="n">
        <v>2.292667519595672</v>
      </c>
      <c r="AL37" s="10" t="n">
        <v>2.294611912152148</v>
      </c>
      <c r="AM37" s="10" t="n">
        <v>2.295409567328673</v>
      </c>
      <c r="AN37" s="10" t="n">
        <v>2.29515159364508</v>
      </c>
      <c r="AO37" s="10" t="n">
        <v>2.29392274734408</v>
      </c>
      <c r="AP37" s="10" t="n">
        <v>2.291802578620628</v>
      </c>
      <c r="AQ37" s="10" t="n">
        <v>2.288866510428143</v>
      </c>
      <c r="AR37" s="10" t="n">
        <v>2.285186440542369</v>
      </c>
      <c r="AS37" s="10" t="n">
        <v>2.280831291098808</v>
      </c>
      <c r="AT37" s="10" t="n">
        <v>2.275866970084786</v>
      </c>
      <c r="AU37" s="10" t="n">
        <v>2.27035588452273</v>
      </c>
      <c r="AV37" s="10" t="n">
        <v>2.264356868311516</v>
      </c>
      <c r="AW37" s="10" t="n">
        <v>2.257924960593811</v>
      </c>
      <c r="AX37" s="10" t="n">
        <v>2.251111586812024</v>
      </c>
      <c r="AY37" s="10" t="n">
        <v>2.24396458420108</v>
      </c>
      <c r="AZ37" s="10" t="n">
        <v>2.23652800192478</v>
      </c>
      <c r="BA37" s="10" t="n">
        <v>2.228842340407896</v>
      </c>
      <c r="BB37" s="10" t="n">
        <v>2.220944882285297</v>
      </c>
      <c r="BC37" s="10" t="n">
        <v>2.212869992889939</v>
      </c>
      <c r="BD37" s="10" t="n">
        <v>2.204649318284958</v>
      </c>
      <c r="BE37" s="10" t="n">
        <v>2.196311908561755</v>
      </c>
      <c r="BF37" s="10" t="n">
        <v>2.187884164279043</v>
      </c>
      <c r="BG37" s="10" t="n">
        <v>2.179390005726381</v>
      </c>
    </row>
    <row r="38">
      <c r="A38" s="9" t="n">
        <v>-87</v>
      </c>
      <c r="B38" s="7" t="n">
        <v>44711</v>
      </c>
      <c r="C38" s="10" t="n">
        <v>1.501628991726069</v>
      </c>
      <c r="D38" s="10" t="n">
        <v>1.515382176207109</v>
      </c>
      <c r="E38" s="10" t="n">
        <v>1.528818199960518</v>
      </c>
      <c r="F38" s="10" t="n">
        <v>1.545126403551928</v>
      </c>
      <c r="G38" s="10" t="n">
        <v>1.565428562900366</v>
      </c>
      <c r="H38" s="10" t="n">
        <v>1.589823363254168</v>
      </c>
      <c r="I38" s="10" t="n">
        <v>1.61799797123996</v>
      </c>
      <c r="J38" s="10" t="n">
        <v>1.649507766650591</v>
      </c>
      <c r="K38" s="10" t="n">
        <v>1.683862873561977</v>
      </c>
      <c r="L38" s="10" t="n">
        <v>1.720561134443369</v>
      </c>
      <c r="M38" s="10" t="n">
        <v>1.759096270582899</v>
      </c>
      <c r="N38" s="10" t="n">
        <v>1.798961308286547</v>
      </c>
      <c r="O38" s="10" t="n">
        <v>1.839652050697257</v>
      </c>
      <c r="P38" s="10" t="n">
        <v>1.880668851388284</v>
      </c>
      <c r="Q38" s="10" t="n">
        <v>1.921517245613129</v>
      </c>
      <c r="R38" s="10" t="n">
        <v>1.961717988932229</v>
      </c>
      <c r="S38" s="10" t="n">
        <v>2.000829953785408</v>
      </c>
      <c r="T38" s="10" t="n">
        <v>2.038463153949819</v>
      </c>
      <c r="U38" s="10" t="n">
        <v>2.074289797836367</v>
      </c>
      <c r="V38" s="10" t="n">
        <v>2.108059788327569</v>
      </c>
      <c r="W38" s="10" t="n">
        <v>2.139587755845121</v>
      </c>
      <c r="X38" s="10" t="n">
        <v>2.168740163523206</v>
      </c>
      <c r="Y38" s="10" t="n">
        <v>2.195430645391349</v>
      </c>
      <c r="Z38" s="10" t="n">
        <v>2.219629041962776</v>
      </c>
      <c r="AA38" s="10" t="n">
        <v>2.241358637691158</v>
      </c>
      <c r="AB38" s="10" t="n">
        <v>2.260685186993208</v>
      </c>
      <c r="AC38" s="10" t="n">
        <v>2.277698173390093</v>
      </c>
      <c r="AD38" s="10" t="n">
        <v>2.292502599527459</v>
      </c>
      <c r="AE38" s="10" t="n">
        <v>2.305216486859471</v>
      </c>
      <c r="AF38" s="10" t="n">
        <v>2.315968903102061</v>
      </c>
      <c r="AG38" s="10" t="n">
        <v>2.324896827976444</v>
      </c>
      <c r="AH38" s="10" t="n">
        <v>2.332131889692313</v>
      </c>
      <c r="AI38" s="10" t="n">
        <v>2.337798501146573</v>
      </c>
      <c r="AJ38" s="10" t="n">
        <v>2.342015220792006</v>
      </c>
      <c r="AK38" s="10" t="n">
        <v>2.344894520866522</v>
      </c>
      <c r="AL38" s="10" t="n">
        <v>2.346542121010317</v>
      </c>
      <c r="AM38" s="10" t="n">
        <v>2.347056156201957</v>
      </c>
      <c r="AN38" s="10" t="n">
        <v>2.346527558360473</v>
      </c>
      <c r="AO38" s="10" t="n">
        <v>2.345040702231292</v>
      </c>
      <c r="AP38" s="10" t="n">
        <v>2.34267455162142</v>
      </c>
      <c r="AQ38" s="10" t="n">
        <v>2.339503730263135</v>
      </c>
      <c r="AR38" s="10" t="n">
        <v>2.335599097664509</v>
      </c>
      <c r="AS38" s="10" t="n">
        <v>2.331028233225729</v>
      </c>
      <c r="AT38" s="10" t="n">
        <v>2.325855428788502</v>
      </c>
      <c r="AU38" s="10" t="n">
        <v>2.320141267515931</v>
      </c>
      <c r="AV38" s="10" t="n">
        <v>2.313942613664231</v>
      </c>
      <c r="AW38" s="10" t="n">
        <v>2.307312480711229</v>
      </c>
      <c r="AX38" s="10" t="n">
        <v>2.300300261714604</v>
      </c>
      <c r="AY38" s="10" t="n">
        <v>2.292951845634805</v>
      </c>
      <c r="AZ38" s="10" t="n">
        <v>2.285309535092332</v>
      </c>
      <c r="BA38" s="10" t="n">
        <v>2.277412294423791</v>
      </c>
      <c r="BB38" s="10" t="n">
        <v>2.26929611897888</v>
      </c>
      <c r="BC38" s="10" t="n">
        <v>2.260994431742441</v>
      </c>
      <c r="BD38" s="10" t="n">
        <v>2.252538301671425</v>
      </c>
      <c r="BE38" s="10" t="n">
        <v>2.243956566618226</v>
      </c>
      <c r="BF38" s="10" t="n">
        <v>2.235275762326154</v>
      </c>
      <c r="BG38" s="10" t="n">
        <v>2.226520270038762</v>
      </c>
    </row>
    <row r="39">
      <c r="A39" s="9" t="n">
        <v>-86</v>
      </c>
      <c r="B39" s="7" t="n">
        <v>44712</v>
      </c>
      <c r="C39" s="10" t="n">
        <v>1.620658926661019</v>
      </c>
      <c r="D39" s="10" t="n">
        <v>1.631373611868954</v>
      </c>
      <c r="E39" s="10" t="n">
        <v>1.640368711189969</v>
      </c>
      <c r="F39" s="10" t="n">
        <v>1.652482999749668</v>
      </c>
      <c r="G39" s="10" t="n">
        <v>1.669599315129412</v>
      </c>
      <c r="H39" s="10" t="n">
        <v>1.692095101271426</v>
      </c>
      <c r="I39" s="10" t="n">
        <v>1.719669293500595</v>
      </c>
      <c r="J39" s="10" t="n">
        <v>1.751754056531172</v>
      </c>
      <c r="K39" s="10" t="n">
        <v>1.7876721631273</v>
      </c>
      <c r="L39" s="10" t="n">
        <v>1.826709076806046</v>
      </c>
      <c r="M39" s="10" t="n">
        <v>1.868147442251427</v>
      </c>
      <c r="N39" s="10" t="n">
        <v>1.911286767546557</v>
      </c>
      <c r="O39" s="10" t="n">
        <v>1.955455750730261</v>
      </c>
      <c r="P39" s="10" t="n">
        <v>2.000019108386908</v>
      </c>
      <c r="Q39" s="10" t="n">
        <v>2.044377309284865</v>
      </c>
      <c r="R39" s="10" t="n">
        <v>2.087976118153632</v>
      </c>
      <c r="S39" s="10" t="n">
        <v>2.130324617771522</v>
      </c>
      <c r="T39" s="10" t="n">
        <v>2.171002875467224</v>
      </c>
      <c r="U39" s="10" t="n">
        <v>2.209668088150514</v>
      </c>
      <c r="V39" s="10" t="n">
        <v>2.246063810233355</v>
      </c>
      <c r="W39" s="10" t="n">
        <v>2.280004764038949</v>
      </c>
      <c r="X39" s="10" t="n">
        <v>2.311362653407434</v>
      </c>
      <c r="Y39" s="10" t="n">
        <v>2.340059973063346</v>
      </c>
      <c r="Z39" s="10" t="n">
        <v>2.366076373822936</v>
      </c>
      <c r="AA39" s="10" t="n">
        <v>2.389445135353311</v>
      </c>
      <c r="AB39" s="10" t="n">
        <v>2.410242397067342</v>
      </c>
      <c r="AC39" s="10" t="n">
        <v>2.428568068381067</v>
      </c>
      <c r="AD39" s="10" t="n">
        <v>2.444537533945058</v>
      </c>
      <c r="AE39" s="10" t="n">
        <v>2.458279160936074</v>
      </c>
      <c r="AF39" s="10" t="n">
        <v>2.469932332007642</v>
      </c>
      <c r="AG39" s="10" t="n">
        <v>2.479644249216369</v>
      </c>
      <c r="AH39" s="10" t="n">
        <v>2.487556339347483</v>
      </c>
      <c r="AI39" s="10" t="n">
        <v>2.49380236785431</v>
      </c>
      <c r="AJ39" s="10" t="n">
        <v>2.498509770401109</v>
      </c>
      <c r="AK39" s="10" t="n">
        <v>2.50179944723708</v>
      </c>
      <c r="AL39" s="10" t="n">
        <v>2.503785048935785</v>
      </c>
      <c r="AM39" s="10" t="n">
        <v>2.504572107784772</v>
      </c>
      <c r="AN39" s="10" t="n">
        <v>2.504258482405746</v>
      </c>
      <c r="AO39" s="10" t="n">
        <v>2.502935065612367</v>
      </c>
      <c r="AP39" s="10" t="n">
        <v>2.500686963584827</v>
      </c>
      <c r="AQ39" s="10" t="n">
        <v>2.497594585444275</v>
      </c>
      <c r="AR39" s="10" t="n">
        <v>2.493734210716274</v>
      </c>
      <c r="AS39" s="10" t="n">
        <v>2.489178423251431</v>
      </c>
      <c r="AT39" s="10" t="n">
        <v>2.483996091543514</v>
      </c>
      <c r="AU39" s="10" t="n">
        <v>2.478251925010551</v>
      </c>
      <c r="AV39" s="10" t="n">
        <v>2.472006478391524</v>
      </c>
      <c r="AW39" s="10" t="n">
        <v>2.465316025850283</v>
      </c>
      <c r="AX39" s="10" t="n">
        <v>2.458232814012618</v>
      </c>
      <c r="AY39" s="10" t="n">
        <v>2.450805226115463</v>
      </c>
      <c r="AZ39" s="10" t="n">
        <v>2.443077782125188</v>
      </c>
      <c r="BA39" s="10" t="n">
        <v>2.43509142489936</v>
      </c>
      <c r="BB39" s="10" t="n">
        <v>2.426883940955906</v>
      </c>
      <c r="BC39" s="10" t="n">
        <v>2.41849043163222</v>
      </c>
      <c r="BD39" s="10" t="n">
        <v>2.409943551974738</v>
      </c>
      <c r="BE39" s="10" t="n">
        <v>2.401273634627263</v>
      </c>
      <c r="BF39" s="10" t="n">
        <v>2.392508589710304</v>
      </c>
      <c r="BG39" s="10" t="n">
        <v>2.383674033526933</v>
      </c>
    </row>
    <row r="40">
      <c r="A40" s="9" t="n">
        <v>-85</v>
      </c>
      <c r="B40" s="7" t="n">
        <v>44713</v>
      </c>
      <c r="C40" s="10" t="n">
        <v>1.683118839954349</v>
      </c>
      <c r="D40" s="10" t="n">
        <v>1.693595111558129</v>
      </c>
      <c r="E40" s="10" t="n">
        <v>1.700576927076703</v>
      </c>
      <c r="F40" s="10" t="n">
        <v>1.709641234652456</v>
      </c>
      <c r="G40" s="10" t="n">
        <v>1.723126327366657</v>
      </c>
      <c r="H40" s="10" t="n">
        <v>1.741698095002501</v>
      </c>
      <c r="I40" s="10" t="n">
        <v>1.765255139404611</v>
      </c>
      <c r="J40" s="10" t="n">
        <v>1.793368337613603</v>
      </c>
      <c r="K40" s="10" t="n">
        <v>1.825457066452959</v>
      </c>
      <c r="L40" s="10" t="n">
        <v>1.860870252941403</v>
      </c>
      <c r="M40" s="10" t="n">
        <v>1.898926074317978</v>
      </c>
      <c r="N40" s="10" t="n">
        <v>1.938937334080493</v>
      </c>
      <c r="O40" s="10" t="n">
        <v>1.980229613771203</v>
      </c>
      <c r="P40" s="10" t="n">
        <v>2.022152480047441</v>
      </c>
      <c r="Q40" s="10" t="n">
        <v>2.064082738480845</v>
      </c>
      <c r="R40" s="10" t="n">
        <v>2.105439553812115</v>
      </c>
      <c r="S40" s="10" t="n">
        <v>2.145705053503467</v>
      </c>
      <c r="T40" s="10" t="n">
        <v>2.184434617955626</v>
      </c>
      <c r="U40" s="10" t="n">
        <v>2.221265240413163</v>
      </c>
      <c r="V40" s="10" t="n">
        <v>2.255925419878697</v>
      </c>
      <c r="W40" s="10" t="n">
        <v>2.28821884711373</v>
      </c>
      <c r="X40" s="10" t="n">
        <v>2.318009430892029</v>
      </c>
      <c r="Y40" s="10" t="n">
        <v>2.34521521699514</v>
      </c>
      <c r="Z40" s="10" t="n">
        <v>2.369815400918441</v>
      </c>
      <c r="AA40" s="10" t="n">
        <v>2.391845473145982</v>
      </c>
      <c r="AB40" s="10" t="n">
        <v>2.411384048816941</v>
      </c>
      <c r="AC40" s="10" t="n">
        <v>2.428532744132396</v>
      </c>
      <c r="AD40" s="10" t="n">
        <v>2.443408054184652</v>
      </c>
      <c r="AE40" s="10" t="n">
        <v>2.456138964141589</v>
      </c>
      <c r="AF40" s="10" t="n">
        <v>2.466865056810984</v>
      </c>
      <c r="AG40" s="10" t="n">
        <v>2.475733169683881</v>
      </c>
      <c r="AH40" s="10" t="n">
        <v>2.482883326004882</v>
      </c>
      <c r="AI40" s="10" t="n">
        <v>2.488447161490237</v>
      </c>
      <c r="AJ40" s="10" t="n">
        <v>2.492549355704841</v>
      </c>
      <c r="AK40" s="10" t="n">
        <v>2.495307604982139</v>
      </c>
      <c r="AL40" s="10" t="n">
        <v>2.496832003035815</v>
      </c>
      <c r="AM40" s="10" t="n">
        <v>2.497224361520304</v>
      </c>
      <c r="AN40" s="10" t="n">
        <v>2.496578785881618</v>
      </c>
      <c r="AO40" s="10" t="n">
        <v>2.494982452514247</v>
      </c>
      <c r="AP40" s="10" t="n">
        <v>2.492516762564296</v>
      </c>
      <c r="AQ40" s="10" t="n">
        <v>2.489258377687243</v>
      </c>
      <c r="AR40" s="10" t="n">
        <v>2.48527976461934</v>
      </c>
      <c r="AS40" s="10" t="n">
        <v>2.480649601495998</v>
      </c>
      <c r="AT40" s="10" t="n">
        <v>2.475432802129704</v>
      </c>
      <c r="AU40" s="10" t="n">
        <v>2.469690202364762</v>
      </c>
      <c r="AV40" s="10" t="n">
        <v>2.463478612024013</v>
      </c>
      <c r="AW40" s="10" t="n">
        <v>2.456850752531665</v>
      </c>
      <c r="AX40" s="10" t="n">
        <v>2.449855569388599</v>
      </c>
      <c r="AY40" s="10" t="n">
        <v>2.442538427185831</v>
      </c>
      <c r="AZ40" s="10" t="n">
        <v>2.434941099266839</v>
      </c>
      <c r="BA40" s="10" t="n">
        <v>2.42710203631892</v>
      </c>
      <c r="BB40" s="10" t="n">
        <v>2.419056776874677</v>
      </c>
      <c r="BC40" s="10" t="n">
        <v>2.410838409593199</v>
      </c>
      <c r="BD40" s="10" t="n">
        <v>2.402477795561027</v>
      </c>
      <c r="BE40" s="10" t="n">
        <v>2.3940036798541</v>
      </c>
      <c r="BF40" s="10" t="n">
        <v>2.38544259212549</v>
      </c>
      <c r="BG40" s="10" t="n">
        <v>2.376818962809475</v>
      </c>
    </row>
    <row r="41">
      <c r="A41" s="9" t="n">
        <v>-84</v>
      </c>
      <c r="B41" s="7" t="n">
        <v>44718</v>
      </c>
      <c r="C41" s="10" t="n">
        <v>1.812618863184012</v>
      </c>
      <c r="D41" s="10" t="n">
        <v>1.82455462958931</v>
      </c>
      <c r="E41" s="10" t="n">
        <v>1.831380267598989</v>
      </c>
      <c r="F41" s="10" t="n">
        <v>1.839508667143154</v>
      </c>
      <c r="G41" s="10" t="n">
        <v>1.851654334939439</v>
      </c>
      <c r="H41" s="10" t="n">
        <v>1.868667694275534</v>
      </c>
      <c r="I41" s="10" t="n">
        <v>1.890548510672793</v>
      </c>
      <c r="J41" s="10" t="n">
        <v>1.91692741537976</v>
      </c>
      <c r="K41" s="10" t="n">
        <v>1.947259719151411</v>
      </c>
      <c r="L41" s="10" t="n">
        <v>1.980916337552935</v>
      </c>
      <c r="M41" s="10" t="n">
        <v>2.017227736241571</v>
      </c>
      <c r="N41" s="10" t="n">
        <v>2.055512732055391</v>
      </c>
      <c r="O41" s="10" t="n">
        <v>2.095098639159233</v>
      </c>
      <c r="P41" s="10" t="n">
        <v>2.135334182995887</v>
      </c>
      <c r="Q41" s="10" t="n">
        <v>2.175593973696236</v>
      </c>
      <c r="R41" s="10" t="n">
        <v>2.215295188146439</v>
      </c>
      <c r="S41" s="10" t="n">
        <v>2.253919747230754</v>
      </c>
      <c r="T41" s="10" t="n">
        <v>2.291026222365226</v>
      </c>
      <c r="U41" s="10" t="n">
        <v>2.326257785250864</v>
      </c>
      <c r="V41" s="10" t="n">
        <v>2.359350302896003</v>
      </c>
      <c r="W41" s="10" t="n">
        <v>2.390115603309602</v>
      </c>
      <c r="X41" s="10" t="n">
        <v>2.418426345311069</v>
      </c>
      <c r="Y41" s="10" t="n">
        <v>2.444209427844531</v>
      </c>
      <c r="Z41" s="10" t="n">
        <v>2.467451559386109</v>
      </c>
      <c r="AA41" s="10" t="n">
        <v>2.488193783362344</v>
      </c>
      <c r="AB41" s="10" t="n">
        <v>2.506517997808388</v>
      </c>
      <c r="AC41" s="10" t="n">
        <v>2.522527154024137</v>
      </c>
      <c r="AD41" s="10" t="n">
        <v>2.536337526494912</v>
      </c>
      <c r="AE41" s="10" t="n">
        <v>2.548076570132304</v>
      </c>
      <c r="AF41" s="10" t="n">
        <v>2.557881226270202</v>
      </c>
      <c r="AG41" s="10" t="n">
        <v>2.565894755510552</v>
      </c>
      <c r="AH41" s="10" t="n">
        <v>2.572253102115896</v>
      </c>
      <c r="AI41" s="10" t="n">
        <v>2.57708355907689</v>
      </c>
      <c r="AJ41" s="10" t="n">
        <v>2.58050637912708</v>
      </c>
      <c r="AK41" s="10" t="n">
        <v>2.582634868386716</v>
      </c>
      <c r="AL41" s="10" t="n">
        <v>2.583574950267444</v>
      </c>
      <c r="AM41" s="10" t="n">
        <v>2.583424684873109</v>
      </c>
      <c r="AN41" s="10" t="n">
        <v>2.582274900473437</v>
      </c>
      <c r="AO41" s="10" t="n">
        <v>2.58020996581039</v>
      </c>
      <c r="AP41" s="10" t="n">
        <v>2.577308877205199</v>
      </c>
      <c r="AQ41" s="10" t="n">
        <v>2.573646227334004</v>
      </c>
      <c r="AR41" s="10" t="n">
        <v>2.569292674229148</v>
      </c>
      <c r="AS41" s="10" t="n">
        <v>2.564315254849479</v>
      </c>
      <c r="AT41" s="10" t="n">
        <v>2.558777382498198</v>
      </c>
      <c r="AU41" s="10" t="n">
        <v>2.552738532465555</v>
      </c>
      <c r="AV41" s="10" t="n">
        <v>2.546254279161116</v>
      </c>
      <c r="AW41" s="10" t="n">
        <v>2.539376214936201</v>
      </c>
      <c r="AX41" s="10" t="n">
        <v>2.532152236976432</v>
      </c>
      <c r="AY41" s="10" t="n">
        <v>2.524626707780842</v>
      </c>
      <c r="AZ41" s="10" t="n">
        <v>2.516840423655971</v>
      </c>
      <c r="BA41" s="10" t="n">
        <v>2.508830878418809</v>
      </c>
      <c r="BB41" s="10" t="n">
        <v>2.500632652419501</v>
      </c>
      <c r="BC41" s="10" t="n">
        <v>2.492277836759642</v>
      </c>
      <c r="BD41" s="10" t="n">
        <v>2.483796262630451</v>
      </c>
      <c r="BE41" s="10" t="n">
        <v>2.475215635075589</v>
      </c>
      <c r="BF41" s="10" t="n">
        <v>2.466561478595905</v>
      </c>
      <c r="BG41" s="10" t="n">
        <v>2.45785727133978</v>
      </c>
    </row>
    <row r="42">
      <c r="A42" s="9" t="n">
        <v>-83</v>
      </c>
      <c r="B42" s="7" t="n">
        <v>44719</v>
      </c>
      <c r="C42" s="10" t="n">
        <v>1.768334143960815</v>
      </c>
      <c r="D42" s="10" t="n">
        <v>1.784481037485833</v>
      </c>
      <c r="E42" s="10" t="n">
        <v>1.794076975796908</v>
      </c>
      <c r="F42" s="10" t="n">
        <v>1.803788174430001</v>
      </c>
      <c r="G42" s="10" t="n">
        <v>1.816583790353681</v>
      </c>
      <c r="H42" s="10" t="n">
        <v>1.833537220710996</v>
      </c>
      <c r="I42" s="10" t="n">
        <v>1.854843851888995</v>
      </c>
      <c r="J42" s="10" t="n">
        <v>1.880294048150493</v>
      </c>
      <c r="K42" s="10" t="n">
        <v>1.909463444406735</v>
      </c>
      <c r="L42" s="10" t="n">
        <v>1.941806885337978</v>
      </c>
      <c r="M42" s="10" t="n">
        <v>1.976710222440964</v>
      </c>
      <c r="N42" s="10" t="n">
        <v>2.01352723943404</v>
      </c>
      <c r="O42" s="10" t="n">
        <v>2.051605922341492</v>
      </c>
      <c r="P42" s="10" t="n">
        <v>2.090306160171091</v>
      </c>
      <c r="Q42" s="10" t="n">
        <v>2.129007602288918</v>
      </c>
      <c r="R42" s="10" t="n">
        <v>2.167129628251063</v>
      </c>
      <c r="S42" s="10" t="n">
        <v>2.204156175262683</v>
      </c>
      <c r="T42" s="10" t="n">
        <v>2.23964964751344</v>
      </c>
      <c r="U42" s="10" t="n">
        <v>2.273259443158981</v>
      </c>
      <c r="V42" s="10" t="n">
        <v>2.304729904624192</v>
      </c>
      <c r="W42" s="10" t="n">
        <v>2.333883107442935</v>
      </c>
      <c r="X42" s="10" t="n">
        <v>2.360603376300941</v>
      </c>
      <c r="Y42" s="10" t="n">
        <v>2.384830310547171</v>
      </c>
      <c r="Z42" s="10" t="n">
        <v>2.406563626811785</v>
      </c>
      <c r="AA42" s="10" t="n">
        <v>2.425857317288908</v>
      </c>
      <c r="AB42" s="10" t="n">
        <v>2.442805467683996</v>
      </c>
      <c r="AC42" s="10" t="n">
        <v>2.457520950893883</v>
      </c>
      <c r="AD42" s="10" t="n">
        <v>2.470127587681708</v>
      </c>
      <c r="AE42" s="10" t="n">
        <v>2.48075837038698</v>
      </c>
      <c r="AF42" s="10" t="n">
        <v>2.489554073292789</v>
      </c>
      <c r="AG42" s="10" t="n">
        <v>2.496660130575989</v>
      </c>
      <c r="AH42" s="10" t="n">
        <v>2.502212018891542</v>
      </c>
      <c r="AI42" s="10" t="n">
        <v>2.506334216258074</v>
      </c>
      <c r="AJ42" s="10" t="n">
        <v>2.509142239162978</v>
      </c>
      <c r="AK42" s="10" t="n">
        <v>2.510742974339807</v>
      </c>
      <c r="AL42" s="10" t="n">
        <v>2.511234629947069</v>
      </c>
      <c r="AM42" s="10" t="n">
        <v>2.510706657628412</v>
      </c>
      <c r="AN42" s="10" t="n">
        <v>2.509240791573018</v>
      </c>
      <c r="AO42" s="10" t="n">
        <v>2.506912066900392</v>
      </c>
      <c r="AP42" s="10" t="n">
        <v>2.503790189268885</v>
      </c>
      <c r="AQ42" s="10" t="n">
        <v>2.499940758072334</v>
      </c>
      <c r="AR42" s="10" t="n">
        <v>2.49542587133906</v>
      </c>
      <c r="AS42" s="10" t="n">
        <v>2.490304656248802</v>
      </c>
      <c r="AT42" s="10" t="n">
        <v>2.484633347377709</v>
      </c>
      <c r="AU42" s="10" t="n">
        <v>2.478465090783623</v>
      </c>
      <c r="AV42" s="10" t="n">
        <v>2.471849988659968</v>
      </c>
      <c r="AW42" s="10" t="n">
        <v>2.464835052444608</v>
      </c>
      <c r="AX42" s="10" t="n">
        <v>2.45746446338847</v>
      </c>
      <c r="AY42" s="10" t="n">
        <v>2.449779692387319</v>
      </c>
      <c r="AZ42" s="10" t="n">
        <v>2.441819410402646</v>
      </c>
      <c r="BA42" s="10" t="n">
        <v>2.433619685582878</v>
      </c>
      <c r="BB42" s="10" t="n">
        <v>2.425214316905719</v>
      </c>
      <c r="BC42" s="10" t="n">
        <v>2.416635212066975</v>
      </c>
      <c r="BD42" s="10" t="n">
        <v>2.407912543638393</v>
      </c>
      <c r="BE42" s="10" t="n">
        <v>2.399074806316006</v>
      </c>
      <c r="BF42" s="10" t="n">
        <v>2.390148680120308</v>
      </c>
      <c r="BG42" s="10" t="n">
        <v>2.381159087460682</v>
      </c>
    </row>
    <row r="43">
      <c r="A43" s="9" t="n">
        <v>-82</v>
      </c>
      <c r="B43" s="7" t="n">
        <v>44720</v>
      </c>
      <c r="C43" s="10" t="n">
        <v>1.802783836828</v>
      </c>
      <c r="D43" s="10" t="n">
        <v>1.821381809425398</v>
      </c>
      <c r="E43" s="10" t="n">
        <v>1.832638901670744</v>
      </c>
      <c r="F43" s="10" t="n">
        <v>1.843346467927178</v>
      </c>
      <c r="G43" s="10" t="n">
        <v>1.856639361256282</v>
      </c>
      <c r="H43" s="10" t="n">
        <v>1.873727396922082</v>
      </c>
      <c r="I43" s="10" t="n">
        <v>1.894915872298405</v>
      </c>
      <c r="J43" s="10" t="n">
        <v>1.920081845317411</v>
      </c>
      <c r="K43" s="10" t="n">
        <v>1.948867344264287</v>
      </c>
      <c r="L43" s="10" t="n">
        <v>1.980777680359807</v>
      </c>
      <c r="M43" s="10" t="n">
        <v>2.015236817912231</v>
      </c>
      <c r="N43" s="10" t="n">
        <v>2.051627193800973</v>
      </c>
      <c r="O43" s="10" t="n">
        <v>2.089317961303438</v>
      </c>
      <c r="P43" s="10" t="n">
        <v>2.127683724686126</v>
      </c>
      <c r="Q43" s="10" t="n">
        <v>2.166113569324799</v>
      </c>
      <c r="R43" s="10" t="n">
        <v>2.204031665903961</v>
      </c>
      <c r="S43" s="10" t="n">
        <v>2.240922687156579</v>
      </c>
      <c r="T43" s="10" t="n">
        <v>2.276346096571336</v>
      </c>
      <c r="U43" s="10" t="n">
        <v>2.309945660505724</v>
      </c>
      <c r="V43" s="10" t="n">
        <v>2.341459001066893</v>
      </c>
      <c r="W43" s="10" t="n">
        <v>2.370700685336088</v>
      </c>
      <c r="X43" s="10" t="n">
        <v>2.397546905298817</v>
      </c>
      <c r="Y43" s="10" t="n">
        <v>2.421928949154711</v>
      </c>
      <c r="Z43" s="10" t="n">
        <v>2.443838861697919</v>
      </c>
      <c r="AA43" s="10" t="n">
        <v>2.463323821407458</v>
      </c>
      <c r="AB43" s="10" t="n">
        <v>2.480472066603503</v>
      </c>
      <c r="AC43" s="10" t="n">
        <v>2.495391628065218</v>
      </c>
      <c r="AD43" s="10" t="n">
        <v>2.508202435830266</v>
      </c>
      <c r="AE43" s="10" t="n">
        <v>2.519034397653488</v>
      </c>
      <c r="AF43" s="10" t="n">
        <v>2.528025887231569</v>
      </c>
      <c r="AG43" s="10" t="n">
        <v>2.535320483076048</v>
      </c>
      <c r="AH43" s="10" t="n">
        <v>2.541052280097972</v>
      </c>
      <c r="AI43" s="10" t="n">
        <v>2.545344950761579</v>
      </c>
      <c r="AJ43" s="10" t="n">
        <v>2.5483136847925</v>
      </c>
      <c r="AK43" s="10" t="n">
        <v>2.550065458848859</v>
      </c>
      <c r="AL43" s="10" t="n">
        <v>2.550698885642468</v>
      </c>
      <c r="AM43" s="10" t="n">
        <v>2.55030404364605</v>
      </c>
      <c r="AN43" s="10" t="n">
        <v>2.548963389095549</v>
      </c>
      <c r="AO43" s="10" t="n">
        <v>2.546752702239198</v>
      </c>
      <c r="AP43" s="10" t="n">
        <v>2.543742413700964</v>
      </c>
      <c r="AQ43" s="10" t="n">
        <v>2.539998783615416</v>
      </c>
      <c r="AR43" s="10" t="n">
        <v>2.535584511584197</v>
      </c>
      <c r="AS43" s="10" t="n">
        <v>2.530559277536062</v>
      </c>
      <c r="AT43" s="10" t="n">
        <v>2.524979831065028</v>
      </c>
      <c r="AU43" s="10" t="n">
        <v>2.518899815490703</v>
      </c>
      <c r="AV43" s="10" t="n">
        <v>2.512369822569906</v>
      </c>
      <c r="AW43" s="10" t="n">
        <v>2.505437359269775</v>
      </c>
      <c r="AX43" s="10" t="n">
        <v>2.498147120039172</v>
      </c>
      <c r="AY43" s="10" t="n">
        <v>2.490541104612674</v>
      </c>
      <c r="AZ43" s="10" t="n">
        <v>2.482658515431216</v>
      </c>
      <c r="BA43" s="10" t="n">
        <v>2.474535952868607</v>
      </c>
      <c r="BB43" s="10" t="n">
        <v>2.466207739233985</v>
      </c>
      <c r="BC43" s="10" t="n">
        <v>2.457706275799195</v>
      </c>
      <c r="BD43" s="10" t="n">
        <v>2.449062173573355</v>
      </c>
      <c r="BE43" s="10" t="n">
        <v>2.440304288131202</v>
      </c>
      <c r="BF43" s="10" t="n">
        <v>2.431459573953744</v>
      </c>
      <c r="BG43" s="10" t="n">
        <v>2.422553134811172</v>
      </c>
    </row>
    <row r="44">
      <c r="A44" s="9" t="n">
        <v>-81</v>
      </c>
      <c r="B44" s="7" t="n">
        <v>44721</v>
      </c>
      <c r="C44" s="10" t="n">
        <v>1.887331093087126</v>
      </c>
      <c r="D44" s="10" t="n">
        <v>1.90865747928434</v>
      </c>
      <c r="E44" s="10" t="n">
        <v>1.921442646280418</v>
      </c>
      <c r="F44" s="10" t="n">
        <v>1.933033610366694</v>
      </c>
      <c r="G44" s="10" t="n">
        <v>1.946783391986813</v>
      </c>
      <c r="H44" s="10" t="n">
        <v>1.964004663009055</v>
      </c>
      <c r="I44" s="10" t="n">
        <v>1.985059159630576</v>
      </c>
      <c r="J44" s="10" t="n">
        <v>2.009857796900849</v>
      </c>
      <c r="K44" s="10" t="n">
        <v>2.038060344027012</v>
      </c>
      <c r="L44" s="10" t="n">
        <v>2.069179957126506</v>
      </c>
      <c r="M44" s="10" t="n">
        <v>2.102643075970161</v>
      </c>
      <c r="N44" s="10" t="n">
        <v>2.13783260749191</v>
      </c>
      <c r="O44" s="10" t="n">
        <v>2.174118573851532</v>
      </c>
      <c r="P44" s="10" t="n">
        <v>2.210879583444961</v>
      </c>
      <c r="Q44" s="10" t="n">
        <v>2.247513113058403</v>
      </c>
      <c r="R44" s="10" t="n">
        <v>2.283458003903307</v>
      </c>
      <c r="S44" s="10" t="n">
        <v>2.318220291907994</v>
      </c>
      <c r="T44" s="10" t="n">
        <v>2.351388237188721</v>
      </c>
      <c r="U44" s="10" t="n">
        <v>2.382639357801879</v>
      </c>
      <c r="V44" s="10" t="n">
        <v>2.411745326259232</v>
      </c>
      <c r="W44" s="10" t="n">
        <v>2.438554588100466</v>
      </c>
      <c r="X44" s="10" t="n">
        <v>2.462977063130962</v>
      </c>
      <c r="Y44" s="10" t="n">
        <v>2.484976501225948</v>
      </c>
      <c r="Z44" s="10" t="n">
        <v>2.504572805120077</v>
      </c>
      <c r="AA44" s="10" t="n">
        <v>2.521835880201146</v>
      </c>
      <c r="AB44" s="10" t="n">
        <v>2.536871762626725</v>
      </c>
      <c r="AC44" s="10" t="n">
        <v>2.549801063685761</v>
      </c>
      <c r="AD44" s="10" t="n">
        <v>2.560751636450254</v>
      </c>
      <c r="AE44" s="10" t="n">
        <v>2.569857380240294</v>
      </c>
      <c r="AF44" s="10" t="n">
        <v>2.577257324525861</v>
      </c>
      <c r="AG44" s="10" t="n">
        <v>2.583092773793197</v>
      </c>
      <c r="AH44" s="10" t="n">
        <v>2.587492756258849</v>
      </c>
      <c r="AI44" s="10" t="n">
        <v>2.590573734431186</v>
      </c>
      <c r="AJ44" s="10" t="n">
        <v>2.592442128994865</v>
      </c>
      <c r="AK44" s="10" t="n">
        <v>2.593194903578627</v>
      </c>
      <c r="AL44" s="10" t="n">
        <v>2.592919849555576</v>
      </c>
      <c r="AM44" s="10" t="n">
        <v>2.591695843164448</v>
      </c>
      <c r="AN44" s="10" t="n">
        <v>2.589594034243662</v>
      </c>
      <c r="AO44" s="10" t="n">
        <v>2.586678930643209</v>
      </c>
      <c r="AP44" s="10" t="n">
        <v>2.583009814983976</v>
      </c>
      <c r="AQ44" s="10" t="n">
        <v>2.578641996467257</v>
      </c>
      <c r="AR44" s="10" t="n">
        <v>2.573627464263508</v>
      </c>
      <c r="AS44" s="10" t="n">
        <v>2.568015506943346</v>
      </c>
      <c r="AT44" s="10" t="n">
        <v>2.561852920244817</v>
      </c>
      <c r="AU44" s="10" t="n">
        <v>2.555184035883154</v>
      </c>
      <c r="AV44" s="10" t="n">
        <v>2.548050872353385</v>
      </c>
      <c r="AW44" s="10" t="n">
        <v>2.540493260976859</v>
      </c>
      <c r="AX44" s="10" t="n">
        <v>2.532549128126743</v>
      </c>
      <c r="AY44" s="10" t="n">
        <v>2.524254705935782</v>
      </c>
      <c r="AZ44" s="10" t="n">
        <v>2.515644581051753</v>
      </c>
      <c r="BA44" s="10" t="n">
        <v>2.50675183225053</v>
      </c>
      <c r="BB44" s="10" t="n">
        <v>2.497608359794813</v>
      </c>
      <c r="BC44" s="10" t="n">
        <v>2.488245335768557</v>
      </c>
      <c r="BD44" s="10" t="n">
        <v>2.478693324880405</v>
      </c>
      <c r="BE44" s="10" t="n">
        <v>2.46898228961324</v>
      </c>
      <c r="BF44" s="10" t="n">
        <v>2.4591414129384</v>
      </c>
      <c r="BG44" s="10" t="n">
        <v>2.449199096386512</v>
      </c>
    </row>
    <row r="45">
      <c r="A45" s="9" t="n">
        <v>-80</v>
      </c>
      <c r="B45" s="7" t="n">
        <v>44722</v>
      </c>
      <c r="C45" s="10" t="n">
        <v>2.067577707142255</v>
      </c>
      <c r="D45" s="10" t="n">
        <v>2.089444626979719</v>
      </c>
      <c r="E45" s="10" t="n">
        <v>2.099804655736496</v>
      </c>
      <c r="F45" s="10" t="n">
        <v>2.107360694777627</v>
      </c>
      <c r="G45" s="10" t="n">
        <v>2.116027807262249</v>
      </c>
      <c r="H45" s="10" t="n">
        <v>2.127431877189075</v>
      </c>
      <c r="I45" s="10" t="n">
        <v>2.142160268902695</v>
      </c>
      <c r="J45" s="10" t="n">
        <v>2.160313545830579</v>
      </c>
      <c r="K45" s="10" t="n">
        <v>2.181712889236438</v>
      </c>
      <c r="L45" s="10" t="n">
        <v>2.206011828429141</v>
      </c>
      <c r="M45" s="10" t="n">
        <v>2.232758399041149</v>
      </c>
      <c r="N45" s="10" t="n">
        <v>2.261437701707168</v>
      </c>
      <c r="O45" s="10" t="n">
        <v>2.291501114893422</v>
      </c>
      <c r="P45" s="10" t="n">
        <v>2.322386755613994</v>
      </c>
      <c r="Q45" s="10" t="n">
        <v>2.353531362139374</v>
      </c>
      <c r="R45" s="10" t="n">
        <v>2.384394250834349</v>
      </c>
      <c r="S45" s="10" t="n">
        <v>2.414486510865108</v>
      </c>
      <c r="T45" s="10" t="n">
        <v>2.443388542164469</v>
      </c>
      <c r="U45" s="10" t="n">
        <v>2.470760763253451</v>
      </c>
      <c r="V45" s="10" t="n">
        <v>2.496353415576922</v>
      </c>
      <c r="W45" s="10" t="n">
        <v>2.519990279281596</v>
      </c>
      <c r="X45" s="10" t="n">
        <v>2.541554042359329</v>
      </c>
      <c r="Y45" s="10" t="n">
        <v>2.560980215525393</v>
      </c>
      <c r="Z45" s="10" t="n">
        <v>2.578262199842097</v>
      </c>
      <c r="AA45" s="10" t="n">
        <v>2.593445433977242</v>
      </c>
      <c r="AB45" s="10" t="n">
        <v>2.606613146350433</v>
      </c>
      <c r="AC45" s="10" t="n">
        <v>2.617865164238457</v>
      </c>
      <c r="AD45" s="10" t="n">
        <v>2.627310641607291</v>
      </c>
      <c r="AE45" s="10" t="n">
        <v>2.635066548137019</v>
      </c>
      <c r="AF45" s="10" t="n">
        <v>2.641256485022704</v>
      </c>
      <c r="AG45" s="10" t="n">
        <v>2.646007547510612</v>
      </c>
      <c r="AH45" s="10" t="n">
        <v>2.649435975065996</v>
      </c>
      <c r="AI45" s="10" t="n">
        <v>2.651647047923071</v>
      </c>
      <c r="AJ45" s="10" t="n">
        <v>2.652737155179982</v>
      </c>
      <c r="AK45" s="10" t="n">
        <v>2.652794220496392</v>
      </c>
      <c r="AL45" s="10" t="n">
        <v>2.651897876957094</v>
      </c>
      <c r="AM45" s="10" t="n">
        <v>2.650119663007875</v>
      </c>
      <c r="AN45" s="10" t="n">
        <v>2.647524114976858</v>
      </c>
      <c r="AO45" s="10" t="n">
        <v>2.644169757521812</v>
      </c>
      <c r="AP45" s="10" t="n">
        <v>2.640110400773142</v>
      </c>
      <c r="AQ45" s="10" t="n">
        <v>2.635396267390952</v>
      </c>
      <c r="AR45" s="10" t="n">
        <v>2.630074616510401</v>
      </c>
      <c r="AS45" s="10" t="n">
        <v>2.62419035531642</v>
      </c>
      <c r="AT45" s="10" t="n">
        <v>2.617786283090238</v>
      </c>
      <c r="AU45" s="10" t="n">
        <v>2.61090321072344</v>
      </c>
      <c r="AV45" s="10" t="n">
        <v>2.603580121532733</v>
      </c>
      <c r="AW45" s="10" t="n">
        <v>2.595854318180558</v>
      </c>
      <c r="AX45" s="10" t="n">
        <v>2.587761684371549</v>
      </c>
      <c r="AY45" s="10" t="n">
        <v>2.579336831432929</v>
      </c>
      <c r="AZ45" s="10" t="n">
        <v>2.570613062176862</v>
      </c>
      <c r="BA45" s="10" t="n">
        <v>2.561622468664159</v>
      </c>
      <c r="BB45" s="10" t="n">
        <v>2.552396184333343</v>
      </c>
      <c r="BC45" s="10" t="n">
        <v>2.542964713719808</v>
      </c>
      <c r="BD45" s="10" t="n">
        <v>2.533358006498204</v>
      </c>
      <c r="BE45" s="10" t="n">
        <v>2.523605442400105</v>
      </c>
      <c r="BF45" s="10" t="n">
        <v>2.513735666386677</v>
      </c>
      <c r="BG45" s="10" t="n">
        <v>2.503776569901641</v>
      </c>
    </row>
    <row r="46">
      <c r="A46" s="9" t="n">
        <v>-79</v>
      </c>
      <c r="B46" s="7" t="n">
        <v>44725</v>
      </c>
      <c r="C46" s="10" t="n">
        <v>2.140162000417733</v>
      </c>
      <c r="D46" s="10" t="n">
        <v>2.162893420580154</v>
      </c>
      <c r="E46" s="10" t="n">
        <v>2.17463861818615</v>
      </c>
      <c r="F46" s="10" t="n">
        <v>2.183705290502223</v>
      </c>
      <c r="G46" s="10" t="n">
        <v>2.193855548768662</v>
      </c>
      <c r="H46" s="10" t="n">
        <v>2.206615098953906</v>
      </c>
      <c r="I46" s="10" t="n">
        <v>2.22248968611346</v>
      </c>
      <c r="J46" s="10" t="n">
        <v>2.241521231511928</v>
      </c>
      <c r="K46" s="10" t="n">
        <v>2.263498585990992</v>
      </c>
      <c r="L46" s="10" t="n">
        <v>2.288069622358497</v>
      </c>
      <c r="M46" s="10" t="n">
        <v>2.314799665356978</v>
      </c>
      <c r="N46" s="10" t="n">
        <v>2.343208435800046</v>
      </c>
      <c r="O46" s="10" t="n">
        <v>2.372792560815122</v>
      </c>
      <c r="P46" s="10" t="n">
        <v>2.403038845811868</v>
      </c>
      <c r="Q46" s="10" t="n">
        <v>2.43343283007682</v>
      </c>
      <c r="R46" s="10" t="n">
        <v>2.463478889274103</v>
      </c>
      <c r="S46" s="10" t="n">
        <v>2.492726545990602</v>
      </c>
      <c r="T46" s="10" t="n">
        <v>2.520786939430846</v>
      </c>
      <c r="U46" s="10" t="n">
        <v>2.547343173567411</v>
      </c>
      <c r="V46" s="10" t="n">
        <v>2.572160782272707</v>
      </c>
      <c r="W46" s="10" t="n">
        <v>2.595072872021111</v>
      </c>
      <c r="X46" s="10" t="n">
        <v>2.61596668614737</v>
      </c>
      <c r="Y46" s="10" t="n">
        <v>2.634778407175988</v>
      </c>
      <c r="Z46" s="10" t="n">
        <v>2.651498685624043</v>
      </c>
      <c r="AA46" s="10" t="n">
        <v>2.666167583366106</v>
      </c>
      <c r="AB46" s="10" t="n">
        <v>2.678861680282167</v>
      </c>
      <c r="AC46" s="10" t="n">
        <v>2.689674325913009</v>
      </c>
      <c r="AD46" s="10" t="n">
        <v>2.6987087413093</v>
      </c>
      <c r="AE46" s="10" t="n">
        <v>2.706076429182971</v>
      </c>
      <c r="AF46" s="10" t="n">
        <v>2.711895919109963</v>
      </c>
      <c r="AG46" s="10" t="n">
        <v>2.716289669625419</v>
      </c>
      <c r="AH46" s="10" t="n">
        <v>2.719370523774642</v>
      </c>
      <c r="AI46" s="10" t="n">
        <v>2.721241599820164</v>
      </c>
      <c r="AJ46" s="10" t="n">
        <v>2.721997991762223</v>
      </c>
      <c r="AK46" s="10" t="n">
        <v>2.721727077939298</v>
      </c>
      <c r="AL46" s="10" t="n">
        <v>2.720508531080156</v>
      </c>
      <c r="AM46" s="10" t="n">
        <v>2.718414369324651</v>
      </c>
      <c r="AN46" s="10" t="n">
        <v>2.715509903866689</v>
      </c>
      <c r="AO46" s="10" t="n">
        <v>2.71185463606427</v>
      </c>
      <c r="AP46" s="10" t="n">
        <v>2.707503428676165</v>
      </c>
      <c r="AQ46" s="10" t="n">
        <v>2.702507518166393</v>
      </c>
      <c r="AR46" s="10" t="n">
        <v>2.696915092067532</v>
      </c>
      <c r="AS46" s="10" t="n">
        <v>2.690771837989711</v>
      </c>
      <c r="AT46" s="10" t="n">
        <v>2.684121184203986</v>
      </c>
      <c r="AU46" s="10" t="n">
        <v>2.677004425750411</v>
      </c>
      <c r="AV46" s="10" t="n">
        <v>2.669460900638834</v>
      </c>
      <c r="AW46" s="10" t="n">
        <v>2.661528155079597</v>
      </c>
      <c r="AX46" s="10" t="n">
        <v>2.653242226908104</v>
      </c>
      <c r="AY46" s="10" t="n">
        <v>2.644637819653441</v>
      </c>
      <c r="AZ46" s="10" t="n">
        <v>2.635748292978695</v>
      </c>
      <c r="BA46" s="10" t="n">
        <v>2.626605767418394</v>
      </c>
      <c r="BB46" s="10" t="n">
        <v>2.61724137154209</v>
      </c>
      <c r="BC46" s="10" t="n">
        <v>2.607685556437865</v>
      </c>
      <c r="BD46" s="10" t="n">
        <v>2.597968145702201</v>
      </c>
      <c r="BE46" s="10" t="n">
        <v>2.588118298773234</v>
      </c>
      <c r="BF46" s="10" t="n">
        <v>2.578164333786853</v>
      </c>
      <c r="BG46" s="10" t="n">
        <v>2.568133680683444</v>
      </c>
    </row>
    <row r="47">
      <c r="A47" s="9" t="n">
        <v>-78</v>
      </c>
      <c r="B47" s="7" t="n">
        <v>44726</v>
      </c>
      <c r="C47" s="10" t="n">
        <v>2.138044354933455</v>
      </c>
      <c r="D47" s="10" t="n">
        <v>2.157635030867394</v>
      </c>
      <c r="E47" s="10" t="n">
        <v>2.168617489494913</v>
      </c>
      <c r="F47" s="10" t="n">
        <v>2.178787977818541</v>
      </c>
      <c r="G47" s="10" t="n">
        <v>2.191494507610559</v>
      </c>
      <c r="H47" s="10" t="n">
        <v>2.207896775572925</v>
      </c>
      <c r="I47" s="10" t="n">
        <v>2.228176526702913</v>
      </c>
      <c r="J47" s="10" t="n">
        <v>2.252101441459268</v>
      </c>
      <c r="K47" s="10" t="n">
        <v>2.279237009310992</v>
      </c>
      <c r="L47" s="10" t="n">
        <v>2.309055938988283</v>
      </c>
      <c r="M47" s="10" t="n">
        <v>2.340989768025764</v>
      </c>
      <c r="N47" s="10" t="n">
        <v>2.374459452054517</v>
      </c>
      <c r="O47" s="10" t="n">
        <v>2.408891689329992</v>
      </c>
      <c r="P47" s="10" t="n">
        <v>2.443726132788834</v>
      </c>
      <c r="Q47" s="10" t="n">
        <v>2.478419705001311</v>
      </c>
      <c r="R47" s="10" t="n">
        <v>2.512463005063321</v>
      </c>
      <c r="S47" s="10" t="n">
        <v>2.545401077315096</v>
      </c>
      <c r="T47" s="10" t="n">
        <v>2.576846438138672</v>
      </c>
      <c r="U47" s="10" t="n">
        <v>2.606487213781716</v>
      </c>
      <c r="V47" s="10" t="n">
        <v>2.63409660822608</v>
      </c>
      <c r="W47" s="10" t="n">
        <v>2.659517454410884</v>
      </c>
      <c r="X47" s="10" t="n">
        <v>2.682648369765058</v>
      </c>
      <c r="Y47" s="10" t="n">
        <v>2.703438252456915</v>
      </c>
      <c r="Z47" s="10" t="n">
        <v>2.721891430111333</v>
      </c>
      <c r="AA47" s="10" t="n">
        <v>2.738062855901688</v>
      </c>
      <c r="AB47" s="10" t="n">
        <v>2.752045545280276</v>
      </c>
      <c r="AC47" s="10" t="n">
        <v>2.763949859118031</v>
      </c>
      <c r="AD47" s="10" t="n">
        <v>2.773896301950193</v>
      </c>
      <c r="AE47" s="10" t="n">
        <v>2.782013888829975</v>
      </c>
      <c r="AF47" s="10" t="n">
        <v>2.78843885585579</v>
      </c>
      <c r="AG47" s="10" t="n">
        <v>2.793311324453564</v>
      </c>
      <c r="AH47" s="10" t="n">
        <v>2.796760703222398</v>
      </c>
      <c r="AI47" s="10" t="n">
        <v>2.798905657058164</v>
      </c>
      <c r="AJ47" s="10" t="n">
        <v>2.79985575934543</v>
      </c>
      <c r="AK47" s="10" t="n">
        <v>2.799711812716267</v>
      </c>
      <c r="AL47" s="10" t="n">
        <v>2.798565748428619</v>
      </c>
      <c r="AM47" s="10" t="n">
        <v>2.796500569470874</v>
      </c>
      <c r="AN47" s="10" t="n">
        <v>2.793591263302509</v>
      </c>
      <c r="AO47" s="10" t="n">
        <v>2.789905755836044</v>
      </c>
      <c r="AP47" s="10" t="n">
        <v>2.78550617533061</v>
      </c>
      <c r="AQ47" s="10" t="n">
        <v>2.78044994276108</v>
      </c>
      <c r="AR47" s="10" t="n">
        <v>2.774790447022188</v>
      </c>
      <c r="AS47" s="10" t="n">
        <v>2.768577668989024</v>
      </c>
      <c r="AT47" s="10" t="n">
        <v>2.761858485367219</v>
      </c>
      <c r="AU47" s="10" t="n">
        <v>2.754676837862441</v>
      </c>
      <c r="AV47" s="10" t="n">
        <v>2.747073992827411</v>
      </c>
      <c r="AW47" s="10" t="n">
        <v>2.739088799497821</v>
      </c>
      <c r="AX47" s="10" t="n">
        <v>2.730758072747229</v>
      </c>
      <c r="AY47" s="10" t="n">
        <v>2.722116876505391</v>
      </c>
      <c r="AZ47" s="10" t="n">
        <v>2.713198603906802</v>
      </c>
      <c r="BA47" s="10" t="n">
        <v>2.704035122311246</v>
      </c>
      <c r="BB47" s="10" t="n">
        <v>2.694657080246851</v>
      </c>
      <c r="BC47" s="10" t="n">
        <v>2.6850942970926</v>
      </c>
      <c r="BD47" s="10" t="n">
        <v>2.675375842963898</v>
      </c>
      <c r="BE47" s="10" t="n">
        <v>2.665530017749727</v>
      </c>
      <c r="BF47" s="10" t="n">
        <v>2.655584171711117</v>
      </c>
      <c r="BG47" s="10" t="n">
        <v>2.645564672486778</v>
      </c>
    </row>
    <row r="48">
      <c r="A48" s="9" t="n">
        <v>-77</v>
      </c>
      <c r="B48" s="7" t="n">
        <v>44727</v>
      </c>
      <c r="C48" s="10" t="n">
        <v>1.985361543935561</v>
      </c>
      <c r="D48" s="10" t="n">
        <v>1.996229926846984</v>
      </c>
      <c r="E48" s="10" t="n">
        <v>2.004890756002299</v>
      </c>
      <c r="F48" s="10" t="n">
        <v>2.016458025133834</v>
      </c>
      <c r="G48" s="10" t="n">
        <v>2.03283165886254</v>
      </c>
      <c r="H48" s="10" t="n">
        <v>2.054291793222713</v>
      </c>
      <c r="I48" s="10" t="n">
        <v>2.080438749776079</v>
      </c>
      <c r="J48" s="10" t="n">
        <v>2.110638084867627</v>
      </c>
      <c r="K48" s="10" t="n">
        <v>2.144174527059172</v>
      </c>
      <c r="L48" s="10" t="n">
        <v>2.180331150796836</v>
      </c>
      <c r="M48" s="10" t="n">
        <v>2.218420052865105</v>
      </c>
      <c r="N48" s="10" t="n">
        <v>2.25779483933949</v>
      </c>
      <c r="O48" s="10" t="n">
        <v>2.29784859447954</v>
      </c>
      <c r="P48" s="10" t="n">
        <v>2.338004703057096</v>
      </c>
      <c r="Q48" s="10" t="n">
        <v>2.377712175737269</v>
      </c>
      <c r="R48" s="10" t="n">
        <v>2.416455477683785</v>
      </c>
      <c r="S48" s="10" t="n">
        <v>2.453774684755495</v>
      </c>
      <c r="T48" s="10" t="n">
        <v>2.489279614611852</v>
      </c>
      <c r="U48" s="10" t="n">
        <v>2.52265936875914</v>
      </c>
      <c r="V48" s="10" t="n">
        <v>2.553691637523412</v>
      </c>
      <c r="W48" s="10" t="n">
        <v>2.58222651618729</v>
      </c>
      <c r="X48" s="10" t="n">
        <v>2.608172109522688</v>
      </c>
      <c r="Y48" s="10" t="n">
        <v>2.631488710903453</v>
      </c>
      <c r="Z48" s="10" t="n">
        <v>2.652193723271665</v>
      </c>
      <c r="AA48" s="10" t="n">
        <v>2.670356612431272</v>
      </c>
      <c r="AB48" s="10" t="n">
        <v>2.686085994938702</v>
      </c>
      <c r="AC48" s="10" t="n">
        <v>2.699508333142724</v>
      </c>
      <c r="AD48" s="10" t="n">
        <v>2.710760582378053</v>
      </c>
      <c r="AE48" s="10" t="n">
        <v>2.719988504074861</v>
      </c>
      <c r="AF48" s="10" t="n">
        <v>2.727345331500854</v>
      </c>
      <c r="AG48" s="10" t="n">
        <v>2.732988251503703</v>
      </c>
      <c r="AH48" s="10" t="n">
        <v>2.737063153063007</v>
      </c>
      <c r="AI48" s="10" t="n">
        <v>2.739704630534036</v>
      </c>
      <c r="AJ48" s="10" t="n">
        <v>2.741037498783671</v>
      </c>
      <c r="AK48" s="10" t="n">
        <v>2.741177093966083</v>
      </c>
      <c r="AL48" s="10" t="n">
        <v>2.740228980320053</v>
      </c>
      <c r="AM48" s="10" t="n">
        <v>2.738288734922718</v>
      </c>
      <c r="AN48" s="10" t="n">
        <v>2.73544286708298</v>
      </c>
      <c r="AO48" s="10" t="n">
        <v>2.731769836099877</v>
      </c>
      <c r="AP48" s="10" t="n">
        <v>2.727341355012104</v>
      </c>
      <c r="AQ48" s="10" t="n">
        <v>2.722223510448526</v>
      </c>
      <c r="AR48" s="10" t="n">
        <v>2.7164774421328</v>
      </c>
      <c r="AS48" s="10" t="n">
        <v>2.710159914085964</v>
      </c>
      <c r="AT48" s="10" t="n">
        <v>2.703323645590817</v>
      </c>
      <c r="AU48" s="10" t="n">
        <v>2.696017496081345</v>
      </c>
      <c r="AV48" s="10" t="n">
        <v>2.688286790947323</v>
      </c>
      <c r="AW48" s="10" t="n">
        <v>2.680173640673122</v>
      </c>
      <c r="AX48" s="10" t="n">
        <v>2.671717409137774</v>
      </c>
      <c r="AY48" s="10" t="n">
        <v>2.662955110026981</v>
      </c>
      <c r="AZ48" s="10" t="n">
        <v>2.653921603562948</v>
      </c>
      <c r="BA48" s="10" t="n">
        <v>2.644649799103441</v>
      </c>
      <c r="BB48" s="10" t="n">
        <v>2.635171060495705</v>
      </c>
      <c r="BC48" s="10" t="n">
        <v>2.62551572178203</v>
      </c>
      <c r="BD48" s="10" t="n">
        <v>2.615713204689403</v>
      </c>
      <c r="BE48" s="10" t="n">
        <v>2.605792011523203</v>
      </c>
      <c r="BF48" s="10" t="n">
        <v>2.595779537886485</v>
      </c>
      <c r="BG48" s="10" t="n">
        <v>2.585702050045005</v>
      </c>
    </row>
    <row r="49">
      <c r="A49" s="9" t="n">
        <v>-76</v>
      </c>
      <c r="B49" s="7" t="n">
        <v>44728</v>
      </c>
      <c r="C49" s="10" t="n">
        <v>2.145392443142458</v>
      </c>
      <c r="D49" s="10" t="n">
        <v>2.151083323954636</v>
      </c>
      <c r="E49" s="10" t="n">
        <v>2.152661810123857</v>
      </c>
      <c r="F49" s="10" t="n">
        <v>2.156570828984898</v>
      </c>
      <c r="G49" s="10" t="n">
        <v>2.165101584858979</v>
      </c>
      <c r="H49" s="10" t="n">
        <v>2.178722387788641</v>
      </c>
      <c r="I49" s="10" t="n">
        <v>2.197170523828444</v>
      </c>
      <c r="J49" s="10" t="n">
        <v>2.21991779069523</v>
      </c>
      <c r="K49" s="10" t="n">
        <v>2.246328292964319</v>
      </c>
      <c r="L49" s="10" t="n">
        <v>2.275738242149046</v>
      </c>
      <c r="M49" s="10" t="n">
        <v>2.307491287901261</v>
      </c>
      <c r="N49" s="10" t="n">
        <v>2.340953613337994</v>
      </c>
      <c r="O49" s="10" t="n">
        <v>2.375517105711936</v>
      </c>
      <c r="P49" s="10" t="n">
        <v>2.410599251890714</v>
      </c>
      <c r="Q49" s="10" t="n">
        <v>2.445642078542078</v>
      </c>
      <c r="R49" s="10" t="n">
        <v>2.480123411735864</v>
      </c>
      <c r="S49" s="10" t="n">
        <v>2.513576540977994</v>
      </c>
      <c r="T49" s="10" t="n">
        <v>2.54560108551303</v>
      </c>
      <c r="U49" s="10" t="n">
        <v>2.575872718142024</v>
      </c>
      <c r="V49" s="10" t="n">
        <v>2.604153098691277</v>
      </c>
      <c r="W49" s="10" t="n">
        <v>2.630274191634726</v>
      </c>
      <c r="X49" s="10" t="n">
        <v>2.65412430094958</v>
      </c>
      <c r="Y49" s="10" t="n">
        <v>2.675643039477244</v>
      </c>
      <c r="Z49" s="10" t="n">
        <v>2.694827492001757</v>
      </c>
      <c r="AA49" s="10" t="n">
        <v>2.711727284059997</v>
      </c>
      <c r="AB49" s="10" t="n">
        <v>2.726431364314185</v>
      </c>
      <c r="AC49" s="10" t="n">
        <v>2.73904663459205</v>
      </c>
      <c r="AD49" s="10" t="n">
        <v>2.74969063517861</v>
      </c>
      <c r="AE49" s="10" t="n">
        <v>2.75848983733913</v>
      </c>
      <c r="AF49" s="10" t="n">
        <v>2.765578290138031</v>
      </c>
      <c r="AG49" s="10" t="n">
        <v>2.771094086334675</v>
      </c>
      <c r="AH49" s="10" t="n">
        <v>2.775164354738755</v>
      </c>
      <c r="AI49" s="10" t="n">
        <v>2.777905402997897</v>
      </c>
      <c r="AJ49" s="10" t="n">
        <v>2.779424310082551</v>
      </c>
      <c r="AK49" s="10" t="n">
        <v>2.779819256056901</v>
      </c>
      <c r="AL49" s="10" t="n">
        <v>2.779179421006716</v>
      </c>
      <c r="AM49" s="10" t="n">
        <v>2.777584985152427</v>
      </c>
      <c r="AN49" s="10" t="n">
        <v>2.775108207949852</v>
      </c>
      <c r="AO49" s="10" t="n">
        <v>2.771814470817116</v>
      </c>
      <c r="AP49" s="10" t="n">
        <v>2.767763682843888</v>
      </c>
      <c r="AQ49" s="10" t="n">
        <v>2.763011477332817</v>
      </c>
      <c r="AR49" s="10" t="n">
        <v>2.757609915275857</v>
      </c>
      <c r="AS49" s="10" t="n">
        <v>2.751608160001167</v>
      </c>
      <c r="AT49" s="10" t="n">
        <v>2.745052736763072</v>
      </c>
      <c r="AU49" s="10" t="n">
        <v>2.737987647014366</v>
      </c>
      <c r="AV49" s="10" t="n">
        <v>2.730454575413531</v>
      </c>
      <c r="AW49" s="10" t="n">
        <v>2.722493093537099</v>
      </c>
      <c r="AX49" s="10" t="n">
        <v>2.714141002085342</v>
      </c>
      <c r="AY49" s="10" t="n">
        <v>2.705434596524601</v>
      </c>
      <c r="AZ49" s="10" t="n">
        <v>2.696408754947151</v>
      </c>
      <c r="BA49" s="10" t="n">
        <v>2.687097067479077</v>
      </c>
      <c r="BB49" s="10" t="n">
        <v>2.677532162681835</v>
      </c>
      <c r="BC49" s="10" t="n">
        <v>2.667746136902723</v>
      </c>
      <c r="BD49" s="10" t="n">
        <v>2.657770634438553</v>
      </c>
      <c r="BE49" s="10" t="n">
        <v>2.647636815495592</v>
      </c>
      <c r="BF49" s="10" t="n">
        <v>2.637375145695436</v>
      </c>
      <c r="BG49" s="10" t="n">
        <v>2.627015353357623</v>
      </c>
    </row>
    <row r="50">
      <c r="A50" s="9" t="n">
        <v>-75</v>
      </c>
      <c r="B50" s="7" t="n">
        <v>44729</v>
      </c>
      <c r="C50" s="10" t="n">
        <v>2.234353454534473</v>
      </c>
      <c r="D50" s="10" t="n">
        <v>2.234248382078587</v>
      </c>
      <c r="E50" s="10" t="n">
        <v>2.227195458463951</v>
      </c>
      <c r="F50" s="10" t="n">
        <v>2.220892911657404</v>
      </c>
      <c r="G50" s="10" t="n">
        <v>2.21856385987462</v>
      </c>
      <c r="H50" s="10" t="n">
        <v>2.221316159122828</v>
      </c>
      <c r="I50" s="10" t="n">
        <v>2.229317038208676</v>
      </c>
      <c r="J50" s="10" t="n">
        <v>2.242324594211368</v>
      </c>
      <c r="K50" s="10" t="n">
        <v>2.259891520900468</v>
      </c>
      <c r="L50" s="10" t="n">
        <v>2.281464093031166</v>
      </c>
      <c r="M50" s="10" t="n">
        <v>2.306435287565925</v>
      </c>
      <c r="N50" s="10" t="n">
        <v>2.334173498957898</v>
      </c>
      <c r="O50" s="10" t="n">
        <v>2.364038513195138</v>
      </c>
      <c r="P50" s="10" t="n">
        <v>2.395391542657405</v>
      </c>
      <c r="Q50" s="10" t="n">
        <v>2.427599684324776</v>
      </c>
      <c r="R50" s="10" t="n">
        <v>2.460051939649604</v>
      </c>
      <c r="S50" s="10" t="n">
        <v>2.492186682269988</v>
      </c>
      <c r="T50" s="10" t="n">
        <v>2.523504815757391</v>
      </c>
      <c r="U50" s="10" t="n">
        <v>2.553585723948234</v>
      </c>
      <c r="V50" s="10" t="n">
        <v>2.582101592170124</v>
      </c>
      <c r="W50" s="10" t="n">
        <v>2.608800578926967</v>
      </c>
      <c r="X50" s="10" t="n">
        <v>2.633491768397209</v>
      </c>
      <c r="Y50" s="10" t="n">
        <v>2.656041641867115</v>
      </c>
      <c r="Z50" s="10" t="n">
        <v>2.676384728061957</v>
      </c>
      <c r="AA50" s="10" t="n">
        <v>2.694518312925616</v>
      </c>
      <c r="AB50" s="10" t="n">
        <v>2.710487814303382</v>
      </c>
      <c r="AC50" s="10" t="n">
        <v>2.724365023386921</v>
      </c>
      <c r="AD50" s="10" t="n">
        <v>2.736239899929106</v>
      </c>
      <c r="AE50" s="10" t="n">
        <v>2.746217696984611</v>
      </c>
      <c r="AF50" s="10" t="n">
        <v>2.754416643730308</v>
      </c>
      <c r="AG50" s="10" t="n">
        <v>2.760963524658532</v>
      </c>
      <c r="AH50" s="10" t="n">
        <v>2.765978250487737</v>
      </c>
      <c r="AI50" s="10" t="n">
        <v>2.769573593334588</v>
      </c>
      <c r="AJ50" s="10" t="n">
        <v>2.771855783212781</v>
      </c>
      <c r="AK50" s="10" t="n">
        <v>2.772924370265062</v>
      </c>
      <c r="AL50" s="10" t="n">
        <v>2.772871547595886</v>
      </c>
      <c r="AM50" s="10" t="n">
        <v>2.771781680901462</v>
      </c>
      <c r="AN50" s="10" t="n">
        <v>2.769732008259012</v>
      </c>
      <c r="AO50" s="10" t="n">
        <v>2.766793459768132</v>
      </c>
      <c r="AP50" s="10" t="n">
        <v>2.763031846018312</v>
      </c>
      <c r="AQ50" s="10" t="n">
        <v>2.758508858507446</v>
      </c>
      <c r="AR50" s="10" t="n">
        <v>2.753282663949209</v>
      </c>
      <c r="AS50" s="10" t="n">
        <v>2.747408439435971</v>
      </c>
      <c r="AT50" s="10" t="n">
        <v>2.740938531874593</v>
      </c>
      <c r="AU50" s="10" t="n">
        <v>2.733922457171594</v>
      </c>
      <c r="AV50" s="10" t="n">
        <v>2.726407065723887</v>
      </c>
      <c r="AW50" s="10" t="n">
        <v>2.718436687104198</v>
      </c>
      <c r="AX50" s="10" t="n">
        <v>2.710053450745214</v>
      </c>
      <c r="AY50" s="10" t="n">
        <v>2.701297542943564</v>
      </c>
      <c r="AZ50" s="10" t="n">
        <v>2.692207327566408</v>
      </c>
      <c r="BA50" s="10" t="n">
        <v>2.682819513836508</v>
      </c>
      <c r="BB50" s="10" t="n">
        <v>2.673169527960349</v>
      </c>
      <c r="BC50" s="10" t="n">
        <v>2.663291975652852</v>
      </c>
      <c r="BD50" s="10" t="n">
        <v>2.653220725238188</v>
      </c>
      <c r="BE50" s="10" t="n">
        <v>2.642988876385541</v>
      </c>
      <c r="BF50" s="10" t="n">
        <v>2.632628554005145</v>
      </c>
      <c r="BG50" s="10" t="n">
        <v>2.622170863821724</v>
      </c>
    </row>
    <row r="51">
      <c r="A51" s="9" t="n">
        <v>-74</v>
      </c>
      <c r="B51" s="7" t="n">
        <v>44732</v>
      </c>
      <c r="C51" s="10" t="n">
        <v>2.323767834425245</v>
      </c>
      <c r="D51" s="10" t="n">
        <v>2.325232042159025</v>
      </c>
      <c r="E51" s="10" t="n">
        <v>2.318845194470722</v>
      </c>
      <c r="F51" s="10" t="n">
        <v>2.313001852312902</v>
      </c>
      <c r="G51" s="10" t="n">
        <v>2.311088450082076</v>
      </c>
      <c r="H51" s="10" t="n">
        <v>2.314248633692382</v>
      </c>
      <c r="I51" s="10" t="n">
        <v>2.322661024307899</v>
      </c>
      <c r="J51" s="10" t="n">
        <v>2.336094948860621</v>
      </c>
      <c r="K51" s="10" t="n">
        <v>2.354120168805509</v>
      </c>
      <c r="L51" s="10" t="n">
        <v>2.376204872629463</v>
      </c>
      <c r="M51" s="10" t="n">
        <v>2.401764779231332</v>
      </c>
      <c r="N51" s="10" t="n">
        <v>2.430188849659039</v>
      </c>
      <c r="O51" s="10" t="n">
        <v>2.460852857674901</v>
      </c>
      <c r="P51" s="10" t="n">
        <v>2.493127156611757</v>
      </c>
      <c r="Q51" s="10" t="n">
        <v>2.526381127528564</v>
      </c>
      <c r="R51" s="10" t="n">
        <v>2.559999316464104</v>
      </c>
      <c r="S51" s="10" t="n">
        <v>2.593409850733194</v>
      </c>
      <c r="T51" s="10" t="n">
        <v>2.626098597953022</v>
      </c>
      <c r="U51" s="10" t="n">
        <v>2.657627042684478</v>
      </c>
      <c r="V51" s="10" t="n">
        <v>2.68764789528595</v>
      </c>
      <c r="W51" s="10" t="n">
        <v>2.715888601430864</v>
      </c>
      <c r="X51" s="10" t="n">
        <v>2.74213655931818</v>
      </c>
      <c r="Y51" s="10" t="n">
        <v>2.766236482080261</v>
      </c>
      <c r="Z51" s="10" t="n">
        <v>2.788102625548453</v>
      </c>
      <c r="AA51" s="10" t="n">
        <v>2.807714082452295</v>
      </c>
      <c r="AB51" s="10" t="n">
        <v>2.825100882998397</v>
      </c>
      <c r="AC51" s="10" t="n">
        <v>2.840322839610321</v>
      </c>
      <c r="AD51" s="10" t="n">
        <v>2.853461106145969</v>
      </c>
      <c r="AE51" s="10" t="n">
        <v>2.864614810947309</v>
      </c>
      <c r="AF51" s="10" t="n">
        <v>2.873898333414484</v>
      </c>
      <c r="AG51" s="10" t="n">
        <v>2.881436571382745</v>
      </c>
      <c r="AH51" s="10" t="n">
        <v>2.887349630246892</v>
      </c>
      <c r="AI51" s="10" t="n">
        <v>2.8917523881349</v>
      </c>
      <c r="AJ51" s="10" t="n">
        <v>2.894754683740625</v>
      </c>
      <c r="AK51" s="10" t="n">
        <v>2.89646095622156</v>
      </c>
      <c r="AL51" s="10" t="n">
        <v>2.896969269118267</v>
      </c>
      <c r="AM51" s="10" t="n">
        <v>2.896370596203578</v>
      </c>
      <c r="AN51" s="10" t="n">
        <v>2.894749338892681</v>
      </c>
      <c r="AO51" s="10" t="n">
        <v>2.892184028308173</v>
      </c>
      <c r="AP51" s="10" t="n">
        <v>2.888748372420875</v>
      </c>
      <c r="AQ51" s="10" t="n">
        <v>2.884512133409291</v>
      </c>
      <c r="AR51" s="10" t="n">
        <v>2.879541593202845</v>
      </c>
      <c r="AS51" s="10" t="n">
        <v>2.873899919822786</v>
      </c>
      <c r="AT51" s="10" t="n">
        <v>2.86764720434008</v>
      </c>
      <c r="AU51" s="10" t="n">
        <v>2.860840311272657</v>
      </c>
      <c r="AV51" s="10" t="n">
        <v>2.853532946286174</v>
      </c>
      <c r="AW51" s="10" t="n">
        <v>2.84577565198273</v>
      </c>
      <c r="AX51" s="10" t="n">
        <v>2.837616082053422</v>
      </c>
      <c r="AY51" s="10" t="n">
        <v>2.829099139341736</v>
      </c>
      <c r="AZ51" s="10" t="n">
        <v>2.820266982190873</v>
      </c>
      <c r="BA51" s="10" t="n">
        <v>2.811159244149828</v>
      </c>
      <c r="BB51" s="10" t="n">
        <v>2.801813380764626</v>
      </c>
      <c r="BC51" s="10" t="n">
        <v>2.792265040948275</v>
      </c>
      <c r="BD51" s="10" t="n">
        <v>2.782548178515742</v>
      </c>
      <c r="BE51" s="10" t="n">
        <v>2.772695074654272</v>
      </c>
      <c r="BF51" s="10" t="n">
        <v>2.762736199920611</v>
      </c>
      <c r="BG51" s="10" t="n">
        <v>2.752700240058966</v>
      </c>
    </row>
    <row r="52">
      <c r="A52" s="9" t="n">
        <v>-73</v>
      </c>
      <c r="B52" s="7" t="n">
        <v>44733</v>
      </c>
      <c r="C52" s="10" t="n">
        <v>2.331721090801165</v>
      </c>
      <c r="D52" s="10" t="n">
        <v>2.333265794269015</v>
      </c>
      <c r="E52" s="10" t="n">
        <v>2.328117215532632</v>
      </c>
      <c r="F52" s="10" t="n">
        <v>2.324308852220761</v>
      </c>
      <c r="G52" s="10" t="n">
        <v>2.324948225912102</v>
      </c>
      <c r="H52" s="10" t="n">
        <v>2.330978270179147</v>
      </c>
      <c r="I52" s="10" t="n">
        <v>2.342431999740918</v>
      </c>
      <c r="J52" s="10" t="n">
        <v>2.358972604133913</v>
      </c>
      <c r="K52" s="10" t="n">
        <v>2.380094363144829</v>
      </c>
      <c r="L52" s="10" t="n">
        <v>2.405213218305992</v>
      </c>
      <c r="M52" s="10" t="n">
        <v>2.433707523708581</v>
      </c>
      <c r="N52" s="10" t="n">
        <v>2.464938988526308</v>
      </c>
      <c r="O52" s="10" t="n">
        <v>2.498263810089366</v>
      </c>
      <c r="P52" s="10" t="n">
        <v>2.533039024647687</v>
      </c>
      <c r="Q52" s="10" t="n">
        <v>2.568625825213743</v>
      </c>
      <c r="R52" s="10" t="n">
        <v>2.6044052156498</v>
      </c>
      <c r="S52" s="10" t="n">
        <v>2.639805144779182</v>
      </c>
      <c r="T52" s="10" t="n">
        <v>2.67431364485098</v>
      </c>
      <c r="U52" s="10" t="n">
        <v>2.707496439956069</v>
      </c>
      <c r="V52" s="10" t="n">
        <v>2.73901160134396</v>
      </c>
      <c r="W52" s="10" t="n">
        <v>2.768592735125432</v>
      </c>
      <c r="X52" s="10" t="n">
        <v>2.796034046354463</v>
      </c>
      <c r="Y52" s="10" t="n">
        <v>2.821187693707141</v>
      </c>
      <c r="Z52" s="10" t="n">
        <v>2.843975911340025</v>
      </c>
      <c r="AA52" s="10" t="n">
        <v>2.864386090930963</v>
      </c>
      <c r="AB52" s="10" t="n">
        <v>2.882456712293173</v>
      </c>
      <c r="AC52" s="10" t="n">
        <v>2.898256235698618</v>
      </c>
      <c r="AD52" s="10" t="n">
        <v>2.911874701263175</v>
      </c>
      <c r="AE52" s="10" t="n">
        <v>2.923420326518272</v>
      </c>
      <c r="AF52" s="10" t="n">
        <v>2.933016752228262</v>
      </c>
      <c r="AG52" s="10" t="n">
        <v>2.940798231582793</v>
      </c>
      <c r="AH52" s="10" t="n">
        <v>2.946894277730163</v>
      </c>
      <c r="AI52" s="10" t="n">
        <v>2.951429368217072</v>
      </c>
      <c r="AJ52" s="10" t="n">
        <v>2.954523152482135</v>
      </c>
      <c r="AK52" s="10" t="n">
        <v>2.956290085452677</v>
      </c>
      <c r="AL52" s="10" t="n">
        <v>2.956838394057427</v>
      </c>
      <c r="AM52" s="10" t="n">
        <v>2.956269316718672</v>
      </c>
      <c r="AN52" s="10" t="n">
        <v>2.954677528636855</v>
      </c>
      <c r="AO52" s="10" t="n">
        <v>2.952151794803276</v>
      </c>
      <c r="AP52" s="10" t="n">
        <v>2.948775932022043</v>
      </c>
      <c r="AQ52" s="10" t="n">
        <v>2.944629611885283</v>
      </c>
      <c r="AR52" s="10" t="n">
        <v>2.939788711012964</v>
      </c>
      <c r="AS52" s="10" t="n">
        <v>2.934325507332923</v>
      </c>
      <c r="AT52" s="10" t="n">
        <v>2.928308608291302</v>
      </c>
      <c r="AU52" s="10" t="n">
        <v>2.921802662620289</v>
      </c>
      <c r="AV52" s="10" t="n">
        <v>2.914868362301033</v>
      </c>
      <c r="AW52" s="10" t="n">
        <v>2.907562327427152</v>
      </c>
      <c r="AX52" s="10" t="n">
        <v>2.899937373184012</v>
      </c>
      <c r="AY52" s="10" t="n">
        <v>2.89204253448467</v>
      </c>
      <c r="AZ52" s="10" t="n">
        <v>2.883922940429791</v>
      </c>
      <c r="BA52" s="10" t="n">
        <v>2.875620101039996</v>
      </c>
      <c r="BB52" s="10" t="n">
        <v>2.867172216118859</v>
      </c>
      <c r="BC52" s="10" t="n">
        <v>2.858614424103405</v>
      </c>
      <c r="BD52" s="10" t="n">
        <v>2.849978917254107</v>
      </c>
      <c r="BE52" s="10" t="n">
        <v>2.841294998345515</v>
      </c>
      <c r="BF52" s="10" t="n">
        <v>2.832588991880254</v>
      </c>
      <c r="BG52" s="10" t="n">
        <v>2.82388431341017</v>
      </c>
    </row>
    <row r="53">
      <c r="A53" s="9" t="n">
        <v>-72</v>
      </c>
      <c r="B53" s="7" t="n">
        <v>44734</v>
      </c>
      <c r="C53" s="10" t="n">
        <v>2.153265647831731</v>
      </c>
      <c r="D53" s="10" t="n">
        <v>2.152206350805866</v>
      </c>
      <c r="E53" s="10" t="n">
        <v>2.146152804706177</v>
      </c>
      <c r="F53" s="10" t="n">
        <v>2.142216763569464</v>
      </c>
      <c r="G53" s="10" t="n">
        <v>2.143099245793605</v>
      </c>
      <c r="H53" s="10" t="n">
        <v>2.149585564804962</v>
      </c>
      <c r="I53" s="10" t="n">
        <v>2.161666596763724</v>
      </c>
      <c r="J53" s="10" t="n">
        <v>2.179006665194213</v>
      </c>
      <c r="K53" s="10" t="n">
        <v>2.201112723837786</v>
      </c>
      <c r="L53" s="10" t="n">
        <v>2.22740793441102</v>
      </c>
      <c r="M53" s="10" t="n">
        <v>2.257266166764938</v>
      </c>
      <c r="N53" s="10" t="n">
        <v>2.290032017510911</v>
      </c>
      <c r="O53" s="10" t="n">
        <v>2.325034189005789</v>
      </c>
      <c r="P53" s="10" t="n">
        <v>2.36159542151156</v>
      </c>
      <c r="Q53" s="10" t="n">
        <v>2.399038639836736</v>
      </c>
      <c r="R53" s="10" t="n">
        <v>2.436706315884359</v>
      </c>
      <c r="S53" s="10" t="n">
        <v>2.473990084911516</v>
      </c>
      <c r="T53" s="10" t="n">
        <v>2.510344740202342</v>
      </c>
      <c r="U53" s="10" t="n">
        <v>2.545307507274648</v>
      </c>
      <c r="V53" s="10" t="n">
        <v>2.5785136561165</v>
      </c>
      <c r="W53" s="10" t="n">
        <v>2.609678609923197</v>
      </c>
      <c r="X53" s="10" t="n">
        <v>2.63858210789445</v>
      </c>
      <c r="Y53" s="10" t="n">
        <v>2.665065751354553</v>
      </c>
      <c r="Z53" s="10" t="n">
        <v>2.689046400379222</v>
      </c>
      <c r="AA53" s="10" t="n">
        <v>2.710511100301228</v>
      </c>
      <c r="AB53" s="10" t="n">
        <v>2.729502173715511</v>
      </c>
      <c r="AC53" s="10" t="n">
        <v>2.746094511199947</v>
      </c>
      <c r="AD53" s="10" t="n">
        <v>2.76038653425768</v>
      </c>
      <c r="AE53" s="10" t="n">
        <v>2.772496487327884</v>
      </c>
      <c r="AF53" s="10" t="n">
        <v>2.782559434265422</v>
      </c>
      <c r="AG53" s="10" t="n">
        <v>2.790721956078574</v>
      </c>
      <c r="AH53" s="10" t="n">
        <v>2.797125367254591</v>
      </c>
      <c r="AI53" s="10" t="n">
        <v>2.801905385485565</v>
      </c>
      <c r="AJ53" s="10" t="n">
        <v>2.805192119488346</v>
      </c>
      <c r="AK53" s="10" t="n">
        <v>2.807109638641551</v>
      </c>
      <c r="AL53" s="10" t="n">
        <v>2.80777468645449</v>
      </c>
      <c r="AM53" s="10" t="n">
        <v>2.807295731791148</v>
      </c>
      <c r="AN53" s="10" t="n">
        <v>2.805773381159237</v>
      </c>
      <c r="AO53" s="10" t="n">
        <v>2.803301122841511</v>
      </c>
      <c r="AP53" s="10" t="n">
        <v>2.799966504639192</v>
      </c>
      <c r="AQ53" s="10" t="n">
        <v>2.795852118239083</v>
      </c>
      <c r="AR53" s="10" t="n">
        <v>2.791036126159159</v>
      </c>
      <c r="AS53" s="10" t="n">
        <v>2.785592651267771</v>
      </c>
      <c r="AT53" s="10" t="n">
        <v>2.77959176584678</v>
      </c>
      <c r="AU53" s="10" t="n">
        <v>2.773099242047255</v>
      </c>
      <c r="AV53" s="10" t="n">
        <v>2.76617658927603</v>
      </c>
      <c r="AW53" s="10" t="n">
        <v>2.758880973610165</v>
      </c>
      <c r="AX53" s="10" t="n">
        <v>2.751265506690235</v>
      </c>
      <c r="AY53" s="10" t="n">
        <v>2.74337929402009</v>
      </c>
      <c r="AZ53" s="10" t="n">
        <v>2.735267343968076</v>
      </c>
      <c r="BA53" s="10" t="n">
        <v>2.726970876825392</v>
      </c>
      <c r="BB53" s="10" t="n">
        <v>2.718527679980994</v>
      </c>
      <c r="BC53" s="10" t="n">
        <v>2.709972416287657</v>
      </c>
      <c r="BD53" s="10" t="n">
        <v>2.701336760381663</v>
      </c>
      <c r="BE53" s="10" t="n">
        <v>2.69264946491353</v>
      </c>
      <c r="BF53" s="10" t="n">
        <v>2.683936266909821</v>
      </c>
      <c r="BG53" s="10" t="n">
        <v>2.675219976872847</v>
      </c>
    </row>
    <row r="54">
      <c r="A54" s="9" t="n">
        <v>-71</v>
      </c>
      <c r="B54" s="7" t="n">
        <v>44735</v>
      </c>
      <c r="C54" s="10" t="n">
        <v>1.948130989870695</v>
      </c>
      <c r="D54" s="10" t="n">
        <v>1.942995131362596</v>
      </c>
      <c r="E54" s="10" t="n">
        <v>1.935805309040082</v>
      </c>
      <c r="F54" s="10" t="n">
        <v>1.932416025435185</v>
      </c>
      <c r="G54" s="10" t="n">
        <v>1.93488281021659</v>
      </c>
      <c r="H54" s="10" t="n">
        <v>1.943628397398274</v>
      </c>
      <c r="I54" s="10" t="n">
        <v>1.958421684049593</v>
      </c>
      <c r="J54" s="10" t="n">
        <v>1.9787785208297</v>
      </c>
      <c r="K54" s="10" t="n">
        <v>2.004099645200634</v>
      </c>
      <c r="L54" s="10" t="n">
        <v>2.033729029304527</v>
      </c>
      <c r="M54" s="10" t="n">
        <v>2.06697681315504</v>
      </c>
      <c r="N54" s="10" t="n">
        <v>2.103134378623884</v>
      </c>
      <c r="O54" s="10" t="n">
        <v>2.141485816849929</v>
      </c>
      <c r="P54" s="10" t="n">
        <v>2.181316242806543</v>
      </c>
      <c r="Q54" s="10" t="n">
        <v>2.221916630536128</v>
      </c>
      <c r="R54" s="10" t="n">
        <v>2.262602890977155</v>
      </c>
      <c r="S54" s="10" t="n">
        <v>2.302744622319042</v>
      </c>
      <c r="T54" s="10" t="n">
        <v>2.341777979999278</v>
      </c>
      <c r="U54" s="10" t="n">
        <v>2.379225647593627</v>
      </c>
      <c r="V54" s="10" t="n">
        <v>2.414712804975222</v>
      </c>
      <c r="W54" s="10" t="n">
        <v>2.447948358975093</v>
      </c>
      <c r="X54" s="10" t="n">
        <v>2.478708411651994</v>
      </c>
      <c r="Y54" s="10" t="n">
        <v>2.506833999317936</v>
      </c>
      <c r="Z54" s="10" t="n">
        <v>2.532245469421182</v>
      </c>
      <c r="AA54" s="10" t="n">
        <v>2.554937234566865</v>
      </c>
      <c r="AB54" s="10" t="n">
        <v>2.574961993727585</v>
      </c>
      <c r="AC54" s="10" t="n">
        <v>2.5924064056886</v>
      </c>
      <c r="AD54" s="10" t="n">
        <v>2.607381564522788</v>
      </c>
      <c r="AE54" s="10" t="n">
        <v>2.620019149350206</v>
      </c>
      <c r="AF54" s="10" t="n">
        <v>2.630468305323099</v>
      </c>
      <c r="AG54" s="10" t="n">
        <v>2.638889947891703</v>
      </c>
      <c r="AH54" s="10" t="n">
        <v>2.645438642339856</v>
      </c>
      <c r="AI54" s="10" t="n">
        <v>2.650262485673959</v>
      </c>
      <c r="AJ54" s="10" t="n">
        <v>2.653503239259182</v>
      </c>
      <c r="AK54" s="10" t="n">
        <v>2.655295939204235</v>
      </c>
      <c r="AL54" s="10" t="n">
        <v>2.655767534061074</v>
      </c>
      <c r="AM54" s="10" t="n">
        <v>2.655035900926353</v>
      </c>
      <c r="AN54" s="10" t="n">
        <v>2.653210298485659</v>
      </c>
      <c r="AO54" s="10" t="n">
        <v>2.650392176307079</v>
      </c>
      <c r="AP54" s="10" t="n">
        <v>2.646676397950701</v>
      </c>
      <c r="AQ54" s="10" t="n">
        <v>2.642152261497432</v>
      </c>
      <c r="AR54" s="10" t="n">
        <v>2.636904018623761</v>
      </c>
      <c r="AS54" s="10" t="n">
        <v>2.631011221647645</v>
      </c>
      <c r="AT54" s="10" t="n">
        <v>2.624548714437491</v>
      </c>
      <c r="AU54" s="10" t="n">
        <v>2.617586378280575</v>
      </c>
      <c r="AV54" s="10" t="n">
        <v>2.610189198933829</v>
      </c>
      <c r="AW54" s="10" t="n">
        <v>2.602417204964994</v>
      </c>
      <c r="AX54" s="10" t="n">
        <v>2.594325780360169</v>
      </c>
      <c r="AY54" s="10" t="n">
        <v>2.585965699464905</v>
      </c>
      <c r="AZ54" s="10" t="n">
        <v>2.577383028437358</v>
      </c>
      <c r="BA54" s="10" t="n">
        <v>2.56861948319207</v>
      </c>
      <c r="BB54" s="10" t="n">
        <v>2.559712849053007</v>
      </c>
      <c r="BC54" s="10" t="n">
        <v>2.55069736759922</v>
      </c>
      <c r="BD54" s="10" t="n">
        <v>2.541604044645328</v>
      </c>
      <c r="BE54" s="10" t="n">
        <v>2.532460881315307</v>
      </c>
      <c r="BF54" s="10" t="n">
        <v>2.523292933830545</v>
      </c>
      <c r="BG54" s="10" t="n">
        <v>2.514122543681409</v>
      </c>
    </row>
    <row r="55">
      <c r="A55" s="9" t="n">
        <v>-70</v>
      </c>
      <c r="B55" s="7" t="n">
        <v>44736</v>
      </c>
      <c r="C55" s="10" t="n">
        <v>1.965563824917714</v>
      </c>
      <c r="D55" s="10" t="n">
        <v>1.959375285854425</v>
      </c>
      <c r="E55" s="10" t="n">
        <v>1.951895794957482</v>
      </c>
      <c r="F55" s="10" t="n">
        <v>1.948328553392984</v>
      </c>
      <c r="G55" s="10" t="n">
        <v>1.950526276777224</v>
      </c>
      <c r="H55" s="10" t="n">
        <v>1.958883932627456</v>
      </c>
      <c r="I55" s="10" t="n">
        <v>1.973209248706934</v>
      </c>
      <c r="J55" s="10" t="n">
        <v>1.993067871813982</v>
      </c>
      <c r="K55" s="10" t="n">
        <v>2.017903065720981</v>
      </c>
      <c r="L55" s="10" t="n">
        <v>2.047089919131569</v>
      </c>
      <c r="M55" s="10" t="n">
        <v>2.079955241318031</v>
      </c>
      <c r="N55" s="10" t="n">
        <v>2.115796216841887</v>
      </c>
      <c r="O55" s="10" t="n">
        <v>2.153894927901589</v>
      </c>
      <c r="P55" s="10" t="n">
        <v>2.193527844959339</v>
      </c>
      <c r="Q55" s="10" t="n">
        <v>2.233972122319595</v>
      </c>
      <c r="R55" s="10" t="n">
        <v>2.274526138886245</v>
      </c>
      <c r="S55" s="10" t="n">
        <v>2.314539919812503</v>
      </c>
      <c r="T55" s="10" t="n">
        <v>2.353428256783828</v>
      </c>
      <c r="U55" s="10" t="n">
        <v>2.390694496314247</v>
      </c>
      <c r="V55" s="10" t="n">
        <v>2.425950068219696</v>
      </c>
      <c r="W55" s="10" t="n">
        <v>2.458894724559087</v>
      </c>
      <c r="X55" s="10" t="n">
        <v>2.489299140712594</v>
      </c>
      <c r="Y55" s="10" t="n">
        <v>2.517003521471472</v>
      </c>
      <c r="Z55" s="10" t="n">
        <v>2.54193389919665</v>
      </c>
      <c r="AA55" s="10" t="n">
        <v>2.564095364624595</v>
      </c>
      <c r="AB55" s="10" t="n">
        <v>2.58355318182384</v>
      </c>
      <c r="AC55" s="10" t="n">
        <v>2.600406205466626</v>
      </c>
      <c r="AD55" s="10" t="n">
        <v>2.614777127193266</v>
      </c>
      <c r="AE55" s="10" t="n">
        <v>2.62680872033867</v>
      </c>
      <c r="AF55" s="10" t="n">
        <v>2.636660797074199</v>
      </c>
      <c r="AG55" s="10" t="n">
        <v>2.644504083573467</v>
      </c>
      <c r="AH55" s="10" t="n">
        <v>2.650500543800495</v>
      </c>
      <c r="AI55" s="10" t="n">
        <v>2.654803705597196</v>
      </c>
      <c r="AJ55" s="10" t="n">
        <v>2.657558951685215</v>
      </c>
      <c r="AK55" s="10" t="n">
        <v>2.658903317687912</v>
      </c>
      <c r="AL55" s="10" t="n">
        <v>2.658964232652933</v>
      </c>
      <c r="AM55" s="10" t="n">
        <v>2.657858705986984</v>
      </c>
      <c r="AN55" s="10" t="n">
        <v>2.655693976748146</v>
      </c>
      <c r="AO55" s="10" t="n">
        <v>2.6525684870216</v>
      </c>
      <c r="AP55" s="10" t="n">
        <v>2.648573253557081</v>
      </c>
      <c r="AQ55" s="10" t="n">
        <v>2.643793004592716</v>
      </c>
      <c r="AR55" s="10" t="n">
        <v>2.638306853244534</v>
      </c>
      <c r="AS55" s="10" t="n">
        <v>2.632188821952142</v>
      </c>
      <c r="AT55" s="10" t="n">
        <v>2.625507997869886</v>
      </c>
      <c r="AU55" s="10" t="n">
        <v>2.61832848718981</v>
      </c>
      <c r="AV55" s="10" t="n">
        <v>2.610709635465962</v>
      </c>
      <c r="AW55" s="10" t="n">
        <v>2.602706170015055</v>
      </c>
      <c r="AX55" s="10" t="n">
        <v>2.594368574126587</v>
      </c>
      <c r="AY55" s="10" t="n">
        <v>2.585743279033839</v>
      </c>
      <c r="AZ55" s="10" t="n">
        <v>2.576872752638815</v>
      </c>
      <c r="BA55" s="10" t="n">
        <v>2.56779583302442</v>
      </c>
      <c r="BB55" s="10" t="n">
        <v>2.558548220437991</v>
      </c>
      <c r="BC55" s="10" t="n">
        <v>2.549162998913673</v>
      </c>
      <c r="BD55" s="10" t="n">
        <v>2.539670935974882</v>
      </c>
      <c r="BE55" s="10" t="n">
        <v>2.530100661479581</v>
      </c>
      <c r="BF55" s="10" t="n">
        <v>2.520478617184065</v>
      </c>
      <c r="BG55" s="10" t="n">
        <v>2.51082920433407</v>
      </c>
    </row>
    <row r="56">
      <c r="A56" s="9" t="n">
        <v>-69</v>
      </c>
      <c r="B56" s="7" t="n">
        <v>44739</v>
      </c>
      <c r="C56" s="10" t="n">
        <v>2.03541273223887</v>
      </c>
      <c r="D56" s="10" t="n">
        <v>2.030185817895543</v>
      </c>
      <c r="E56" s="10" t="n">
        <v>2.023665195283138</v>
      </c>
      <c r="F56" s="10" t="n">
        <v>2.021206540639374</v>
      </c>
      <c r="G56" s="10" t="n">
        <v>2.024640457243372</v>
      </c>
      <c r="H56" s="10" t="n">
        <v>2.034301749539291</v>
      </c>
      <c r="I56" s="10" t="n">
        <v>2.049941817252432</v>
      </c>
      <c r="J56" s="10" t="n">
        <v>2.071085787620063</v>
      </c>
      <c r="K56" s="10" t="n">
        <v>2.097149817385308</v>
      </c>
      <c r="L56" s="10" t="n">
        <v>2.127492386225649</v>
      </c>
      <c r="M56" s="10" t="n">
        <v>2.161428382029172</v>
      </c>
      <c r="N56" s="10" t="n">
        <v>2.198245401855439</v>
      </c>
      <c r="O56" s="10" t="n">
        <v>2.237218242531944</v>
      </c>
      <c r="P56" s="10" t="n">
        <v>2.277619062627543</v>
      </c>
      <c r="Q56" s="10" t="n">
        <v>2.318723736028069</v>
      </c>
      <c r="R56" s="10" t="n">
        <v>2.35983260106536</v>
      </c>
      <c r="S56" s="10" t="n">
        <v>2.400300152670106</v>
      </c>
      <c r="T56" s="10" t="n">
        <v>2.439547452932196</v>
      </c>
      <c r="U56" s="10" t="n">
        <v>2.47708601256152</v>
      </c>
      <c r="V56" s="10" t="n">
        <v>2.512537371375394</v>
      </c>
      <c r="W56" s="10" t="n">
        <v>2.545612921150813</v>
      </c>
      <c r="X56" s="10" t="n">
        <v>2.576096208601416</v>
      </c>
      <c r="Y56" s="10" t="n">
        <v>2.603841346089752</v>
      </c>
      <c r="Z56" s="10" t="n">
        <v>2.628788846072737</v>
      </c>
      <c r="AA56" s="10" t="n">
        <v>2.650958317106725</v>
      </c>
      <c r="AB56" s="10" t="n">
        <v>2.670428461234191</v>
      </c>
      <c r="AC56" s="10" t="n">
        <v>2.687309131883806</v>
      </c>
      <c r="AD56" s="10" t="n">
        <v>2.701731654727204</v>
      </c>
      <c r="AE56" s="10" t="n">
        <v>2.7138454409219</v>
      </c>
      <c r="AF56" s="10" t="n">
        <v>2.723815246644409</v>
      </c>
      <c r="AG56" s="10" t="n">
        <v>2.731814998516295</v>
      </c>
      <c r="AH56" s="10" t="n">
        <v>2.738007180525587</v>
      </c>
      <c r="AI56" s="10" t="n">
        <v>2.742543649366378</v>
      </c>
      <c r="AJ56" s="10" t="n">
        <v>2.745566441227199</v>
      </c>
      <c r="AK56" s="10" t="n">
        <v>2.747207841524267</v>
      </c>
      <c r="AL56" s="10" t="n">
        <v>2.747589478444738</v>
      </c>
      <c r="AM56" s="10" t="n">
        <v>2.746821863445768</v>
      </c>
      <c r="AN56" s="10" t="n">
        <v>2.745005407130304</v>
      </c>
      <c r="AO56" s="10" t="n">
        <v>2.742231593056133</v>
      </c>
      <c r="AP56" s="10" t="n">
        <v>2.738584647023904</v>
      </c>
      <c r="AQ56" s="10" t="n">
        <v>2.734142889124037</v>
      </c>
      <c r="AR56" s="10" t="n">
        <v>2.728979537895132</v>
      </c>
      <c r="AS56" s="10" t="n">
        <v>2.723163405688769</v>
      </c>
      <c r="AT56" s="10" t="n">
        <v>2.716759087644326</v>
      </c>
      <c r="AU56" s="10" t="n">
        <v>2.709826957871885</v>
      </c>
      <c r="AV56" s="10" t="n">
        <v>2.702423384346715</v>
      </c>
      <c r="AW56" s="10" t="n">
        <v>2.694600889138374</v>
      </c>
      <c r="AX56" s="10" t="n">
        <v>2.686408489356887</v>
      </c>
      <c r="AY56" s="10" t="n">
        <v>2.6778918563793</v>
      </c>
      <c r="AZ56" s="10" t="n">
        <v>2.669093366291952</v>
      </c>
      <c r="BA56" s="10" t="n">
        <v>2.660052376525136</v>
      </c>
      <c r="BB56" s="10" t="n">
        <v>2.650805670312154</v>
      </c>
      <c r="BC56" s="10" t="n">
        <v>2.641387933357302</v>
      </c>
      <c r="BD56" s="10" t="n">
        <v>2.63183197813968</v>
      </c>
      <c r="BE56" s="10" t="n">
        <v>2.622168841908769</v>
      </c>
      <c r="BF56" s="10" t="n">
        <v>2.612427629670139</v>
      </c>
      <c r="BG56" s="10" t="n">
        <v>2.602635606131892</v>
      </c>
    </row>
    <row r="57">
      <c r="A57" s="9" t="n">
        <v>-68</v>
      </c>
      <c r="B57" s="7" t="n">
        <v>44740</v>
      </c>
      <c r="C57" s="10" t="n">
        <v>2.149400625796038</v>
      </c>
      <c r="D57" s="10" t="n">
        <v>2.144372791670507</v>
      </c>
      <c r="E57" s="10" t="n">
        <v>2.136473850109987</v>
      </c>
      <c r="F57" s="10" t="n">
        <v>2.131978063429629</v>
      </c>
      <c r="G57" s="10" t="n">
        <v>2.133036528931527</v>
      </c>
      <c r="H57" s="10" t="n">
        <v>2.140137489613486</v>
      </c>
      <c r="I57" s="10" t="n">
        <v>2.153135931608003</v>
      </c>
      <c r="J57" s="10" t="n">
        <v>2.171645416051946</v>
      </c>
      <c r="K57" s="10" t="n">
        <v>2.195163025446523</v>
      </c>
      <c r="L57" s="10" t="n">
        <v>2.223121623455144</v>
      </c>
      <c r="M57" s="10" t="n">
        <v>2.254895200103058</v>
      </c>
      <c r="N57" s="10" t="n">
        <v>2.289810579821913</v>
      </c>
      <c r="O57" s="10" t="n">
        <v>2.327162394205819</v>
      </c>
      <c r="P57" s="10" t="n">
        <v>2.366225775204877</v>
      </c>
      <c r="Q57" s="10" t="n">
        <v>2.406265949384095</v>
      </c>
      <c r="R57" s="10" t="n">
        <v>2.44656198539591</v>
      </c>
      <c r="S57" s="10" t="n">
        <v>2.486439979715294</v>
      </c>
      <c r="T57" s="10" t="n">
        <v>2.525286435998639</v>
      </c>
      <c r="U57" s="10" t="n">
        <v>2.562575869070576</v>
      </c>
      <c r="V57" s="10" t="n">
        <v>2.597894897944747</v>
      </c>
      <c r="W57" s="10" t="n">
        <v>2.630921884729314</v>
      </c>
      <c r="X57" s="10" t="n">
        <v>2.661408907685927</v>
      </c>
      <c r="Y57" s="10" t="n">
        <v>2.689181679455379</v>
      </c>
      <c r="Z57" s="10" t="n">
        <v>2.714158629433527</v>
      </c>
      <c r="AA57" s="10" t="n">
        <v>2.73634287842384</v>
      </c>
      <c r="AB57" s="10" t="n">
        <v>2.755800690592299</v>
      </c>
      <c r="AC57" s="10" t="n">
        <v>2.77263322771216</v>
      </c>
      <c r="AD57" s="10" t="n">
        <v>2.786966446555964</v>
      </c>
      <c r="AE57" s="10" t="n">
        <v>2.798947195399838</v>
      </c>
      <c r="AF57" s="10" t="n">
        <v>2.808740048339708</v>
      </c>
      <c r="AG57" s="10" t="n">
        <v>2.816520727585807</v>
      </c>
      <c r="AH57" s="10" t="n">
        <v>2.822455263168022</v>
      </c>
      <c r="AI57" s="10" t="n">
        <v>2.826700439293427</v>
      </c>
      <c r="AJ57" s="10" t="n">
        <v>2.82940390233025</v>
      </c>
      <c r="AK57" s="10" t="n">
        <v>2.83070398910464</v>
      </c>
      <c r="AL57" s="10" t="n">
        <v>2.830728403453112</v>
      </c>
      <c r="AM57" s="10" t="n">
        <v>2.829593431508632</v>
      </c>
      <c r="AN57" s="10" t="n">
        <v>2.827404745112999</v>
      </c>
      <c r="AO57" s="10" t="n">
        <v>2.824258503670968</v>
      </c>
      <c r="AP57" s="10" t="n">
        <v>2.820242852244727</v>
      </c>
      <c r="AQ57" s="10" t="n">
        <v>2.815439157550086</v>
      </c>
      <c r="AR57" s="10" t="n">
        <v>2.809922823995405</v>
      </c>
      <c r="AS57" s="10" t="n">
        <v>2.803763983327296</v>
      </c>
      <c r="AT57" s="10" t="n">
        <v>2.797027787998229</v>
      </c>
      <c r="AU57" s="10" t="n">
        <v>2.789774532321746</v>
      </c>
      <c r="AV57" s="10" t="n">
        <v>2.782059995893701</v>
      </c>
      <c r="AW57" s="10" t="n">
        <v>2.773935748637404</v>
      </c>
      <c r="AX57" s="10" t="n">
        <v>2.765449568290712</v>
      </c>
      <c r="AY57" s="10" t="n">
        <v>2.756645738134231</v>
      </c>
      <c r="AZ57" s="10" t="n">
        <v>2.747565246779613</v>
      </c>
      <c r="BA57" s="10" t="n">
        <v>2.738246088019019</v>
      </c>
      <c r="BB57" s="10" t="n">
        <v>2.728723775090466</v>
      </c>
      <c r="BC57" s="10" t="n">
        <v>2.719031912373319</v>
      </c>
      <c r="BD57" s="10" t="n">
        <v>2.70920244560309</v>
      </c>
      <c r="BE57" s="10" t="n">
        <v>2.699265768527232</v>
      </c>
      <c r="BF57" s="10" t="n">
        <v>2.689250569391262</v>
      </c>
      <c r="BG57" s="10" t="n">
        <v>2.679183914540046</v>
      </c>
    </row>
    <row r="58">
      <c r="A58" s="9" t="n">
        <v>-67</v>
      </c>
      <c r="B58" s="7" t="n">
        <v>44741</v>
      </c>
      <c r="C58" s="10" t="n">
        <v>2.069040880780374</v>
      </c>
      <c r="D58" s="10" t="n">
        <v>2.063987808107254</v>
      </c>
      <c r="E58" s="10" t="n">
        <v>2.056032230559225</v>
      </c>
      <c r="F58" s="10" t="n">
        <v>2.051081409109294</v>
      </c>
      <c r="G58" s="10" t="n">
        <v>2.051252297809301</v>
      </c>
      <c r="H58" s="10" t="n">
        <v>2.057110696538935</v>
      </c>
      <c r="I58" s="10" t="n">
        <v>2.0686259323899</v>
      </c>
      <c r="J58" s="10" t="n">
        <v>2.085538953559882</v>
      </c>
      <c r="K58" s="10" t="n">
        <v>2.107475029563315</v>
      </c>
      <c r="L58" s="10" t="n">
        <v>2.133988135813687</v>
      </c>
      <c r="M58" s="10" t="n">
        <v>2.164553370868214</v>
      </c>
      <c r="N58" s="10" t="n">
        <v>2.198573360995944</v>
      </c>
      <c r="O58" s="10" t="n">
        <v>2.235395821898628</v>
      </c>
      <c r="P58" s="10" t="n">
        <v>2.274328878882667</v>
      </c>
      <c r="Q58" s="10" t="n">
        <v>2.314653704619452</v>
      </c>
      <c r="R58" s="10" t="n">
        <v>2.355649342095262</v>
      </c>
      <c r="S58" s="10" t="n">
        <v>2.396627092828001</v>
      </c>
      <c r="T58" s="10" t="n">
        <v>2.436943715611272</v>
      </c>
      <c r="U58" s="10" t="n">
        <v>2.476032320666567</v>
      </c>
      <c r="V58" s="10" t="n">
        <v>2.513431102179868</v>
      </c>
      <c r="W58" s="10" t="n">
        <v>2.548764555992903</v>
      </c>
      <c r="X58" s="10" t="n">
        <v>2.581726592395585</v>
      </c>
      <c r="Y58" s="10" t="n">
        <v>2.612083128719761</v>
      </c>
      <c r="Z58" s="10" t="n">
        <v>2.639695352298978</v>
      </c>
      <c r="AA58" s="10" t="n">
        <v>2.664513010607453</v>
      </c>
      <c r="AB58" s="10" t="n">
        <v>2.686554881578949</v>
      </c>
      <c r="AC58" s="10" t="n">
        <v>2.705883124995825</v>
      </c>
      <c r="AD58" s="10" t="n">
        <v>2.722592709595776</v>
      </c>
      <c r="AE58" s="10" t="n">
        <v>2.73680626421558</v>
      </c>
      <c r="AF58" s="10" t="n">
        <v>2.748669886523381</v>
      </c>
      <c r="AG58" s="10" t="n">
        <v>2.758346041452389</v>
      </c>
      <c r="AH58" s="10" t="n">
        <v>2.765993872528795</v>
      </c>
      <c r="AI58" s="10" t="n">
        <v>2.771768822690356</v>
      </c>
      <c r="AJ58" s="10" t="n">
        <v>2.77582161204437</v>
      </c>
      <c r="AK58" s="10" t="n">
        <v>2.778297409509663</v>
      </c>
      <c r="AL58" s="10" t="n">
        <v>2.779333474047468</v>
      </c>
      <c r="AM58" s="10" t="n">
        <v>2.779057459807309</v>
      </c>
      <c r="AN58" s="10" t="n">
        <v>2.77758731689795</v>
      </c>
      <c r="AO58" s="10" t="n">
        <v>2.775031947892746</v>
      </c>
      <c r="AP58" s="10" t="n">
        <v>2.771492300170856</v>
      </c>
      <c r="AQ58" s="10" t="n">
        <v>2.767062307313732</v>
      </c>
      <c r="AR58" s="10" t="n">
        <v>2.761829569119764</v>
      </c>
      <c r="AS58" s="10" t="n">
        <v>2.755875874214395</v>
      </c>
      <c r="AT58" s="10" t="n">
        <v>2.749277342968728</v>
      </c>
      <c r="AU58" s="10" t="n">
        <v>2.742104365914792</v>
      </c>
      <c r="AV58" s="10" t="n">
        <v>2.734421904843089</v>
      </c>
      <c r="AW58" s="10" t="n">
        <v>2.726289732356338</v>
      </c>
      <c r="AX58" s="10" t="n">
        <v>2.717762848680626</v>
      </c>
      <c r="AY58" s="10" t="n">
        <v>2.70889179129703</v>
      </c>
      <c r="AZ58" s="10" t="n">
        <v>2.699722890629032</v>
      </c>
      <c r="BA58" s="10" t="n">
        <v>2.690298650781747</v>
      </c>
      <c r="BB58" s="10" t="n">
        <v>2.680658343178555</v>
      </c>
      <c r="BC58" s="10" t="n">
        <v>2.670838649395961</v>
      </c>
      <c r="BD58" s="10" t="n">
        <v>2.660873993479387</v>
      </c>
      <c r="BE58" s="10" t="n">
        <v>2.650796720007612</v>
      </c>
      <c r="BF58" s="10" t="n">
        <v>2.640636998247461</v>
      </c>
      <c r="BG58" s="10" t="n">
        <v>2.630422981941888</v>
      </c>
    </row>
    <row r="59">
      <c r="A59" s="9" t="n">
        <v>-66</v>
      </c>
      <c r="B59" s="7" t="n">
        <v>44742</v>
      </c>
      <c r="C59" s="10" t="n">
        <v>1.911590965716639</v>
      </c>
      <c r="D59" s="10" t="n">
        <v>1.907809075722809</v>
      </c>
      <c r="E59" s="10" t="n">
        <v>1.902861091944961</v>
      </c>
      <c r="F59" s="10" t="n">
        <v>1.901806259715977</v>
      </c>
      <c r="G59" s="10" t="n">
        <v>1.906322389408043</v>
      </c>
      <c r="H59" s="10" t="n">
        <v>1.916703258653746</v>
      </c>
      <c r="I59" s="10" t="n">
        <v>1.932737171602252</v>
      </c>
      <c r="J59" s="10" t="n">
        <v>1.954045016581763</v>
      </c>
      <c r="K59" s="10" t="n">
        <v>1.980172742403983</v>
      </c>
      <c r="L59" s="10" t="n">
        <v>2.010627304172507</v>
      </c>
      <c r="M59" s="10" t="n">
        <v>2.044863667793881</v>
      </c>
      <c r="N59" s="10" t="n">
        <v>2.082285895835191</v>
      </c>
      <c r="O59" s="10" t="n">
        <v>2.122259695031596</v>
      </c>
      <c r="P59" s="10" t="n">
        <v>2.16412185836507</v>
      </c>
      <c r="Q59" s="10" t="n">
        <v>2.207188813645546</v>
      </c>
      <c r="R59" s="10" t="n">
        <v>2.250776973695725</v>
      </c>
      <c r="S59" s="10" t="n">
        <v>2.294233242450882</v>
      </c>
      <c r="T59" s="10" t="n">
        <v>2.3369463876034</v>
      </c>
      <c r="U59" s="10" t="n">
        <v>2.378375651565335</v>
      </c>
      <c r="V59" s="10" t="n">
        <v>2.41807723838467</v>
      </c>
      <c r="W59" s="10" t="n">
        <v>2.455686934553513</v>
      </c>
      <c r="X59" s="10" t="n">
        <v>2.490904561454539</v>
      </c>
      <c r="Y59" s="10" t="n">
        <v>2.523497034963448</v>
      </c>
      <c r="Z59" s="10" t="n">
        <v>2.553320877160515</v>
      </c>
      <c r="AA59" s="10" t="n">
        <v>2.580317267259601</v>
      </c>
      <c r="AB59" s="10" t="n">
        <v>2.604495352033493</v>
      </c>
      <c r="AC59" s="10" t="n">
        <v>2.625908004316097</v>
      </c>
      <c r="AD59" s="10" t="n">
        <v>2.644641478706614</v>
      </c>
      <c r="AE59" s="10" t="n">
        <v>2.660810175842481</v>
      </c>
      <c r="AF59" s="10" t="n">
        <v>2.674552377444432</v>
      </c>
      <c r="AG59" s="10" t="n">
        <v>2.686023197567969</v>
      </c>
      <c r="AH59" s="10" t="n">
        <v>2.695375648775193</v>
      </c>
      <c r="AI59" s="10" t="n">
        <v>2.702760287575378</v>
      </c>
      <c r="AJ59" s="10" t="n">
        <v>2.708324273709567</v>
      </c>
      <c r="AK59" s="10" t="n">
        <v>2.712210475760649</v>
      </c>
      <c r="AL59" s="10" t="n">
        <v>2.714554917214748</v>
      </c>
      <c r="AM59" s="10" t="n">
        <v>2.715484966674536</v>
      </c>
      <c r="AN59" s="10" t="n">
        <v>2.715119209583143</v>
      </c>
      <c r="AO59" s="10" t="n">
        <v>2.713568038578679</v>
      </c>
      <c r="AP59" s="10" t="n">
        <v>2.710934643656632</v>
      </c>
      <c r="AQ59" s="10" t="n">
        <v>2.707315854335038</v>
      </c>
      <c r="AR59" s="10" t="n">
        <v>2.702802580749209</v>
      </c>
      <c r="AS59" s="10" t="n">
        <v>2.697480059573157</v>
      </c>
      <c r="AT59" s="10" t="n">
        <v>2.691427823893086</v>
      </c>
      <c r="AU59" s="10" t="n">
        <v>2.684719473448753</v>
      </c>
      <c r="AV59" s="10" t="n">
        <v>2.677422962358735</v>
      </c>
      <c r="AW59" s="10" t="n">
        <v>2.669600856647231</v>
      </c>
      <c r="AX59" s="10" t="n">
        <v>2.661310863232772</v>
      </c>
      <c r="AY59" s="10" t="n">
        <v>2.652606351954597</v>
      </c>
      <c r="AZ59" s="10" t="n">
        <v>2.643536788834372</v>
      </c>
      <c r="BA59" s="10" t="n">
        <v>2.634148121502125</v>
      </c>
      <c r="BB59" s="10" t="n">
        <v>2.624483473726327</v>
      </c>
      <c r="BC59" s="10" t="n">
        <v>2.614583918522193</v>
      </c>
      <c r="BD59" s="10" t="n">
        <v>2.604488709287206</v>
      </c>
      <c r="BE59" s="10" t="n">
        <v>2.594235315243045</v>
      </c>
      <c r="BF59" s="10" t="n">
        <v>2.583859113481579</v>
      </c>
      <c r="BG59" s="10" t="n">
        <v>2.573393432857577</v>
      </c>
    </row>
    <row r="60">
      <c r="A60" s="9" t="n">
        <v>-65</v>
      </c>
      <c r="B60" s="7" t="n">
        <v>44743</v>
      </c>
      <c r="C60" s="10" t="n">
        <v>1.686365913886579</v>
      </c>
      <c r="D60" s="10" t="n">
        <v>1.681944604911984</v>
      </c>
      <c r="E60" s="10" t="n">
        <v>1.679212489501484</v>
      </c>
      <c r="F60" s="10" t="n">
        <v>1.681737357746242</v>
      </c>
      <c r="G60" s="10" t="n">
        <v>1.690521578040419</v>
      </c>
      <c r="H60" s="10" t="n">
        <v>1.70548137329171</v>
      </c>
      <c r="I60" s="10" t="n">
        <v>1.726153866347401</v>
      </c>
      <c r="J60" s="10" t="n">
        <v>1.751986747455686</v>
      </c>
      <c r="K60" s="10" t="n">
        <v>1.78241314368689</v>
      </c>
      <c r="L60" s="10" t="n">
        <v>1.816872387396277</v>
      </c>
      <c r="M60" s="10" t="n">
        <v>1.854791541808985</v>
      </c>
      <c r="N60" s="10" t="n">
        <v>1.895575439977961</v>
      </c>
      <c r="O60" s="10" t="n">
        <v>1.938607696632153</v>
      </c>
      <c r="P60" s="10" t="n">
        <v>1.983250224899763</v>
      </c>
      <c r="Q60" s="10" t="n">
        <v>2.028847478624346</v>
      </c>
      <c r="R60" s="10" t="n">
        <v>2.074742553569972</v>
      </c>
      <c r="S60" s="10" t="n">
        <v>2.12030568269692</v>
      </c>
      <c r="T60" s="10" t="n">
        <v>2.164943599485863</v>
      </c>
      <c r="U60" s="10" t="n">
        <v>2.208129781814625</v>
      </c>
      <c r="V60" s="10" t="n">
        <v>2.249432515136109</v>
      </c>
      <c r="W60" s="10" t="n">
        <v>2.288497877595856</v>
      </c>
      <c r="X60" s="10" t="n">
        <v>2.325034596631139</v>
      </c>
      <c r="Y60" s="10" t="n">
        <v>2.358818075361348</v>
      </c>
      <c r="Z60" s="10" t="n">
        <v>2.389713268706118</v>
      </c>
      <c r="AA60" s="10" t="n">
        <v>2.417669642747778</v>
      </c>
      <c r="AB60" s="10" t="n">
        <v>2.442704513259925</v>
      </c>
      <c r="AC60" s="10" t="n">
        <v>2.464879072652536</v>
      </c>
      <c r="AD60" s="10" t="n">
        <v>2.484288210082184</v>
      </c>
      <c r="AE60" s="10" t="n">
        <v>2.501055229922846</v>
      </c>
      <c r="AF60" s="10" t="n">
        <v>2.515327545725238</v>
      </c>
      <c r="AG60" s="10" t="n">
        <v>2.527269458863687</v>
      </c>
      <c r="AH60" s="10" t="n">
        <v>2.537043362088617</v>
      </c>
      <c r="AI60" s="10" t="n">
        <v>2.544809342904083</v>
      </c>
      <c r="AJ60" s="10" t="n">
        <v>2.550723856688636</v>
      </c>
      <c r="AK60" s="10" t="n">
        <v>2.554938785077118</v>
      </c>
      <c r="AL60" s="10" t="n">
        <v>2.557598557076776</v>
      </c>
      <c r="AM60" s="10" t="n">
        <v>2.558838230316204</v>
      </c>
      <c r="AN60" s="10" t="n">
        <v>2.558783497163509</v>
      </c>
      <c r="AO60" s="10" t="n">
        <v>2.557551397865963</v>
      </c>
      <c r="AP60" s="10" t="n">
        <v>2.555251480202162</v>
      </c>
      <c r="AQ60" s="10" t="n">
        <v>2.55198676100287</v>
      </c>
      <c r="AR60" s="10" t="n">
        <v>2.547854211620094</v>
      </c>
      <c r="AS60" s="10" t="n">
        <v>2.542945044011175</v>
      </c>
      <c r="AT60" s="10" t="n">
        <v>2.537344513133115</v>
      </c>
      <c r="AU60" s="10" t="n">
        <v>2.531131487544973</v>
      </c>
      <c r="AV60" s="10" t="n">
        <v>2.52437862207863</v>
      </c>
      <c r="AW60" s="10" t="n">
        <v>2.517152470828639</v>
      </c>
      <c r="AX60" s="10" t="n">
        <v>2.50951397226713</v>
      </c>
      <c r="AY60" s="10" t="n">
        <v>2.501518831406392</v>
      </c>
      <c r="AZ60" s="10" t="n">
        <v>2.493217834637771</v>
      </c>
      <c r="BA60" s="10" t="n">
        <v>2.484657299620668</v>
      </c>
      <c r="BB60" s="10" t="n">
        <v>2.475879774456989</v>
      </c>
      <c r="BC60" s="10" t="n">
        <v>2.466924758728921</v>
      </c>
      <c r="BD60" s="10" t="n">
        <v>2.457828939826208</v>
      </c>
      <c r="BE60" s="10" t="n">
        <v>2.448626242547531</v>
      </c>
      <c r="BF60" s="10" t="n">
        <v>2.439347517203366</v>
      </c>
      <c r="BG60" s="10" t="n">
        <v>2.430020633775126</v>
      </c>
    </row>
    <row r="61">
      <c r="A61" s="9" t="n">
        <v>-64</v>
      </c>
      <c r="B61" s="7" t="n">
        <v>44746</v>
      </c>
      <c r="C61" s="10" t="n">
        <v>1.846748585140652</v>
      </c>
      <c r="D61" s="10" t="n">
        <v>1.839700818612283</v>
      </c>
      <c r="E61" s="10" t="n">
        <v>1.833969845187288</v>
      </c>
      <c r="F61" s="10" t="n">
        <v>1.833547984403997</v>
      </c>
      <c r="G61" s="10" t="n">
        <v>1.839494874111246</v>
      </c>
      <c r="H61" s="10" t="n">
        <v>1.851732281088768</v>
      </c>
      <c r="I61" s="10" t="n">
        <v>1.869813726599334</v>
      </c>
      <c r="J61" s="10" t="n">
        <v>1.893215099692622</v>
      </c>
      <c r="K61" s="10" t="n">
        <v>1.921402141354816</v>
      </c>
      <c r="L61" s="10" t="n">
        <v>1.953842040398865</v>
      </c>
      <c r="M61" s="10" t="n">
        <v>1.989983815434873</v>
      </c>
      <c r="N61" s="10" t="n">
        <v>2.02924676543861</v>
      </c>
      <c r="O61" s="10" t="n">
        <v>2.071022281514739</v>
      </c>
      <c r="P61" s="10" t="n">
        <v>2.114673365582249</v>
      </c>
      <c r="Q61" s="10" t="n">
        <v>2.159539565208338</v>
      </c>
      <c r="R61" s="10" t="n">
        <v>2.204952796653922</v>
      </c>
      <c r="S61" s="10" t="n">
        <v>2.250267091578393</v>
      </c>
      <c r="T61" s="10" t="n">
        <v>2.294868378427059</v>
      </c>
      <c r="U61" s="10" t="n">
        <v>2.338205960858519</v>
      </c>
      <c r="V61" s="10" t="n">
        <v>2.379822344894023</v>
      </c>
      <c r="W61" s="10" t="n">
        <v>2.419336586407731</v>
      </c>
      <c r="X61" s="10" t="n">
        <v>2.456429427246182</v>
      </c>
      <c r="Y61" s="10" t="n">
        <v>2.490848295435211</v>
      </c>
      <c r="Z61" s="10" t="n">
        <v>2.522431440967026</v>
      </c>
      <c r="AA61" s="10" t="n">
        <v>2.551102648222408</v>
      </c>
      <c r="AB61" s="10" t="n">
        <v>2.576855046755648</v>
      </c>
      <c r="AC61" s="10" t="n">
        <v>2.599729163762369</v>
      </c>
      <c r="AD61" s="10" t="n">
        <v>2.6198027578778</v>
      </c>
      <c r="AE61" s="10" t="n">
        <v>2.637184989012722</v>
      </c>
      <c r="AF61" s="10" t="n">
        <v>2.652011659835854</v>
      </c>
      <c r="AG61" s="10" t="n">
        <v>2.664437960698778</v>
      </c>
      <c r="AH61" s="10" t="n">
        <v>2.674621101267703</v>
      </c>
      <c r="AI61" s="10" t="n">
        <v>2.682719416230378</v>
      </c>
      <c r="AJ61" s="10" t="n">
        <v>2.688890436793673</v>
      </c>
      <c r="AK61" s="10" t="n">
        <v>2.693289600819272</v>
      </c>
      <c r="AL61" s="10" t="n">
        <v>2.696066939295667</v>
      </c>
      <c r="AM61" s="10" t="n">
        <v>2.697364765473207</v>
      </c>
      <c r="AN61" s="10" t="n">
        <v>2.697317172279828</v>
      </c>
      <c r="AO61" s="10" t="n">
        <v>2.696050421062027</v>
      </c>
      <c r="AP61" s="10" t="n">
        <v>2.693683522742499</v>
      </c>
      <c r="AQ61" s="10" t="n">
        <v>2.690328788263717</v>
      </c>
      <c r="AR61" s="10" t="n">
        <v>2.686092010942556</v>
      </c>
      <c r="AS61" s="10" t="n">
        <v>2.681072412213315</v>
      </c>
      <c r="AT61" s="10" t="n">
        <v>2.675362362648429</v>
      </c>
      <c r="AU61" s="10" t="n">
        <v>2.669046895705133</v>
      </c>
      <c r="AV61" s="10" t="n">
        <v>2.662203896791118</v>
      </c>
      <c r="AW61" s="10" t="n">
        <v>2.654904217358273</v>
      </c>
      <c r="AX61" s="10" t="n">
        <v>2.647212194798988</v>
      </c>
      <c r="AY61" s="10" t="n">
        <v>2.639186064182167</v>
      </c>
      <c r="AZ61" s="10" t="n">
        <v>2.630878323833599</v>
      </c>
      <c r="BA61" s="10" t="n">
        <v>2.622336256541294</v>
      </c>
      <c r="BB61" s="10" t="n">
        <v>2.613602673929161</v>
      </c>
      <c r="BC61" s="10" t="n">
        <v>2.604716666137373</v>
      </c>
      <c r="BD61" s="10" t="n">
        <v>2.595713900298568</v>
      </c>
      <c r="BE61" s="10" t="n">
        <v>2.586626736609746</v>
      </c>
      <c r="BF61" s="10" t="n">
        <v>2.577483997182718</v>
      </c>
      <c r="BG61" s="10" t="n">
        <v>2.568311104252764</v>
      </c>
    </row>
    <row r="62">
      <c r="A62" s="9" t="n">
        <v>-63</v>
      </c>
      <c r="B62" s="7" t="n">
        <v>44747</v>
      </c>
      <c r="C62" s="10" t="n">
        <v>1.737451592809131</v>
      </c>
      <c r="D62" s="10" t="n">
        <v>1.723080019151543</v>
      </c>
      <c r="E62" s="10" t="n">
        <v>1.713328270694175</v>
      </c>
      <c r="F62" s="10" t="n">
        <v>1.710692475414026</v>
      </c>
      <c r="G62" s="10" t="n">
        <v>1.715375397203704</v>
      </c>
      <c r="H62" s="10" t="n">
        <v>1.726833393048</v>
      </c>
      <c r="I62" s="10" t="n">
        <v>1.744383966111503</v>
      </c>
      <c r="J62" s="10" t="n">
        <v>1.767394994287593</v>
      </c>
      <c r="K62" s="10" t="n">
        <v>1.795297080633199</v>
      </c>
      <c r="L62" s="10" t="n">
        <v>1.827561102251561</v>
      </c>
      <c r="M62" s="10" t="n">
        <v>1.863661304088776</v>
      </c>
      <c r="N62" s="10" t="n">
        <v>1.90305051083894</v>
      </c>
      <c r="O62" s="10" t="n">
        <v>1.945153300787568</v>
      </c>
      <c r="P62" s="10" t="n">
        <v>1.989358483284142</v>
      </c>
      <c r="Q62" s="10" t="n">
        <v>2.035022104125912</v>
      </c>
      <c r="R62" s="10" t="n">
        <v>2.081480473447963</v>
      </c>
      <c r="S62" s="10" t="n">
        <v>2.128080750990748</v>
      </c>
      <c r="T62" s="10" t="n">
        <v>2.174191179541119</v>
      </c>
      <c r="U62" s="10" t="n">
        <v>2.219235712023881</v>
      </c>
      <c r="V62" s="10" t="n">
        <v>2.262727367475187</v>
      </c>
      <c r="W62" s="10" t="n">
        <v>2.304252517986292</v>
      </c>
      <c r="X62" s="10" t="n">
        <v>2.343456713528699</v>
      </c>
      <c r="Y62" s="10" t="n">
        <v>2.380051589446707</v>
      </c>
      <c r="Z62" s="10" t="n">
        <v>2.413841699366057</v>
      </c>
      <c r="AA62" s="10" t="n">
        <v>2.444719231549233</v>
      </c>
      <c r="AB62" s="10" t="n">
        <v>2.472648319813208</v>
      </c>
      <c r="AC62" s="10" t="n">
        <v>2.497645051928103</v>
      </c>
      <c r="AD62" s="10" t="n">
        <v>2.519767156784344</v>
      </c>
      <c r="AE62" s="10" t="n">
        <v>2.539107488627196</v>
      </c>
      <c r="AF62" s="10" t="n">
        <v>2.555788704245753</v>
      </c>
      <c r="AG62" s="10" t="n">
        <v>2.569955860434059</v>
      </c>
      <c r="AH62" s="10" t="n">
        <v>2.581760270532638</v>
      </c>
      <c r="AI62" s="10" t="n">
        <v>2.591358070448371</v>
      </c>
      <c r="AJ62" s="10" t="n">
        <v>2.598907628286786</v>
      </c>
      <c r="AK62" s="10" t="n">
        <v>2.604567833020852</v>
      </c>
      <c r="AL62" s="10" t="n">
        <v>2.608494099224705</v>
      </c>
      <c r="AM62" s="10" t="n">
        <v>2.610835518911258</v>
      </c>
      <c r="AN62" s="10" t="n">
        <v>2.611733912029261</v>
      </c>
      <c r="AO62" s="10" t="n">
        <v>2.611323952890647</v>
      </c>
      <c r="AP62" s="10" t="n">
        <v>2.609733343873159</v>
      </c>
      <c r="AQ62" s="10" t="n">
        <v>2.607083072482073</v>
      </c>
      <c r="AR62" s="10" t="n">
        <v>2.60348725477518</v>
      </c>
      <c r="AS62" s="10" t="n">
        <v>2.59905269455692</v>
      </c>
      <c r="AT62" s="10" t="n">
        <v>2.593878390498036</v>
      </c>
      <c r="AU62" s="10" t="n">
        <v>2.588054838898114</v>
      </c>
      <c r="AV62" s="10" t="n">
        <v>2.581664196420993</v>
      </c>
      <c r="AW62" s="10" t="n">
        <v>2.574780361235595</v>
      </c>
      <c r="AX62" s="10" t="n">
        <v>2.567469583695606</v>
      </c>
      <c r="AY62" s="10" t="n">
        <v>2.559791178730566</v>
      </c>
      <c r="AZ62" s="10" t="n">
        <v>2.551798236272267</v>
      </c>
      <c r="BA62" s="10" t="n">
        <v>2.543538241380082</v>
      </c>
      <c r="BB62" s="10" t="n">
        <v>2.535054172050296</v>
      </c>
      <c r="BC62" s="10" t="n">
        <v>2.526385667090103</v>
      </c>
      <c r="BD62" s="10" t="n">
        <v>2.51756935004656</v>
      </c>
      <c r="BE62" s="10" t="n">
        <v>2.508638859789044</v>
      </c>
      <c r="BF62" s="10" t="n">
        <v>2.499624367693617</v>
      </c>
      <c r="BG62" s="10" t="n">
        <v>2.490552607968405</v>
      </c>
    </row>
    <row r="63">
      <c r="A63" s="9" t="n">
        <v>-62</v>
      </c>
      <c r="B63" s="7" t="n">
        <v>44748</v>
      </c>
      <c r="C63" s="10" t="n">
        <v>1.768193917652099</v>
      </c>
      <c r="D63" s="10" t="n">
        <v>1.740474160744217</v>
      </c>
      <c r="E63" s="10" t="n">
        <v>1.721189816470416</v>
      </c>
      <c r="F63" s="10" t="n">
        <v>1.712398796090564</v>
      </c>
      <c r="G63" s="10" t="n">
        <v>1.713514589681771</v>
      </c>
      <c r="H63" s="10" t="n">
        <v>1.723281941692312</v>
      </c>
      <c r="I63" s="10" t="n">
        <v>1.740455056164886</v>
      </c>
      <c r="J63" s="10" t="n">
        <v>1.763978809581018</v>
      </c>
      <c r="K63" s="10" t="n">
        <v>1.792972033415486</v>
      </c>
      <c r="L63" s="10" t="n">
        <v>1.826682775007656</v>
      </c>
      <c r="M63" s="10" t="n">
        <v>1.86442711810672</v>
      </c>
      <c r="N63" s="10" t="n">
        <v>1.90554858851401</v>
      </c>
      <c r="O63" s="10" t="n">
        <v>1.949398473726869</v>
      </c>
      <c r="P63" s="10" t="n">
        <v>1.995319186699335</v>
      </c>
      <c r="Q63" s="10" t="n">
        <v>2.042640015208708</v>
      </c>
      <c r="R63" s="10" t="n">
        <v>2.090684495732069</v>
      </c>
      <c r="S63" s="10" t="n">
        <v>2.138797056612495</v>
      </c>
      <c r="T63" s="10" t="n">
        <v>2.18634953599099</v>
      </c>
      <c r="U63" s="10" t="n">
        <v>2.232773264127756</v>
      </c>
      <c r="V63" s="10" t="n">
        <v>2.277589949394166</v>
      </c>
      <c r="W63" s="10" t="n">
        <v>2.320395539272077</v>
      </c>
      <c r="X63" s="10" t="n">
        <v>2.360845865651141</v>
      </c>
      <c r="Y63" s="10" t="n">
        <v>2.398662906775248</v>
      </c>
      <c r="Z63" s="10" t="n">
        <v>2.433660028746009</v>
      </c>
      <c r="AA63" s="10" t="n">
        <v>2.465735869231523</v>
      </c>
      <c r="AB63" s="10" t="n">
        <v>2.494858123372803</v>
      </c>
      <c r="AC63" s="10" t="n">
        <v>2.521043920896822</v>
      </c>
      <c r="AD63" s="10" t="n">
        <v>2.544349947952024</v>
      </c>
      <c r="AE63" s="10" t="n">
        <v>2.564866257632123</v>
      </c>
      <c r="AF63" s="10" t="n">
        <v>2.582711213462729</v>
      </c>
      <c r="AG63" s="10" t="n">
        <v>2.59802428886205</v>
      </c>
      <c r="AH63" s="10" t="n">
        <v>2.610950340223822</v>
      </c>
      <c r="AI63" s="10" t="n">
        <v>2.621638673664826</v>
      </c>
      <c r="AJ63" s="10" t="n">
        <v>2.630240901892761</v>
      </c>
      <c r="AK63" s="10" t="n">
        <v>2.636909363711646</v>
      </c>
      <c r="AL63" s="10" t="n">
        <v>2.641793394224425</v>
      </c>
      <c r="AM63" s="10" t="n">
        <v>2.645036806985558</v>
      </c>
      <c r="AN63" s="10" t="n">
        <v>2.646777439750769</v>
      </c>
      <c r="AO63" s="10" t="n">
        <v>2.647147416456955</v>
      </c>
      <c r="AP63" s="10" t="n">
        <v>2.646273479431423</v>
      </c>
      <c r="AQ63" s="10" t="n">
        <v>2.644277299880984</v>
      </c>
      <c r="AR63" s="10" t="n">
        <v>2.641275062342627</v>
      </c>
      <c r="AS63" s="10" t="n">
        <v>2.6373767603686</v>
      </c>
      <c r="AT63" s="10" t="n">
        <v>2.632685422071541</v>
      </c>
      <c r="AU63" s="10" t="n">
        <v>2.62729613734557</v>
      </c>
      <c r="AV63" s="10" t="n">
        <v>2.621295986932148</v>
      </c>
      <c r="AW63" s="10" t="n">
        <v>2.614763859674378</v>
      </c>
      <c r="AX63" s="10" t="n">
        <v>2.607770888392771</v>
      </c>
      <c r="AY63" s="10" t="n">
        <v>2.600380862928703</v>
      </c>
      <c r="AZ63" s="10" t="n">
        <v>2.592650697740391</v>
      </c>
      <c r="BA63" s="10" t="n">
        <v>2.584631073540108</v>
      </c>
      <c r="BB63" s="10" t="n">
        <v>2.576367509366335</v>
      </c>
      <c r="BC63" s="10" t="n">
        <v>2.567901482279058</v>
      </c>
      <c r="BD63" s="10" t="n">
        <v>2.559270876944394</v>
      </c>
      <c r="BE63" s="10" t="n">
        <v>2.550510135770653</v>
      </c>
      <c r="BF63" s="10" t="n">
        <v>2.541649868519114</v>
      </c>
      <c r="BG63" s="10" t="n">
        <v>2.532717013992835</v>
      </c>
    </row>
    <row r="64">
      <c r="A64" s="9" t="n">
        <v>-61</v>
      </c>
      <c r="B64" s="7" t="n">
        <v>44749</v>
      </c>
      <c r="C64" s="10" t="n">
        <v>1.843346949393383</v>
      </c>
      <c r="D64" s="10" t="n">
        <v>1.807745122428962</v>
      </c>
      <c r="E64" s="10" t="n">
        <v>1.782676795127065</v>
      </c>
      <c r="F64" s="10" t="n">
        <v>1.769382876764932</v>
      </c>
      <c r="G64" s="10" t="n">
        <v>1.766720170196365</v>
      </c>
      <c r="H64" s="10" t="n">
        <v>1.773110270762301</v>
      </c>
      <c r="I64" s="10" t="n">
        <v>1.78714309104973</v>
      </c>
      <c r="J64" s="10" t="n">
        <v>1.807690824514815</v>
      </c>
      <c r="K64" s="10" t="n">
        <v>1.833847912313099</v>
      </c>
      <c r="L64" s="10" t="n">
        <v>1.864860786906618</v>
      </c>
      <c r="M64" s="10" t="n">
        <v>1.900053566291518</v>
      </c>
      <c r="N64" s="10" t="n">
        <v>1.938779493455167</v>
      </c>
      <c r="O64" s="10" t="n">
        <v>1.98039580707667</v>
      </c>
      <c r="P64" s="10" t="n">
        <v>2.024243949749007</v>
      </c>
      <c r="Q64" s="10" t="n">
        <v>2.069644266744822</v>
      </c>
      <c r="R64" s="10" t="n">
        <v>2.115903630292138</v>
      </c>
      <c r="S64" s="10" t="n">
        <v>2.162346452088689</v>
      </c>
      <c r="T64" s="10" t="n">
        <v>2.208322539460078</v>
      </c>
      <c r="U64" s="10" t="n">
        <v>2.253242576396957</v>
      </c>
      <c r="V64" s="10" t="n">
        <v>2.29661088979356</v>
      </c>
      <c r="W64" s="10" t="n">
        <v>2.338008706770883</v>
      </c>
      <c r="X64" s="10" t="n">
        <v>2.37707931455206</v>
      </c>
      <c r="Y64" s="10" t="n">
        <v>2.413535141770468</v>
      </c>
      <c r="Z64" s="10" t="n">
        <v>2.44718449833949</v>
      </c>
      <c r="AA64" s="10" t="n">
        <v>2.477923932453586</v>
      </c>
      <c r="AB64" s="10" t="n">
        <v>2.505720057094473</v>
      </c>
      <c r="AC64" s="10" t="n">
        <v>2.530589680846519</v>
      </c>
      <c r="AD64" s="10" t="n">
        <v>2.552589858398459</v>
      </c>
      <c r="AE64" s="10" t="n">
        <v>2.571811593936921</v>
      </c>
      <c r="AF64" s="10" t="n">
        <v>2.588374696224979</v>
      </c>
      <c r="AG64" s="10" t="n">
        <v>2.602420489429954</v>
      </c>
      <c r="AH64" s="10" t="n">
        <v>2.614096285278367</v>
      </c>
      <c r="AI64" s="10" t="n">
        <v>2.623554733352899</v>
      </c>
      <c r="AJ64" s="10" t="n">
        <v>2.630951855910222</v>
      </c>
      <c r="AK64" s="10" t="n">
        <v>2.636445420561769</v>
      </c>
      <c r="AL64" s="10" t="n">
        <v>2.640191212416115</v>
      </c>
      <c r="AM64" s="10" t="n">
        <v>2.642340446545787</v>
      </c>
      <c r="AN64" s="10" t="n">
        <v>2.643038958509867</v>
      </c>
      <c r="AO64" s="10" t="n">
        <v>2.642427222645985</v>
      </c>
      <c r="AP64" s="10" t="n">
        <v>2.640640094975879</v>
      </c>
      <c r="AQ64" s="10" t="n">
        <v>2.637806728937675</v>
      </c>
      <c r="AR64" s="10" t="n">
        <v>2.63404982925415</v>
      </c>
      <c r="AS64" s="10" t="n">
        <v>2.629484587990785</v>
      </c>
      <c r="AT64" s="10" t="n">
        <v>2.62421791481955</v>
      </c>
      <c r="AU64" s="10" t="n">
        <v>2.61834751296488</v>
      </c>
      <c r="AV64" s="10" t="n">
        <v>2.611961890967958</v>
      </c>
      <c r="AW64" s="10" t="n">
        <v>2.605140248610782</v>
      </c>
      <c r="AX64" s="10" t="n">
        <v>2.597952971798773</v>
      </c>
      <c r="AY64" s="10" t="n">
        <v>2.590462056364803</v>
      </c>
      <c r="AZ64" s="10" t="n">
        <v>2.582721597970616</v>
      </c>
      <c r="BA64" s="10" t="n">
        <v>2.574778517707063</v>
      </c>
      <c r="BB64" s="10" t="n">
        <v>2.566673676240609</v>
      </c>
      <c r="BC64" s="10" t="n">
        <v>2.558443023204195</v>
      </c>
      <c r="BD64" s="10" t="n">
        <v>2.5501182124304</v>
      </c>
      <c r="BE64" s="10" t="n">
        <v>2.541726934148041</v>
      </c>
      <c r="BF64" s="10" t="n">
        <v>2.533292782580427</v>
      </c>
      <c r="BG64" s="10" t="n">
        <v>2.524835603017789</v>
      </c>
    </row>
    <row r="65">
      <c r="A65" s="9" t="n">
        <v>-60</v>
      </c>
      <c r="B65" s="7" t="n">
        <v>44750</v>
      </c>
      <c r="C65" s="10" t="n">
        <v>1.947296381608337</v>
      </c>
      <c r="D65" s="10" t="n">
        <v>1.913776745456493</v>
      </c>
      <c r="E65" s="10" t="n">
        <v>1.890063563997607</v>
      </c>
      <c r="F65" s="10" t="n">
        <v>1.877784713602045</v>
      </c>
      <c r="G65" s="10" t="n">
        <v>1.875938998324125</v>
      </c>
      <c r="H65" s="10" t="n">
        <v>1.883008748904082</v>
      </c>
      <c r="I65" s="10" t="n">
        <v>1.897614309232076</v>
      </c>
      <c r="J65" s="10" t="n">
        <v>1.918641529384959</v>
      </c>
      <c r="K65" s="10" t="n">
        <v>1.945189922312436</v>
      </c>
      <c r="L65" s="10" t="n">
        <v>1.976505705496486</v>
      </c>
      <c r="M65" s="10" t="n">
        <v>2.011909404861183</v>
      </c>
      <c r="N65" s="10" t="n">
        <v>2.050751630933501</v>
      </c>
      <c r="O65" s="10" t="n">
        <v>2.09238912411939</v>
      </c>
      <c r="P65" s="10" t="n">
        <v>2.13616571750042</v>
      </c>
      <c r="Q65" s="10" t="n">
        <v>2.181406393956212</v>
      </c>
      <c r="R65" s="10" t="n">
        <v>2.227425067236257</v>
      </c>
      <c r="S65" s="10" t="n">
        <v>2.273556200530838</v>
      </c>
      <c r="T65" s="10" t="n">
        <v>2.319163157578024</v>
      </c>
      <c r="U65" s="10" t="n">
        <v>2.363672550039143</v>
      </c>
      <c r="V65" s="10" t="n">
        <v>2.406602005147907</v>
      </c>
      <c r="W65" s="10" t="n">
        <v>2.44754354630678</v>
      </c>
      <c r="X65" s="10" t="n">
        <v>2.486149276371296</v>
      </c>
      <c r="Y65" s="10" t="n">
        <v>2.522138317372331</v>
      </c>
      <c r="Z65" s="10" t="n">
        <v>2.555321491364343</v>
      </c>
      <c r="AA65" s="10" t="n">
        <v>2.585593717481734</v>
      </c>
      <c r="AB65" s="10" t="n">
        <v>2.612917333321528</v>
      </c>
      <c r="AC65" s="10" t="n">
        <v>2.637304221726275</v>
      </c>
      <c r="AD65" s="10" t="n">
        <v>2.658806368904324</v>
      </c>
      <c r="AE65" s="10" t="n">
        <v>2.677509592773121</v>
      </c>
      <c r="AF65" s="10" t="n">
        <v>2.693528415487827</v>
      </c>
      <c r="AG65" s="10" t="n">
        <v>2.706998982525832</v>
      </c>
      <c r="AH65" s="10" t="n">
        <v>2.718065081659864</v>
      </c>
      <c r="AI65" s="10" t="n">
        <v>2.726877715658516</v>
      </c>
      <c r="AJ65" s="10" t="n">
        <v>2.733593042473482</v>
      </c>
      <c r="AK65" s="10" t="n">
        <v>2.738370622031789</v>
      </c>
      <c r="AL65" s="10" t="n">
        <v>2.741369613662468</v>
      </c>
      <c r="AM65" s="10" t="n">
        <v>2.742746130649654</v>
      </c>
      <c r="AN65" s="10" t="n">
        <v>2.742652148294404</v>
      </c>
      <c r="AO65" s="10" t="n">
        <v>2.741235284809751</v>
      </c>
      <c r="AP65" s="10" t="n">
        <v>2.738638025223987</v>
      </c>
      <c r="AQ65" s="10" t="n">
        <v>2.734997288785623</v>
      </c>
      <c r="AR65" s="10" t="n">
        <v>2.730443257884277</v>
      </c>
      <c r="AS65" s="10" t="n">
        <v>2.72509791152939</v>
      </c>
      <c r="AT65" s="10" t="n">
        <v>2.719074148190939</v>
      </c>
      <c r="AU65" s="10" t="n">
        <v>2.712474824192585</v>
      </c>
      <c r="AV65" s="10" t="n">
        <v>2.70539274731752</v>
      </c>
      <c r="AW65" s="10" t="n">
        <v>2.697910542994457</v>
      </c>
      <c r="AX65" s="10" t="n">
        <v>2.690101199289617</v>
      </c>
      <c r="AY65" s="10" t="n">
        <v>2.682028495322437</v>
      </c>
      <c r="AZ65" s="10" t="n">
        <v>2.673747500172488</v>
      </c>
      <c r="BA65" s="10" t="n">
        <v>2.665305367288746</v>
      </c>
      <c r="BB65" s="10" t="n">
        <v>2.656742495477707</v>
      </c>
      <c r="BC65" s="10" t="n">
        <v>2.648093704186138</v>
      </c>
      <c r="BD65" s="10" t="n">
        <v>2.639388967692338</v>
      </c>
      <c r="BE65" s="10" t="n">
        <v>2.630653869267487</v>
      </c>
      <c r="BF65" s="10" t="n">
        <v>2.621909638279188</v>
      </c>
      <c r="BG65" s="10" t="n">
        <v>2.613173620331961</v>
      </c>
    </row>
    <row r="66">
      <c r="A66" s="9" t="n">
        <v>-59</v>
      </c>
      <c r="B66" s="7" t="n">
        <v>44753</v>
      </c>
      <c r="C66" s="10" t="n">
        <v>1.904787456102248</v>
      </c>
      <c r="D66" s="10" t="n">
        <v>1.868478151679665</v>
      </c>
      <c r="E66" s="10" t="n">
        <v>1.84294652849845</v>
      </c>
      <c r="F66" s="10" t="n">
        <v>1.829452724414896</v>
      </c>
      <c r="G66" s="10" t="n">
        <v>1.826814458372735</v>
      </c>
      <c r="H66" s="10" t="n">
        <v>1.833407822608039</v>
      </c>
      <c r="I66" s="10" t="n">
        <v>1.847787766574929</v>
      </c>
      <c r="J66" s="10" t="n">
        <v>1.868801586010712</v>
      </c>
      <c r="K66" s="10" t="n">
        <v>1.895530105910163</v>
      </c>
      <c r="L66" s="10" t="n">
        <v>1.927216276126088</v>
      </c>
      <c r="M66" s="10" t="n">
        <v>1.963186967677398</v>
      </c>
      <c r="N66" s="10" t="n">
        <v>2.002804441138703</v>
      </c>
      <c r="O66" s="10" t="n">
        <v>2.045437271528561</v>
      </c>
      <c r="P66" s="10" t="n">
        <v>2.090436627299103</v>
      </c>
      <c r="Q66" s="10" t="n">
        <v>2.137129063094538</v>
      </c>
      <c r="R66" s="10" t="n">
        <v>2.184822106143968</v>
      </c>
      <c r="S66" s="10" t="n">
        <v>2.232835168993182</v>
      </c>
      <c r="T66" s="10" t="n">
        <v>2.280507601771596</v>
      </c>
      <c r="U66" s="10" t="n">
        <v>2.327235542755391</v>
      </c>
      <c r="V66" s="10" t="n">
        <v>2.372501612187318</v>
      </c>
      <c r="W66" s="10" t="n">
        <v>2.415859224842875</v>
      </c>
      <c r="X66" s="10" t="n">
        <v>2.456919046994741</v>
      </c>
      <c r="Y66" s="10" t="n">
        <v>2.495357782402678</v>
      </c>
      <c r="Z66" s="10" t="n">
        <v>2.53094518544315</v>
      </c>
      <c r="AA66" s="10" t="n">
        <v>2.563536928209075</v>
      </c>
      <c r="AB66" s="10" t="n">
        <v>2.593059608681416</v>
      </c>
      <c r="AC66" s="10" t="n">
        <v>2.619495605765732</v>
      </c>
      <c r="AD66" s="10" t="n">
        <v>2.642873340335366</v>
      </c>
      <c r="AE66" s="10" t="n">
        <v>2.663260078498111</v>
      </c>
      <c r="AF66" s="10" t="n">
        <v>2.680756044606898</v>
      </c>
      <c r="AG66" s="10" t="n">
        <v>2.695487235072172</v>
      </c>
      <c r="AH66" s="10" t="n">
        <v>2.707593190027045</v>
      </c>
      <c r="AI66" s="10" t="n">
        <v>2.717225793562187</v>
      </c>
      <c r="AJ66" s="10" t="n">
        <v>2.724546283027872</v>
      </c>
      <c r="AK66" s="10" t="n">
        <v>2.729722888894167</v>
      </c>
      <c r="AL66" s="10" t="n">
        <v>2.73292613931129</v>
      </c>
      <c r="AM66" s="10" t="n">
        <v>2.73432563062203</v>
      </c>
      <c r="AN66" s="10" t="n">
        <v>2.734088762474724</v>
      </c>
      <c r="AO66" s="10" t="n">
        <v>2.732380312088221</v>
      </c>
      <c r="AP66" s="10" t="n">
        <v>2.729361335915935</v>
      </c>
      <c r="AQ66" s="10" t="n">
        <v>2.725188474173354</v>
      </c>
      <c r="AR66" s="10" t="n">
        <v>2.720012277520274</v>
      </c>
      <c r="AS66" s="10" t="n">
        <v>2.713975231908799</v>
      </c>
      <c r="AT66" s="10" t="n">
        <v>2.707210545209244</v>
      </c>
      <c r="AU66" s="10" t="n">
        <v>2.69984087306523</v>
      </c>
      <c r="AV66" s="10" t="n">
        <v>2.69197806367886</v>
      </c>
      <c r="AW66" s="10" t="n">
        <v>2.683722734850027</v>
      </c>
      <c r="AX66" s="10" t="n">
        <v>2.675164707838877</v>
      </c>
      <c r="AY66" s="10" t="n">
        <v>2.666382917002081</v>
      </c>
      <c r="AZ66" s="10" t="n">
        <v>2.657445423510524</v>
      </c>
      <c r="BA66" s="10" t="n">
        <v>2.648410311418735</v>
      </c>
      <c r="BB66" s="10" t="n">
        <v>2.639326645405907</v>
      </c>
      <c r="BC66" s="10" t="n">
        <v>2.630235366510046</v>
      </c>
      <c r="BD66" s="10" t="n">
        <v>2.621170212214483</v>
      </c>
      <c r="BE66" s="10" t="n">
        <v>2.612158412297358</v>
      </c>
      <c r="BF66" s="10" t="n">
        <v>2.603221008095346</v>
      </c>
      <c r="BG66" s="10" t="n">
        <v>2.594373548446441</v>
      </c>
    </row>
    <row r="67">
      <c r="A67" s="9" t="n">
        <v>-58</v>
      </c>
      <c r="B67" s="7" t="n">
        <v>44754</v>
      </c>
      <c r="C67" s="10" t="n">
        <v>1.818839043703787</v>
      </c>
      <c r="D67" s="10" t="n">
        <v>1.778450945042745</v>
      </c>
      <c r="E67" s="10" t="n">
        <v>1.750854014107155</v>
      </c>
      <c r="F67" s="10" t="n">
        <v>1.736104477937746</v>
      </c>
      <c r="G67" s="10" t="n">
        <v>1.732536345329989</v>
      </c>
      <c r="H67" s="10" t="n">
        <v>1.738359427406636</v>
      </c>
      <c r="I67" s="10" t="n">
        <v>1.752112004338404</v>
      </c>
      <c r="J67" s="10" t="n">
        <v>1.772684839226939</v>
      </c>
      <c r="K67" s="10" t="n">
        <v>1.799223692105527</v>
      </c>
      <c r="L67" s="10" t="n">
        <v>1.831038771241034</v>
      </c>
      <c r="M67" s="10" t="n">
        <v>1.867516121043448</v>
      </c>
      <c r="N67" s="10" t="n">
        <v>1.908064885115754</v>
      </c>
      <c r="O67" s="10" t="n">
        <v>1.952085618054522</v>
      </c>
      <c r="P67" s="10" t="n">
        <v>1.998943856299764</v>
      </c>
      <c r="Q67" s="10" t="n">
        <v>2.047963821706867</v>
      </c>
      <c r="R67" s="10" t="n">
        <v>2.098432652555486</v>
      </c>
      <c r="S67" s="10" t="n">
        <v>2.149632662900525</v>
      </c>
      <c r="T67" s="10" t="n">
        <v>2.200849271269118</v>
      </c>
      <c r="U67" s="10" t="n">
        <v>2.251414991767602</v>
      </c>
      <c r="V67" s="10" t="n">
        <v>2.300745555233206</v>
      </c>
      <c r="W67" s="10" t="n">
        <v>2.348325100997694</v>
      </c>
      <c r="X67" s="10" t="n">
        <v>2.393693227453767</v>
      </c>
      <c r="Y67" s="10" t="n">
        <v>2.436457343416499</v>
      </c>
      <c r="Z67" s="10" t="n">
        <v>2.476325264046549</v>
      </c>
      <c r="AA67" s="10" t="n">
        <v>2.51309923098243</v>
      </c>
      <c r="AB67" s="10" t="n">
        <v>2.54666204378099</v>
      </c>
      <c r="AC67" s="10" t="n">
        <v>2.57696240288789</v>
      </c>
      <c r="AD67" s="10" t="n">
        <v>2.604003943210577</v>
      </c>
      <c r="AE67" s="10" t="n">
        <v>2.627836649454175</v>
      </c>
      <c r="AF67" s="10" t="n">
        <v>2.648549831931367</v>
      </c>
      <c r="AG67" s="10" t="n">
        <v>2.666264037421896</v>
      </c>
      <c r="AH67" s="10" t="n">
        <v>2.681118427038944</v>
      </c>
      <c r="AI67" s="10" t="n">
        <v>2.693268920638929</v>
      </c>
      <c r="AJ67" s="10" t="n">
        <v>2.702884321604335</v>
      </c>
      <c r="AK67" s="10" t="n">
        <v>2.710143353454065</v>
      </c>
      <c r="AL67" s="10" t="n">
        <v>2.715229031135684</v>
      </c>
      <c r="AM67" s="10" t="n">
        <v>2.718324701250229</v>
      </c>
      <c r="AN67" s="10" t="n">
        <v>2.719612141407508</v>
      </c>
      <c r="AO67" s="10" t="n">
        <v>2.719270879025775</v>
      </c>
      <c r="AP67" s="10" t="n">
        <v>2.717477026337368</v>
      </c>
      <c r="AQ67" s="10" t="n">
        <v>2.714402545048571</v>
      </c>
      <c r="AR67" s="10" t="n">
        <v>2.710213541173669</v>
      </c>
      <c r="AS67" s="10" t="n">
        <v>2.705068273797949</v>
      </c>
      <c r="AT67" s="10" t="n">
        <v>2.699115714363672</v>
      </c>
      <c r="AU67" s="10" t="n">
        <v>2.692494031487209</v>
      </c>
      <c r="AV67" s="10" t="n">
        <v>2.685330148918831</v>
      </c>
      <c r="AW67" s="10" t="n">
        <v>2.677739130806495</v>
      </c>
      <c r="AX67" s="10" t="n">
        <v>2.669824618741316</v>
      </c>
      <c r="AY67" s="10" t="n">
        <v>2.66167839737939</v>
      </c>
      <c r="AZ67" s="10" t="n">
        <v>2.653380033358093</v>
      </c>
      <c r="BA67" s="10" t="n">
        <v>2.644997822288125</v>
      </c>
      <c r="BB67" s="10" t="n">
        <v>2.636589536165307</v>
      </c>
      <c r="BC67" s="10" t="n">
        <v>2.628203030789038</v>
      </c>
      <c r="BD67" s="10" t="n">
        <v>2.619877099504281</v>
      </c>
      <c r="BE67" s="10" t="n">
        <v>2.611642167715289</v>
      </c>
      <c r="BF67" s="10" t="n">
        <v>2.6035206286992</v>
      </c>
      <c r="BG67" s="10" t="n">
        <v>2.595527647201256</v>
      </c>
    </row>
    <row r="68">
      <c r="A68" s="9" t="n">
        <v>-57</v>
      </c>
      <c r="B68" s="7" t="n">
        <v>44755</v>
      </c>
      <c r="C68" s="10" t="n">
        <v>1.836606315049346</v>
      </c>
      <c r="D68" s="10" t="n">
        <v>1.79403771348838</v>
      </c>
      <c r="E68" s="10" t="n">
        <v>1.764681087142323</v>
      </c>
      <c r="F68" s="10" t="n">
        <v>1.748318056432918</v>
      </c>
      <c r="G68" s="10" t="n">
        <v>1.743174360188108</v>
      </c>
      <c r="H68" s="10" t="n">
        <v>1.747416468913285</v>
      </c>
      <c r="I68" s="10" t="n">
        <v>1.759569328579471</v>
      </c>
      <c r="J68" s="10" t="n">
        <v>1.778519962593558</v>
      </c>
      <c r="K68" s="10" t="n">
        <v>1.803412544292294</v>
      </c>
      <c r="L68" s="10" t="n">
        <v>1.833554880483816</v>
      </c>
      <c r="M68" s="10" t="n">
        <v>1.868327221779934</v>
      </c>
      <c r="N68" s="10" t="n">
        <v>1.907129914444254</v>
      </c>
      <c r="O68" s="10" t="n">
        <v>1.949352768006803</v>
      </c>
      <c r="P68" s="10" t="n">
        <v>1.994350608329524</v>
      </c>
      <c r="Q68" s="10" t="n">
        <v>2.041438007951752</v>
      </c>
      <c r="R68" s="10" t="n">
        <v>2.089894916302118</v>
      </c>
      <c r="S68" s="10" t="n">
        <v>2.138999674285054</v>
      </c>
      <c r="T68" s="10" t="n">
        <v>2.188036819210613</v>
      </c>
      <c r="U68" s="10" t="n">
        <v>2.236343234404786</v>
      </c>
      <c r="V68" s="10" t="n">
        <v>2.283344720959655</v>
      </c>
      <c r="W68" s="10" t="n">
        <v>2.32854003349287</v>
      </c>
      <c r="X68" s="10" t="n">
        <v>2.371487061972407</v>
      </c>
      <c r="Y68" s="10" t="n">
        <v>2.4118152090841</v>
      </c>
      <c r="Z68" s="10" t="n">
        <v>2.449258074760337</v>
      </c>
      <c r="AA68" s="10" t="n">
        <v>2.483645323604839</v>
      </c>
      <c r="AB68" s="10" t="n">
        <v>2.514885502769751</v>
      </c>
      <c r="AC68" s="10" t="n">
        <v>2.54294921063215</v>
      </c>
      <c r="AD68" s="10" t="n">
        <v>2.567858299262141</v>
      </c>
      <c r="AE68" s="10" t="n">
        <v>2.589677863471875</v>
      </c>
      <c r="AF68" s="10" t="n">
        <v>2.60850968692904</v>
      </c>
      <c r="AG68" s="10" t="n">
        <v>2.624484125393862</v>
      </c>
      <c r="AH68" s="10" t="n">
        <v>2.637746412228703</v>
      </c>
      <c r="AI68" s="10" t="n">
        <v>2.64845531295668</v>
      </c>
      <c r="AJ68" s="10" t="n">
        <v>2.656779591157515</v>
      </c>
      <c r="AK68" s="10" t="n">
        <v>2.662895397953953</v>
      </c>
      <c r="AL68" s="10" t="n">
        <v>2.666981136792344</v>
      </c>
      <c r="AM68" s="10" t="n">
        <v>2.669213955371712</v>
      </c>
      <c r="AN68" s="10" t="n">
        <v>2.669768243774998</v>
      </c>
      <c r="AO68" s="10" t="n">
        <v>2.668815213703261</v>
      </c>
      <c r="AP68" s="10" t="n">
        <v>2.666522107753912</v>
      </c>
      <c r="AQ68" s="10" t="n">
        <v>2.663051730877485</v>
      </c>
      <c r="AR68" s="10" t="n">
        <v>2.658560998637197</v>
      </c>
      <c r="AS68" s="10" t="n">
        <v>2.653199232365652</v>
      </c>
      <c r="AT68" s="10" t="n">
        <v>2.647106877572903</v>
      </c>
      <c r="AU68" s="10" t="n">
        <v>2.640414157753096</v>
      </c>
      <c r="AV68" s="10" t="n">
        <v>2.63324067329869</v>
      </c>
      <c r="AW68" s="10" t="n">
        <v>2.62569484573566</v>
      </c>
      <c r="AX68" s="10" t="n">
        <v>2.617874350347852</v>
      </c>
      <c r="AY68" s="10" t="n">
        <v>2.60986557902173</v>
      </c>
      <c r="AZ68" s="10" t="n">
        <v>2.601743156491227</v>
      </c>
      <c r="BA68" s="10" t="n">
        <v>2.593570835160176</v>
      </c>
      <c r="BB68" s="10" t="n">
        <v>2.585402139326946</v>
      </c>
      <c r="BC68" s="10" t="n">
        <v>2.577280868276925</v>
      </c>
      <c r="BD68" s="10" t="n">
        <v>2.569241912030744</v>
      </c>
      <c r="BE68" s="10" t="n">
        <v>2.561311932723518</v>
      </c>
      <c r="BF68" s="10" t="n">
        <v>2.553509727431133</v>
      </c>
      <c r="BG68" s="10" t="n">
        <v>2.545847022618293</v>
      </c>
    </row>
    <row r="69">
      <c r="A69" s="9" t="n">
        <v>-56</v>
      </c>
      <c r="B69" s="7" t="n">
        <v>44756</v>
      </c>
      <c r="C69" s="10" t="n">
        <v>1.964581182625569</v>
      </c>
      <c r="D69" s="10" t="n">
        <v>1.912402433140996</v>
      </c>
      <c r="E69" s="10" t="n">
        <v>1.872336149495908</v>
      </c>
      <c r="F69" s="10" t="n">
        <v>1.845345377586265</v>
      </c>
      <c r="G69" s="10" t="n">
        <v>1.830169588941934</v>
      </c>
      <c r="H69" s="10" t="n">
        <v>1.825177690892863</v>
      </c>
      <c r="I69" s="10" t="n">
        <v>1.828955575294531</v>
      </c>
      <c r="J69" s="10" t="n">
        <v>1.840385325217773</v>
      </c>
      <c r="K69" s="10" t="n">
        <v>1.858574784747675</v>
      </c>
      <c r="L69" s="10" t="n">
        <v>1.882781400836993</v>
      </c>
      <c r="M69" s="10" t="n">
        <v>1.912327574685864</v>
      </c>
      <c r="N69" s="10" t="n">
        <v>1.946555037566603</v>
      </c>
      <c r="O69" s="10" t="n">
        <v>1.984797376088807</v>
      </c>
      <c r="P69" s="10" t="n">
        <v>2.026357596090371</v>
      </c>
      <c r="Q69" s="10" t="n">
        <v>2.070502856445349</v>
      </c>
      <c r="R69" s="10" t="n">
        <v>2.116469198451255</v>
      </c>
      <c r="S69" s="10" t="n">
        <v>2.163493143345165</v>
      </c>
      <c r="T69" s="10" t="n">
        <v>2.210818741989647</v>
      </c>
      <c r="U69" s="10" t="n">
        <v>2.257743276685185</v>
      </c>
      <c r="V69" s="10" t="n">
        <v>2.303652503204044</v>
      </c>
      <c r="W69" s="10" t="n">
        <v>2.348004667680812</v>
      </c>
      <c r="X69" s="10" t="n">
        <v>2.390316820953043</v>
      </c>
      <c r="Y69" s="10" t="n">
        <v>2.430177942285681</v>
      </c>
      <c r="Z69" s="10" t="n">
        <v>2.467282281174504</v>
      </c>
      <c r="AA69" s="10" t="n">
        <v>2.501420890594648</v>
      </c>
      <c r="AB69" s="10" t="n">
        <v>2.532466100115154</v>
      </c>
      <c r="AC69" s="10" t="n">
        <v>2.560358262227018</v>
      </c>
      <c r="AD69" s="10" t="n">
        <v>2.585094815166309</v>
      </c>
      <c r="AE69" s="10" t="n">
        <v>2.606721363371772</v>
      </c>
      <c r="AF69" s="10" t="n">
        <v>2.625324378046873</v>
      </c>
      <c r="AG69" s="10" t="n">
        <v>2.64102328488161</v>
      </c>
      <c r="AH69" s="10" t="n">
        <v>2.653959267264141</v>
      </c>
      <c r="AI69" s="10" t="n">
        <v>2.664292159370666</v>
      </c>
      <c r="AJ69" s="10" t="n">
        <v>2.672195134969555</v>
      </c>
      <c r="AK69" s="10" t="n">
        <v>2.677851414397558</v>
      </c>
      <c r="AL69" s="10" t="n">
        <v>2.681448088120693</v>
      </c>
      <c r="AM69" s="10" t="n">
        <v>2.683171730019791</v>
      </c>
      <c r="AN69" s="10" t="n">
        <v>2.683205941544484</v>
      </c>
      <c r="AO69" s="10" t="n">
        <v>2.681730542935826</v>
      </c>
      <c r="AP69" s="10" t="n">
        <v>2.678920192524776</v>
      </c>
      <c r="AQ69" s="10" t="n">
        <v>2.674943616201315</v>
      </c>
      <c r="AR69" s="10" t="n">
        <v>2.669962226478331</v>
      </c>
      <c r="AS69" s="10" t="n">
        <v>2.664128520690609</v>
      </c>
      <c r="AT69" s="10" t="n">
        <v>2.657585060596501</v>
      </c>
      <c r="AU69" s="10" t="n">
        <v>2.65046341447203</v>
      </c>
      <c r="AV69" s="10" t="n">
        <v>2.642883981673712</v>
      </c>
      <c r="AW69" s="10" t="n">
        <v>2.634955686015046</v>
      </c>
      <c r="AX69" s="10" t="n">
        <v>2.626776569846628</v>
      </c>
      <c r="AY69" s="10" t="n">
        <v>2.61843334072704</v>
      </c>
      <c r="AZ69" s="10" t="n">
        <v>2.610000909081324</v>
      </c>
      <c r="BA69" s="10" t="n">
        <v>2.601543289091607</v>
      </c>
      <c r="BB69" s="10" t="n">
        <v>2.593114241809459</v>
      </c>
      <c r="BC69" s="10" t="n">
        <v>2.584757779250725</v>
      </c>
      <c r="BD69" s="10" t="n">
        <v>2.576508967685574</v>
      </c>
      <c r="BE69" s="10" t="n">
        <v>2.568394598091925</v>
      </c>
      <c r="BF69" s="10" t="n">
        <v>2.560433542518508</v>
      </c>
      <c r="BG69" s="10" t="n">
        <v>2.552637521924965</v>
      </c>
    </row>
    <row r="70">
      <c r="A70" s="9" t="n">
        <v>-55</v>
      </c>
      <c r="B70" s="7" t="n">
        <v>44757</v>
      </c>
      <c r="C70" s="10" t="n">
        <v>1.944743384047286</v>
      </c>
      <c r="D70" s="10" t="n">
        <v>1.890804294280251</v>
      </c>
      <c r="E70" s="10" t="n">
        <v>1.849988929256169</v>
      </c>
      <c r="F70" s="10" t="n">
        <v>1.82295296459481</v>
      </c>
      <c r="G70" s="10" t="n">
        <v>1.808271254945385</v>
      </c>
      <c r="H70" s="10" t="n">
        <v>1.804211555112701</v>
      </c>
      <c r="I70" s="10" t="n">
        <v>1.809290931761181</v>
      </c>
      <c r="J70" s="10" t="n">
        <v>1.82234542602482</v>
      </c>
      <c r="K70" s="10" t="n">
        <v>1.842448341058448</v>
      </c>
      <c r="L70" s="10" t="n">
        <v>1.868836355848754</v>
      </c>
      <c r="M70" s="10" t="n">
        <v>1.900820505914241</v>
      </c>
      <c r="N70" s="10" t="n">
        <v>1.937736450121652</v>
      </c>
      <c r="O70" s="10" t="n">
        <v>1.978913570705174</v>
      </c>
      <c r="P70" s="10" t="n">
        <v>2.023646090580153</v>
      </c>
      <c r="Q70" s="10" t="n">
        <v>2.07118560645909</v>
      </c>
      <c r="R70" s="10" t="n">
        <v>2.120744045580941</v>
      </c>
      <c r="S70" s="10" t="n">
        <v>2.171524844350076</v>
      </c>
      <c r="T70" s="10" t="n">
        <v>2.222728631163071</v>
      </c>
      <c r="U70" s="10" t="n">
        <v>2.273604650940949</v>
      </c>
      <c r="V70" s="10" t="n">
        <v>2.323489265850039</v>
      </c>
      <c r="W70" s="10" t="n">
        <v>2.371790230599268</v>
      </c>
      <c r="X70" s="10" t="n">
        <v>2.417973392873587</v>
      </c>
      <c r="Y70" s="10" t="n">
        <v>2.461579111446433</v>
      </c>
      <c r="Z70" s="10" t="n">
        <v>2.502259264588553</v>
      </c>
      <c r="AA70" s="10" t="n">
        <v>2.539768125207006</v>
      </c>
      <c r="AB70" s="10" t="n">
        <v>2.573947557443295</v>
      </c>
      <c r="AC70" s="10" t="n">
        <v>2.60471592937791</v>
      </c>
      <c r="AD70" s="10" t="n">
        <v>2.632056434642962</v>
      </c>
      <c r="AE70" s="10" t="n">
        <v>2.656006965143385</v>
      </c>
      <c r="AF70" s="10" t="n">
        <v>2.676651821709692</v>
      </c>
      <c r="AG70" s="10" t="n">
        <v>2.694113320670572</v>
      </c>
      <c r="AH70" s="10" t="n">
        <v>2.708541643028895</v>
      </c>
      <c r="AI70" s="10" t="n">
        <v>2.720110756667368</v>
      </c>
      <c r="AJ70" s="10" t="n">
        <v>2.729011585695158</v>
      </c>
      <c r="AK70" s="10" t="n">
        <v>2.73544797877995</v>
      </c>
      <c r="AL70" s="10" t="n">
        <v>2.739629346938817</v>
      </c>
      <c r="AM70" s="10" t="n">
        <v>2.741765428924656</v>
      </c>
      <c r="AN70" s="10" t="n">
        <v>2.742063038367112</v>
      </c>
      <c r="AO70" s="10" t="n">
        <v>2.740724913853102</v>
      </c>
      <c r="AP70" s="10" t="n">
        <v>2.737947689685591</v>
      </c>
      <c r="AQ70" s="10" t="n">
        <v>2.733920790129375</v>
      </c>
      <c r="AR70" s="10" t="n">
        <v>2.728824698225222</v>
      </c>
      <c r="AS70" s="10" t="n">
        <v>2.722829058478206</v>
      </c>
      <c r="AT70" s="10" t="n">
        <v>2.716091586191813</v>
      </c>
      <c r="AU70" s="10" t="n">
        <v>2.708757001127184</v>
      </c>
      <c r="AV70" s="10" t="n">
        <v>2.700956864114427</v>
      </c>
      <c r="AW70" s="10" t="n">
        <v>2.692809303961531</v>
      </c>
      <c r="AX70" s="10" t="n">
        <v>2.684419874171805</v>
      </c>
      <c r="AY70" s="10" t="n">
        <v>2.675881344247289</v>
      </c>
      <c r="AZ70" s="10" t="n">
        <v>2.667273451556253</v>
      </c>
      <c r="BA70" s="10" t="n">
        <v>2.658663938306954</v>
      </c>
      <c r="BB70" s="10" t="n">
        <v>2.650109397683973</v>
      </c>
      <c r="BC70" s="10" t="n">
        <v>2.641655994075234</v>
      </c>
      <c r="BD70" s="10" t="n">
        <v>2.633340369011275</v>
      </c>
      <c r="BE70" s="10" t="n">
        <v>2.625190377627757</v>
      </c>
      <c r="BF70" s="10" t="n">
        <v>2.617225502967835</v>
      </c>
      <c r="BG70" s="10" t="n">
        <v>2.609457731120723</v>
      </c>
    </row>
    <row r="71">
      <c r="A71" s="9" t="n">
        <v>-54</v>
      </c>
      <c r="B71" s="7" t="n">
        <v>44760</v>
      </c>
      <c r="C71" s="10" t="n">
        <v>2.007387185120839</v>
      </c>
      <c r="D71" s="10" t="n">
        <v>1.954347455116829</v>
      </c>
      <c r="E71" s="10" t="n">
        <v>1.913328298775477</v>
      </c>
      <c r="F71" s="10" t="n">
        <v>1.885780146130875</v>
      </c>
      <c r="G71" s="10" t="n">
        <v>1.870589667745921</v>
      </c>
      <c r="H71" s="10" t="n">
        <v>1.866139038483249</v>
      </c>
      <c r="I71" s="10" t="n">
        <v>1.870974411836984</v>
      </c>
      <c r="J71" s="10" t="n">
        <v>1.883924084955702</v>
      </c>
      <c r="K71" s="10" t="n">
        <v>1.904033992037083</v>
      </c>
      <c r="L71" s="10" t="n">
        <v>1.930505276451777</v>
      </c>
      <c r="M71" s="10" t="n">
        <v>1.962609579716714</v>
      </c>
      <c r="N71" s="10" t="n">
        <v>1.999641351143733</v>
      </c>
      <c r="O71" s="10" t="n">
        <v>2.040890247802971</v>
      </c>
      <c r="P71" s="10" t="n">
        <v>2.085615376784306</v>
      </c>
      <c r="Q71" s="10" t="n">
        <v>2.133039003938851</v>
      </c>
      <c r="R71" s="10" t="n">
        <v>2.182352067335391</v>
      </c>
      <c r="S71" s="10" t="n">
        <v>2.232745611697875</v>
      </c>
      <c r="T71" s="10" t="n">
        <v>2.283415920472798</v>
      </c>
      <c r="U71" s="10" t="n">
        <v>2.333615818228971</v>
      </c>
      <c r="V71" s="10" t="n">
        <v>2.382691929072337</v>
      </c>
      <c r="W71" s="10" t="n">
        <v>2.430067533198227</v>
      </c>
      <c r="X71" s="10" t="n">
        <v>2.475228238029174</v>
      </c>
      <c r="Y71" s="10" t="n">
        <v>2.51773764659649</v>
      </c>
      <c r="Z71" s="10" t="n">
        <v>2.557273177986212</v>
      </c>
      <c r="AA71" s="10" t="n">
        <v>2.593615569778648</v>
      </c>
      <c r="AB71" s="10" t="n">
        <v>2.626631863688526</v>
      </c>
      <c r="AC71" s="10" t="n">
        <v>2.656262147198805</v>
      </c>
      <c r="AD71" s="10" t="n">
        <v>2.682507984205053</v>
      </c>
      <c r="AE71" s="10" t="n">
        <v>2.705422809844538</v>
      </c>
      <c r="AF71" s="10" t="n">
        <v>2.725104068722281</v>
      </c>
      <c r="AG71" s="10" t="n">
        <v>2.741684649367717</v>
      </c>
      <c r="AH71" s="10" t="n">
        <v>2.755321296499266</v>
      </c>
      <c r="AI71" s="10" t="n">
        <v>2.76619110892223</v>
      </c>
      <c r="AJ71" s="10" t="n">
        <v>2.77448520968081</v>
      </c>
      <c r="AK71" s="10" t="n">
        <v>2.780405093830765</v>
      </c>
      <c r="AL71" s="10" t="n">
        <v>2.78415571865644</v>
      </c>
      <c r="AM71" s="10" t="n">
        <v>2.785940533218661</v>
      </c>
      <c r="AN71" s="10" t="n">
        <v>2.785958096533394</v>
      </c>
      <c r="AO71" s="10" t="n">
        <v>2.784401061169881</v>
      </c>
      <c r="AP71" s="10" t="n">
        <v>2.781454492776789</v>
      </c>
      <c r="AQ71" s="10" t="n">
        <v>2.777295073483091</v>
      </c>
      <c r="AR71" s="10" t="n">
        <v>2.772089972091869</v>
      </c>
      <c r="AS71" s="10" t="n">
        <v>2.765995573255203</v>
      </c>
      <c r="AT71" s="10" t="n">
        <v>2.759156773230089</v>
      </c>
      <c r="AU71" s="10" t="n">
        <v>2.751706283967205</v>
      </c>
      <c r="AV71" s="10" t="n">
        <v>2.743764707470065</v>
      </c>
      <c r="AW71" s="10" t="n">
        <v>2.735440533474806</v>
      </c>
      <c r="AX71" s="10" t="n">
        <v>2.726831043420387</v>
      </c>
      <c r="AY71" s="10" t="n">
        <v>2.718022269551601</v>
      </c>
      <c r="AZ71" s="10" t="n">
        <v>2.709088868307505</v>
      </c>
      <c r="BA71" s="10" t="n">
        <v>2.700095045747593</v>
      </c>
      <c r="BB71" s="10" t="n">
        <v>2.691095430047452</v>
      </c>
      <c r="BC71" s="10" t="n">
        <v>2.682135847030972</v>
      </c>
      <c r="BD71" s="10" t="n">
        <v>2.673254131593366</v>
      </c>
      <c r="BE71" s="10" t="n">
        <v>2.664480740153941</v>
      </c>
      <c r="BF71" s="10" t="n">
        <v>2.655839018264487</v>
      </c>
      <c r="BG71" s="10" t="n">
        <v>2.647345966875677</v>
      </c>
    </row>
    <row r="72">
      <c r="A72" s="9" t="n">
        <v>-53</v>
      </c>
      <c r="B72" s="7" t="n">
        <v>44761</v>
      </c>
      <c r="C72" s="10" t="n">
        <v>2.076786370815629</v>
      </c>
      <c r="D72" s="10" t="n">
        <v>2.021465390899817</v>
      </c>
      <c r="E72" s="10" t="n">
        <v>1.977139552089185</v>
      </c>
      <c r="F72" s="10" t="n">
        <v>1.946059591984503</v>
      </c>
      <c r="G72" s="10" t="n">
        <v>1.92740020498977</v>
      </c>
      <c r="H72" s="10" t="n">
        <v>1.919670361903326</v>
      </c>
      <c r="I72" s="10" t="n">
        <v>1.921488391065891</v>
      </c>
      <c r="J72" s="10" t="n">
        <v>1.931739488896552</v>
      </c>
      <c r="K72" s="10" t="n">
        <v>1.949519836039062</v>
      </c>
      <c r="L72" s="10" t="n">
        <v>1.974074458934227</v>
      </c>
      <c r="M72" s="10" t="n">
        <v>2.004704680388552</v>
      </c>
      <c r="N72" s="10" t="n">
        <v>2.040716227647326</v>
      </c>
      <c r="O72" s="10" t="n">
        <v>2.081394759274792</v>
      </c>
      <c r="P72" s="10" t="n">
        <v>2.125981830610218</v>
      </c>
      <c r="Q72" s="10" t="n">
        <v>2.173670932360877</v>
      </c>
      <c r="R72" s="10" t="n">
        <v>2.223614481041793</v>
      </c>
      <c r="S72" s="10" t="n">
        <v>2.274956913285816</v>
      </c>
      <c r="T72" s="10" t="n">
        <v>2.326838990630522</v>
      </c>
      <c r="U72" s="10" t="n">
        <v>2.378455733906092</v>
      </c>
      <c r="V72" s="10" t="n">
        <v>2.429098944975952</v>
      </c>
      <c r="W72" s="10" t="n">
        <v>2.478139627128595</v>
      </c>
      <c r="X72" s="10" t="n">
        <v>2.525013288708398</v>
      </c>
      <c r="Y72" s="10" t="n">
        <v>2.569238438253663</v>
      </c>
      <c r="Z72" s="10" t="n">
        <v>2.610456708692485</v>
      </c>
      <c r="AA72" s="10" t="n">
        <v>2.648421647069791</v>
      </c>
      <c r="AB72" s="10" t="n">
        <v>2.682980184962888</v>
      </c>
      <c r="AC72" s="10" t="n">
        <v>2.714057943934804</v>
      </c>
      <c r="AD72" s="10" t="n">
        <v>2.741646702316408</v>
      </c>
      <c r="AE72" s="10" t="n">
        <v>2.765794058576469</v>
      </c>
      <c r="AF72" s="10" t="n">
        <v>2.786594970634188</v>
      </c>
      <c r="AG72" s="10" t="n">
        <v>2.804182392053739</v>
      </c>
      <c r="AH72" s="10" t="n">
        <v>2.818714192560575</v>
      </c>
      <c r="AI72" s="10" t="n">
        <v>2.830369146349891</v>
      </c>
      <c r="AJ72" s="10" t="n">
        <v>2.839340287362935</v>
      </c>
      <c r="AK72" s="10" t="n">
        <v>2.845831192353779</v>
      </c>
      <c r="AL72" s="10" t="n">
        <v>2.85004918434769</v>
      </c>
      <c r="AM72" s="10" t="n">
        <v>2.85220042851754</v>
      </c>
      <c r="AN72" s="10" t="n">
        <v>2.85248648025874</v>
      </c>
      <c r="AO72" s="10" t="n">
        <v>2.85110321542002</v>
      </c>
      <c r="AP72" s="10" t="n">
        <v>2.848239019713607</v>
      </c>
      <c r="AQ72" s="10" t="n">
        <v>2.84407392368844</v>
      </c>
      <c r="AR72" s="10" t="n">
        <v>2.838778385285647</v>
      </c>
      <c r="AS72" s="10" t="n">
        <v>2.832511958146033</v>
      </c>
      <c r="AT72" s="10" t="n">
        <v>2.825422589131401</v>
      </c>
      <c r="AU72" s="10" t="n">
        <v>2.817645948279788</v>
      </c>
      <c r="AV72" s="10" t="n">
        <v>2.809305542493818</v>
      </c>
      <c r="AW72" s="10" t="n">
        <v>2.800512762989714</v>
      </c>
      <c r="AX72" s="10" t="n">
        <v>2.791367797298303</v>
      </c>
      <c r="AY72" s="10" t="n">
        <v>2.78195967853765</v>
      </c>
      <c r="AZ72" s="10" t="n">
        <v>2.77236626540257</v>
      </c>
      <c r="BA72" s="10" t="n">
        <v>2.762655168194022</v>
      </c>
      <c r="BB72" s="10" t="n">
        <v>2.752884676758882</v>
      </c>
      <c r="BC72" s="10" t="n">
        <v>2.743104604477333</v>
      </c>
      <c r="BD72" s="10" t="n">
        <v>2.733357131257331</v>
      </c>
      <c r="BE72" s="10" t="n">
        <v>2.723677428804347</v>
      </c>
      <c r="BF72" s="10" t="n">
        <v>2.714093945043527</v>
      </c>
      <c r="BG72" s="10" t="n">
        <v>2.704629198718278</v>
      </c>
    </row>
    <row r="73">
      <c r="A73" s="9" t="n">
        <v>-52</v>
      </c>
      <c r="B73" s="7" t="n">
        <v>44762</v>
      </c>
      <c r="C73" s="10" t="n">
        <v>2.092955303991527</v>
      </c>
      <c r="D73" s="10" t="n">
        <v>2.035558350369448</v>
      </c>
      <c r="E73" s="10" t="n">
        <v>1.987178455287552</v>
      </c>
      <c r="F73" s="10" t="n">
        <v>1.950762777369941</v>
      </c>
      <c r="G73" s="10" t="n">
        <v>1.925940903274462</v>
      </c>
      <c r="H73" s="10" t="n">
        <v>1.911580929409857</v>
      </c>
      <c r="I73" s="10" t="n">
        <v>1.906603816618337</v>
      </c>
      <c r="J73" s="10" t="n">
        <v>1.910148787330774</v>
      </c>
      <c r="K73" s="10" t="n">
        <v>1.921521566145549</v>
      </c>
      <c r="L73" s="10" t="n">
        <v>1.940129642684895</v>
      </c>
      <c r="M73" s="10" t="n">
        <v>1.965394840538779</v>
      </c>
      <c r="N73" s="10" t="n">
        <v>1.996702511258128</v>
      </c>
      <c r="O73" s="10" t="n">
        <v>2.033383763303651</v>
      </c>
      <c r="P73" s="10" t="n">
        <v>2.074692977649267</v>
      </c>
      <c r="Q73" s="10" t="n">
        <v>2.119807772777135</v>
      </c>
      <c r="R73" s="10" t="n">
        <v>2.167839398462912</v>
      </c>
      <c r="S73" s="10" t="n">
        <v>2.21787310186793</v>
      </c>
      <c r="T73" s="10" t="n">
        <v>2.26897514223565</v>
      </c>
      <c r="U73" s="10" t="n">
        <v>2.320261424045573</v>
      </c>
      <c r="V73" s="10" t="n">
        <v>2.370947609931761</v>
      </c>
      <c r="W73" s="10" t="n">
        <v>2.420331179293066</v>
      </c>
      <c r="X73" s="10" t="n">
        <v>2.467776393984382</v>
      </c>
      <c r="Y73" s="10" t="n">
        <v>2.512736611178886</v>
      </c>
      <c r="Z73" s="10" t="n">
        <v>2.554800141828152</v>
      </c>
      <c r="AA73" s="10" t="n">
        <v>2.5936778158332</v>
      </c>
      <c r="AB73" s="10" t="n">
        <v>2.629182489448661</v>
      </c>
      <c r="AC73" s="10" t="n">
        <v>2.661213154741854</v>
      </c>
      <c r="AD73" s="10" t="n">
        <v>2.689741254846217</v>
      </c>
      <c r="AE73" s="10" t="n">
        <v>2.714799363932126</v>
      </c>
      <c r="AF73" s="10" t="n">
        <v>2.736471921213695</v>
      </c>
      <c r="AG73" s="10" t="n">
        <v>2.754884956396778</v>
      </c>
      <c r="AH73" s="10" t="n">
        <v>2.770191800381651</v>
      </c>
      <c r="AI73" s="10" t="n">
        <v>2.782568527327906</v>
      </c>
      <c r="AJ73" s="10" t="n">
        <v>2.792206532378958</v>
      </c>
      <c r="AK73" s="10" t="n">
        <v>2.799308531985504</v>
      </c>
      <c r="AL73" s="10" t="n">
        <v>2.804081488888728</v>
      </c>
      <c r="AM73" s="10" t="n">
        <v>2.806731600583342</v>
      </c>
      <c r="AN73" s="10" t="n">
        <v>2.807460922214564</v>
      </c>
      <c r="AO73" s="10" t="n">
        <v>2.806466296191883</v>
      </c>
      <c r="AP73" s="10" t="n">
        <v>2.803937503269814</v>
      </c>
      <c r="AQ73" s="10" t="n">
        <v>2.800056370676686</v>
      </c>
      <c r="AR73" s="10" t="n">
        <v>2.794995477929582</v>
      </c>
      <c r="AS73" s="10" t="n">
        <v>2.788916773180468</v>
      </c>
      <c r="AT73" s="10" t="n">
        <v>2.78197079429559</v>
      </c>
      <c r="AU73" s="10" t="n">
        <v>2.774295941793396</v>
      </c>
      <c r="AV73" s="10" t="n">
        <v>2.766018545090172</v>
      </c>
      <c r="AW73" s="10" t="n">
        <v>2.757252874389232</v>
      </c>
      <c r="AX73" s="10" t="n">
        <v>2.748102035001216</v>
      </c>
      <c r="AY73" s="10" t="n">
        <v>2.738657928422913</v>
      </c>
      <c r="AZ73" s="10" t="n">
        <v>2.729001161108061</v>
      </c>
      <c r="BA73" s="10" t="n">
        <v>2.719201968000706</v>
      </c>
      <c r="BB73" s="10" t="n">
        <v>2.709321053684429</v>
      </c>
      <c r="BC73" s="10" t="n">
        <v>2.699410347700759</v>
      </c>
      <c r="BD73" s="10" t="n">
        <v>2.689513863420652</v>
      </c>
      <c r="BE73" s="10" t="n">
        <v>2.679668365142069</v>
      </c>
      <c r="BF73" s="10" t="n">
        <v>2.669903741264081</v>
      </c>
      <c r="BG73" s="10" t="n">
        <v>2.660243879602203</v>
      </c>
    </row>
    <row r="74">
      <c r="A74" s="9" t="n">
        <v>-51</v>
      </c>
      <c r="B74" s="7" t="n">
        <v>44763</v>
      </c>
      <c r="C74" s="10" t="n">
        <v>2.002880943698471</v>
      </c>
      <c r="D74" s="10" t="n">
        <v>1.947817483454293</v>
      </c>
      <c r="E74" s="10" t="n">
        <v>1.902084876454455</v>
      </c>
      <c r="F74" s="10" t="n">
        <v>1.868026080500173</v>
      </c>
      <c r="G74" s="10" t="n">
        <v>1.844923603949847</v>
      </c>
      <c r="H74" s="10" t="n">
        <v>1.831529077106187</v>
      </c>
      <c r="I74" s="10" t="n">
        <v>1.826770405179255</v>
      </c>
      <c r="J74" s="10" t="n">
        <v>1.829842810946817</v>
      </c>
      <c r="K74" s="10" t="n">
        <v>1.840125448356405</v>
      </c>
      <c r="L74" s="10" t="n">
        <v>1.857099033819092</v>
      </c>
      <c r="M74" s="10" t="n">
        <v>1.880260134106193</v>
      </c>
      <c r="N74" s="10" t="n">
        <v>1.909067441284702</v>
      </c>
      <c r="O74" s="10" t="n">
        <v>1.942920774019424</v>
      </c>
      <c r="P74" s="10" t="n">
        <v>1.981137939767097</v>
      </c>
      <c r="Q74" s="10" t="n">
        <v>2.022955318639169</v>
      </c>
      <c r="R74" s="10" t="n">
        <v>2.067539384775317</v>
      </c>
      <c r="S74" s="10" t="n">
        <v>2.11402889562163</v>
      </c>
      <c r="T74" s="10" t="n">
        <v>2.161543802661938</v>
      </c>
      <c r="U74" s="10" t="n">
        <v>2.209251985966185</v>
      </c>
      <c r="V74" s="10" t="n">
        <v>2.256416721798124</v>
      </c>
      <c r="W74" s="10" t="n">
        <v>2.302379453164718</v>
      </c>
      <c r="X74" s="10" t="n">
        <v>2.346545455419435</v>
      </c>
      <c r="Y74" s="10" t="n">
        <v>2.388405212684682</v>
      </c>
      <c r="Z74" s="10" t="n">
        <v>2.427577585775291</v>
      </c>
      <c r="AA74" s="10" t="n">
        <v>2.4637973894663</v>
      </c>
      <c r="AB74" s="10" t="n">
        <v>2.496894734993642</v>
      </c>
      <c r="AC74" s="10" t="n">
        <v>2.526778612167845</v>
      </c>
      <c r="AD74" s="10" t="n">
        <v>2.553424076581957</v>
      </c>
      <c r="AE74" s="10" t="n">
        <v>2.576861926649564</v>
      </c>
      <c r="AF74" s="10" t="n">
        <v>2.597170253282363</v>
      </c>
      <c r="AG74" s="10" t="n">
        <v>2.614464576569305</v>
      </c>
      <c r="AH74" s="10" t="n">
        <v>2.628883485229847</v>
      </c>
      <c r="AI74" s="10" t="n">
        <v>2.640584874551918</v>
      </c>
      <c r="AJ74" s="10" t="n">
        <v>2.649739126356904</v>
      </c>
      <c r="AK74" s="10" t="n">
        <v>2.656525551189949</v>
      </c>
      <c r="AL74" s="10" t="n">
        <v>2.661125947999019</v>
      </c>
      <c r="AM74" s="10" t="n">
        <v>2.663720219923039</v>
      </c>
      <c r="AN74" s="10" t="n">
        <v>2.664483725167228</v>
      </c>
      <c r="AO74" s="10" t="n">
        <v>2.66358656008143</v>
      </c>
      <c r="AP74" s="10" t="n">
        <v>2.661192301710976</v>
      </c>
      <c r="AQ74" s="10" t="n">
        <v>2.65745746727637</v>
      </c>
      <c r="AR74" s="10" t="n">
        <v>2.652530603119936</v>
      </c>
      <c r="AS74" s="10" t="n">
        <v>2.646551306502671</v>
      </c>
      <c r="AT74" s="10" t="n">
        <v>2.639649682853419</v>
      </c>
      <c r="AU74" s="10" t="n">
        <v>2.631945853229828</v>
      </c>
      <c r="AV74" s="10" t="n">
        <v>2.623550166454925</v>
      </c>
      <c r="AW74" s="10" t="n">
        <v>2.614563409677344</v>
      </c>
      <c r="AX74" s="10" t="n">
        <v>2.605077715131446</v>
      </c>
      <c r="AY74" s="10" t="n">
        <v>2.595176617282753</v>
      </c>
      <c r="AZ74" s="10" t="n">
        <v>2.584934964398873</v>
      </c>
      <c r="BA74" s="10" t="n">
        <v>2.57441963603637</v>
      </c>
      <c r="BB74" s="10" t="n">
        <v>2.563690289998425</v>
      </c>
      <c r="BC74" s="10" t="n">
        <v>2.552800059090991</v>
      </c>
      <c r="BD74" s="10" t="n">
        <v>2.541796293769795</v>
      </c>
      <c r="BE74" s="10" t="n">
        <v>2.53072109332722</v>
      </c>
      <c r="BF74" s="10" t="n">
        <v>2.519611542287928</v>
      </c>
      <c r="BG74" s="10" t="n">
        <v>2.508500496519536</v>
      </c>
    </row>
    <row r="75">
      <c r="A75" s="9" t="n">
        <v>-50</v>
      </c>
      <c r="B75" s="7" t="n">
        <v>44764</v>
      </c>
      <c r="C75" s="10" t="n">
        <v>1.865637743472151</v>
      </c>
      <c r="D75" s="10" t="n">
        <v>1.811395854508313</v>
      </c>
      <c r="E75" s="10" t="n">
        <v>1.767831769748229</v>
      </c>
      <c r="F75" s="10" t="n">
        <v>1.736734667692055</v>
      </c>
      <c r="G75" s="10" t="n">
        <v>1.717051939444199</v>
      </c>
      <c r="H75" s="10" t="n">
        <v>1.707311264519437</v>
      </c>
      <c r="I75" s="10" t="n">
        <v>1.706273606459677</v>
      </c>
      <c r="J75" s="10" t="n">
        <v>1.713010263557575</v>
      </c>
      <c r="K75" s="10" t="n">
        <v>1.726816579564884</v>
      </c>
      <c r="L75" s="10" t="n">
        <v>1.74711355385127</v>
      </c>
      <c r="M75" s="10" t="n">
        <v>1.773364147981737</v>
      </c>
      <c r="N75" s="10" t="n">
        <v>1.805012999746892</v>
      </c>
      <c r="O75" s="10" t="n">
        <v>1.841460672178892</v>
      </c>
      <c r="P75" s="10" t="n">
        <v>1.882037551270328</v>
      </c>
      <c r="Q75" s="10" t="n">
        <v>1.926002215926746</v>
      </c>
      <c r="R75" s="10" t="n">
        <v>1.972549961909135</v>
      </c>
      <c r="S75" s="10" t="n">
        <v>2.020852038795685</v>
      </c>
      <c r="T75" s="10" t="n">
        <v>2.070062598878291</v>
      </c>
      <c r="U75" s="10" t="n">
        <v>2.119382245491537</v>
      </c>
      <c r="V75" s="10" t="n">
        <v>2.168101336772209</v>
      </c>
      <c r="W75" s="10" t="n">
        <v>2.215583583196187</v>
      </c>
      <c r="X75" s="10" t="n">
        <v>2.261252716214392</v>
      </c>
      <c r="Y75" s="10" t="n">
        <v>2.304613567754354</v>
      </c>
      <c r="Z75" s="10" t="n">
        <v>2.345292214316883</v>
      </c>
      <c r="AA75" s="10" t="n">
        <v>2.383024370940531</v>
      </c>
      <c r="AB75" s="10" t="n">
        <v>2.417637071169399</v>
      </c>
      <c r="AC75" s="10" t="n">
        <v>2.449033923738109</v>
      </c>
      <c r="AD75" s="10" t="n">
        <v>2.477182840324657</v>
      </c>
      <c r="AE75" s="10" t="n">
        <v>2.502105988346069</v>
      </c>
      <c r="AF75" s="10" t="n">
        <v>2.523871565481965</v>
      </c>
      <c r="AG75" s="10" t="n">
        <v>2.542584474638145</v>
      </c>
      <c r="AH75" s="10" t="n">
        <v>2.558373293350535</v>
      </c>
      <c r="AI75" s="10" t="n">
        <v>2.571386226011581</v>
      </c>
      <c r="AJ75" s="10" t="n">
        <v>2.581785028704898</v>
      </c>
      <c r="AK75" s="10" t="n">
        <v>2.589741547760242</v>
      </c>
      <c r="AL75" s="10" t="n">
        <v>2.595431347541691</v>
      </c>
      <c r="AM75" s="10" t="n">
        <v>2.599029478545769</v>
      </c>
      <c r="AN75" s="10" t="n">
        <v>2.600707981214865</v>
      </c>
      <c r="AO75" s="10" t="n">
        <v>2.600635165124662</v>
      </c>
      <c r="AP75" s="10" t="n">
        <v>2.598974498166267</v>
      </c>
      <c r="AQ75" s="10" t="n">
        <v>2.595884103412132</v>
      </c>
      <c r="AR75" s="10" t="n">
        <v>2.591515706578615</v>
      </c>
      <c r="AS75" s="10" t="n">
        <v>2.586013562832859</v>
      </c>
      <c r="AT75" s="10" t="n">
        <v>2.579513577927269</v>
      </c>
      <c r="AU75" s="10" t="n">
        <v>2.572142528344177</v>
      </c>
      <c r="AV75" s="10" t="n">
        <v>2.564018022937969</v>
      </c>
      <c r="AW75" s="10" t="n">
        <v>2.555248487474511</v>
      </c>
      <c r="AX75" s="10" t="n">
        <v>2.545933909071548</v>
      </c>
      <c r="AY75" s="10" t="n">
        <v>2.536165619124795</v>
      </c>
      <c r="AZ75" s="10" t="n">
        <v>2.526026040422706</v>
      </c>
      <c r="BA75" s="10" t="n">
        <v>2.515589402927333</v>
      </c>
      <c r="BB75" s="10" t="n">
        <v>2.504922383369372</v>
      </c>
      <c r="BC75" s="10" t="n">
        <v>2.494084681581962</v>
      </c>
      <c r="BD75" s="10" t="n">
        <v>2.483129692697327</v>
      </c>
      <c r="BE75" s="10" t="n">
        <v>2.472104973337875</v>
      </c>
      <c r="BF75" s="10" t="n">
        <v>2.46105237891547</v>
      </c>
      <c r="BG75" s="10" t="n">
        <v>2.450008842871628</v>
      </c>
    </row>
    <row r="76">
      <c r="A76" s="9" t="n">
        <v>-49</v>
      </c>
      <c r="B76" s="7" t="n">
        <v>44767</v>
      </c>
      <c r="C76" s="10" t="n">
        <v>1.855148048046731</v>
      </c>
      <c r="D76" s="10" t="n">
        <v>1.802470487248177</v>
      </c>
      <c r="E76" s="10" t="n">
        <v>1.761142982141663</v>
      </c>
      <c r="F76" s="10" t="n">
        <v>1.732053118798419</v>
      </c>
      <c r="G76" s="10" t="n">
        <v>1.713980107092596</v>
      </c>
      <c r="H76" s="10" t="n">
        <v>1.705472298958161</v>
      </c>
      <c r="I76" s="10" t="n">
        <v>1.705355935628817</v>
      </c>
      <c r="J76" s="10" t="n">
        <v>1.712769521025886</v>
      </c>
      <c r="K76" s="10" t="n">
        <v>1.727068541877432</v>
      </c>
      <c r="L76" s="10" t="n">
        <v>1.747728157446593</v>
      </c>
      <c r="M76" s="10" t="n">
        <v>1.774262944102478</v>
      </c>
      <c r="N76" s="10" t="n">
        <v>1.806169979801589</v>
      </c>
      <c r="O76" s="10" t="n">
        <v>1.842901930845807</v>
      </c>
      <c r="P76" s="10" t="n">
        <v>1.88383996520129</v>
      </c>
      <c r="Q76" s="10" t="n">
        <v>1.928291871095097</v>
      </c>
      <c r="R76" s="10" t="n">
        <v>1.975498791095902</v>
      </c>
      <c r="S76" s="10" t="n">
        <v>2.024672281527113</v>
      </c>
      <c r="T76" s="10" t="n">
        <v>2.075001909396433</v>
      </c>
      <c r="U76" s="10" t="n">
        <v>2.125713107777221</v>
      </c>
      <c r="V76" s="10" t="n">
        <v>2.17610645041345</v>
      </c>
      <c r="W76" s="10" t="n">
        <v>2.225543982383396</v>
      </c>
      <c r="X76" s="10" t="n">
        <v>2.273438189046344</v>
      </c>
      <c r="Y76" s="10" t="n">
        <v>2.319272453449768</v>
      </c>
      <c r="Z76" s="10" t="n">
        <v>2.362638448757971</v>
      </c>
      <c r="AA76" s="10" t="n">
        <v>2.403227614583899</v>
      </c>
      <c r="AB76" s="10" t="n">
        <v>2.440818986514661</v>
      </c>
      <c r="AC76" s="10" t="n">
        <v>2.475269787685921</v>
      </c>
      <c r="AD76" s="10" t="n">
        <v>2.506503685073691</v>
      </c>
      <c r="AE76" s="10" t="n">
        <v>2.534500408987326</v>
      </c>
      <c r="AF76" s="10" t="n">
        <v>2.559287256186477</v>
      </c>
      <c r="AG76" s="10" t="n">
        <v>2.580930940996926</v>
      </c>
      <c r="AH76" s="10" t="n">
        <v>2.599528694805747</v>
      </c>
      <c r="AI76" s="10" t="n">
        <v>2.615203166256371</v>
      </c>
      <c r="AJ76" s="10" t="n">
        <v>2.628096032461275</v>
      </c>
      <c r="AK76" s="10" t="n">
        <v>2.638363993861753</v>
      </c>
      <c r="AL76" s="10" t="n">
        <v>2.646171837198082</v>
      </c>
      <c r="AM76" s="10" t="n">
        <v>2.65168787100715</v>
      </c>
      <c r="AN76" s="10" t="n">
        <v>2.65508139578847</v>
      </c>
      <c r="AO76" s="10" t="n">
        <v>2.656521745407034</v>
      </c>
      <c r="AP76" s="10" t="n">
        <v>2.656177211258718</v>
      </c>
      <c r="AQ76" s="10" t="n">
        <v>2.654214402298989</v>
      </c>
      <c r="AR76" s="10" t="n">
        <v>2.650796909848581</v>
      </c>
      <c r="AS76" s="10" t="n">
        <v>2.646083964643183</v>
      </c>
      <c r="AT76" s="10" t="n">
        <v>2.64022887099744</v>
      </c>
      <c r="AU76" s="10" t="n">
        <v>2.633377574048553</v>
      </c>
      <c r="AV76" s="10" t="n">
        <v>2.625667942172587</v>
      </c>
      <c r="AW76" s="10" t="n">
        <v>2.617229098101425</v>
      </c>
      <c r="AX76" s="10" t="n">
        <v>2.608181868068306</v>
      </c>
      <c r="AY76" s="10" t="n">
        <v>2.598637876152333</v>
      </c>
      <c r="AZ76" s="10" t="n">
        <v>2.588698759028073</v>
      </c>
      <c r="BA76" s="10" t="n">
        <v>2.578456882884563</v>
      </c>
      <c r="BB76" s="10" t="n">
        <v>2.567995538461426</v>
      </c>
      <c r="BC76" s="10" t="n">
        <v>2.557389044627271</v>
      </c>
      <c r="BD76" s="10" t="n">
        <v>2.546703263561704</v>
      </c>
      <c r="BE76" s="10" t="n">
        <v>2.535996002954182</v>
      </c>
      <c r="BF76" s="10" t="n">
        <v>2.525317064009314</v>
      </c>
      <c r="BG76" s="10" t="n">
        <v>2.514708997709192</v>
      </c>
    </row>
    <row r="77">
      <c r="A77" s="9" t="n">
        <v>-48</v>
      </c>
      <c r="B77" s="7" t="n">
        <v>44768</v>
      </c>
      <c r="C77" s="10" t="n">
        <v>1.831448948804805</v>
      </c>
      <c r="D77" s="10" t="n">
        <v>1.7798732791829</v>
      </c>
      <c r="E77" s="10" t="n">
        <v>1.738893936680567</v>
      </c>
      <c r="F77" s="10" t="n">
        <v>1.709483910777969</v>
      </c>
      <c r="G77" s="10" t="n">
        <v>1.690603030953432</v>
      </c>
      <c r="H77" s="10" t="n">
        <v>1.680959712781547</v>
      </c>
      <c r="I77" s="10" t="n">
        <v>1.679505214396739</v>
      </c>
      <c r="J77" s="10" t="n">
        <v>1.685469943380163</v>
      </c>
      <c r="K77" s="10" t="n">
        <v>1.698275178305272</v>
      </c>
      <c r="L77" s="10" t="n">
        <v>1.71744069270699</v>
      </c>
      <c r="M77" s="10" t="n">
        <v>1.74250903352802</v>
      </c>
      <c r="N77" s="10" t="n">
        <v>1.772995195649404</v>
      </c>
      <c r="O77" s="10" t="n">
        <v>1.808364295649526</v>
      </c>
      <c r="P77" s="10" t="n">
        <v>1.848008647674861</v>
      </c>
      <c r="Q77" s="10" t="n">
        <v>1.891247673135661</v>
      </c>
      <c r="R77" s="10" t="n">
        <v>1.937335519691019</v>
      </c>
      <c r="S77" s="10" t="n">
        <v>1.98549796051071</v>
      </c>
      <c r="T77" s="10" t="n">
        <v>2.034940329247613</v>
      </c>
      <c r="U77" s="10" t="n">
        <v>2.084902784880751</v>
      </c>
      <c r="V77" s="10" t="n">
        <v>2.13469721363235</v>
      </c>
      <c r="W77" s="10" t="n">
        <v>2.183694122864363</v>
      </c>
      <c r="X77" s="10" t="n">
        <v>2.23131215201868</v>
      </c>
      <c r="Y77" s="10" t="n">
        <v>2.277037718438024</v>
      </c>
      <c r="Z77" s="10" t="n">
        <v>2.320460272234714</v>
      </c>
      <c r="AA77" s="10" t="n">
        <v>2.361263644276944</v>
      </c>
      <c r="AB77" s="10" t="n">
        <v>2.399214996307197</v>
      </c>
      <c r="AC77" s="10" t="n">
        <v>2.434157262028011</v>
      </c>
      <c r="AD77" s="10" t="n">
        <v>2.46599798612827</v>
      </c>
      <c r="AE77" s="10" t="n">
        <v>2.494699230344836</v>
      </c>
      <c r="AF77" s="10" t="n">
        <v>2.520269312151151</v>
      </c>
      <c r="AG77" s="10" t="n">
        <v>2.542755494419521</v>
      </c>
      <c r="AH77" s="10" t="n">
        <v>2.562236965194119</v>
      </c>
      <c r="AI77" s="10" t="n">
        <v>2.578819380584433</v>
      </c>
      <c r="AJ77" s="10" t="n">
        <v>2.592628952546271</v>
      </c>
      <c r="AK77" s="10" t="n">
        <v>2.603808444908127</v>
      </c>
      <c r="AL77" s="10" t="n">
        <v>2.612510333169229</v>
      </c>
      <c r="AM77" s="10" t="n">
        <v>2.618892309226861</v>
      </c>
      <c r="AN77" s="10" t="n">
        <v>2.623114791328047</v>
      </c>
      <c r="AO77" s="10" t="n">
        <v>2.625339919356859</v>
      </c>
      <c r="AP77" s="10" t="n">
        <v>2.625730720488862</v>
      </c>
      <c r="AQ77" s="10" t="n">
        <v>2.62445052670398</v>
      </c>
      <c r="AR77" s="10" t="n">
        <v>2.621661628829277</v>
      </c>
      <c r="AS77" s="10" t="n">
        <v>2.617523921927133</v>
      </c>
      <c r="AT77" s="10" t="n">
        <v>2.612193038350273</v>
      </c>
      <c r="AU77" s="10" t="n">
        <v>2.605818635288361</v>
      </c>
      <c r="AV77" s="10" t="n">
        <v>2.598543378959924</v>
      </c>
      <c r="AW77" s="10" t="n">
        <v>2.590501998025208</v>
      </c>
      <c r="AX77" s="10" t="n">
        <v>2.581821517681427</v>
      </c>
      <c r="AY77" s="10" t="n">
        <v>2.572619935102545</v>
      </c>
      <c r="AZ77" s="10" t="n">
        <v>2.563005128067121</v>
      </c>
      <c r="BA77" s="10" t="n">
        <v>2.553075537284574</v>
      </c>
      <c r="BB77" s="10" t="n">
        <v>2.542920122620471</v>
      </c>
      <c r="BC77" s="10" t="n">
        <v>2.532618234046343</v>
      </c>
      <c r="BD77" s="10" t="n">
        <v>2.522240066820829</v>
      </c>
      <c r="BE77" s="10" t="n">
        <v>2.51184703572082</v>
      </c>
      <c r="BF77" s="10" t="n">
        <v>2.501491777937852</v>
      </c>
      <c r="BG77" s="10" t="n">
        <v>2.491218900720277</v>
      </c>
    </row>
    <row r="78">
      <c r="A78" s="9" t="n">
        <v>-47</v>
      </c>
      <c r="B78" s="7" t="n">
        <v>44769</v>
      </c>
      <c r="C78" s="10" t="n">
        <v>1.86104164984213</v>
      </c>
      <c r="D78" s="10" t="n">
        <v>1.819849918161014</v>
      </c>
      <c r="E78" s="10" t="n">
        <v>1.78355310413655</v>
      </c>
      <c r="F78" s="10" t="n">
        <v>1.755530919952085</v>
      </c>
      <c r="G78" s="10" t="n">
        <v>1.736209599487615</v>
      </c>
      <c r="H78" s="10" t="n">
        <v>1.725174701729127</v>
      </c>
      <c r="I78" s="10" t="n">
        <v>1.721910351989002</v>
      </c>
      <c r="J78" s="10" t="n">
        <v>1.725973033358258</v>
      </c>
      <c r="K78" s="10" t="n">
        <v>1.73698099588587</v>
      </c>
      <c r="L78" s="10" t="n">
        <v>1.754565740312285</v>
      </c>
      <c r="M78" s="10" t="n">
        <v>1.778324469147255</v>
      </c>
      <c r="N78" s="10" t="n">
        <v>1.807789472798412</v>
      </c>
      <c r="O78" s="10" t="n">
        <v>1.8424189737525</v>
      </c>
      <c r="P78" s="10" t="n">
        <v>1.881585601046924</v>
      </c>
      <c r="Q78" s="10" t="n">
        <v>1.92458288781003</v>
      </c>
      <c r="R78" s="10" t="n">
        <v>1.970638494715302</v>
      </c>
      <c r="S78" s="10" t="n">
        <v>2.018952857631557</v>
      </c>
      <c r="T78" s="10" t="n">
        <v>2.068708006299734</v>
      </c>
      <c r="U78" s="10" t="n">
        <v>2.119123493732491</v>
      </c>
      <c r="V78" s="10" t="n">
        <v>2.169492415314536</v>
      </c>
      <c r="W78" s="10" t="n">
        <v>2.219167871072606</v>
      </c>
      <c r="X78" s="10" t="n">
        <v>2.267552239002179</v>
      </c>
      <c r="Y78" s="10" t="n">
        <v>2.314116926758406</v>
      </c>
      <c r="Z78" s="10" t="n">
        <v>2.358437279269537</v>
      </c>
      <c r="AA78" s="10" t="n">
        <v>2.40018275496339</v>
      </c>
      <c r="AB78" s="10" t="n">
        <v>2.4391056504182</v>
      </c>
      <c r="AC78" s="10" t="n">
        <v>2.475034598697117</v>
      </c>
      <c r="AD78" s="10" t="n">
        <v>2.507863483501594</v>
      </c>
      <c r="AE78" s="10" t="n">
        <v>2.537541245401221</v>
      </c>
      <c r="AF78" s="10" t="n">
        <v>2.564063539985435</v>
      </c>
      <c r="AG78" s="10" t="n">
        <v>2.587465909167137</v>
      </c>
      <c r="AH78" s="10" t="n">
        <v>2.607818144440006</v>
      </c>
      <c r="AI78" s="10" t="n">
        <v>2.625218407268168</v>
      </c>
      <c r="AJ78" s="10" t="n">
        <v>2.639787580165425</v>
      </c>
      <c r="AK78" s="10" t="n">
        <v>2.651665115875731</v>
      </c>
      <c r="AL78" s="10" t="n">
        <v>2.661002042717479</v>
      </c>
      <c r="AM78" s="10" t="n">
        <v>2.667956309661942</v>
      </c>
      <c r="AN78" s="10" t="n">
        <v>2.672690063119858</v>
      </c>
      <c r="AO78" s="10" t="n">
        <v>2.675368454815482</v>
      </c>
      <c r="AP78" s="10" t="n">
        <v>2.676158615057122</v>
      </c>
      <c r="AQ78" s="10" t="n">
        <v>2.675228917487515</v>
      </c>
      <c r="AR78" s="10" t="n">
        <v>2.672747459428879</v>
      </c>
      <c r="AS78" s="10" t="n">
        <v>2.668880555427644</v>
      </c>
      <c r="AT78" s="10" t="n">
        <v>2.663790651908398</v>
      </c>
      <c r="AU78" s="10" t="n">
        <v>2.657634431365281</v>
      </c>
      <c r="AV78" s="10" t="n">
        <v>2.65056159945031</v>
      </c>
      <c r="AW78" s="10" t="n">
        <v>2.642713741084186</v>
      </c>
      <c r="AX78" s="10" t="n">
        <v>2.63422437817056</v>
      </c>
      <c r="AY78" s="10" t="n">
        <v>2.625217432093177</v>
      </c>
      <c r="AZ78" s="10" t="n">
        <v>2.615806053220682</v>
      </c>
      <c r="BA78" s="10" t="n">
        <v>2.606093343690089</v>
      </c>
      <c r="BB78" s="10" t="n">
        <v>2.596172258798351</v>
      </c>
      <c r="BC78" s="10" t="n">
        <v>2.586125425262359</v>
      </c>
      <c r="BD78" s="10" t="n">
        <v>2.576025591045478</v>
      </c>
      <c r="BE78" s="10" t="n">
        <v>2.565936016134975</v>
      </c>
      <c r="BF78" s="10" t="n">
        <v>2.555910499860037</v>
      </c>
      <c r="BG78" s="10" t="n">
        <v>2.545994125134129</v>
      </c>
    </row>
    <row r="79">
      <c r="A79" s="9" t="n">
        <v>-46</v>
      </c>
      <c r="B79" s="7" t="n">
        <v>44770</v>
      </c>
      <c r="C79" s="10" t="n">
        <v>1.701378002484141</v>
      </c>
      <c r="D79" s="10" t="n">
        <v>1.669297863749334</v>
      </c>
      <c r="E79" s="10" t="n">
        <v>1.639490807863117</v>
      </c>
      <c r="F79" s="10" t="n">
        <v>1.616367595374492</v>
      </c>
      <c r="G79" s="10" t="n">
        <v>1.601125017443897</v>
      </c>
      <c r="H79" s="10" t="n">
        <v>1.593820958900735</v>
      </c>
      <c r="I79" s="10" t="n">
        <v>1.594194872851549</v>
      </c>
      <c r="J79" s="10" t="n">
        <v>1.601913401592478</v>
      </c>
      <c r="K79" s="10" t="n">
        <v>1.616609071303093</v>
      </c>
      <c r="L79" s="10" t="n">
        <v>1.637864343976011</v>
      </c>
      <c r="M79" s="10" t="n">
        <v>1.665189015958849</v>
      </c>
      <c r="N79" s="10" t="n">
        <v>1.698014711882376</v>
      </c>
      <c r="O79" s="10" t="n">
        <v>1.735704308570611</v>
      </c>
      <c r="P79" s="10" t="n">
        <v>1.777555804472561</v>
      </c>
      <c r="Q79" s="10" t="n">
        <v>1.822812538286493</v>
      </c>
      <c r="R79" s="10" t="n">
        <v>1.870680450088915</v>
      </c>
      <c r="S79" s="10" t="n">
        <v>1.92036280383881</v>
      </c>
      <c r="T79" s="10" t="n">
        <v>1.971066337270186</v>
      </c>
      <c r="U79" s="10" t="n">
        <v>2.022049942099638</v>
      </c>
      <c r="V79" s="10" t="n">
        <v>2.072653960701691</v>
      </c>
      <c r="W79" s="10" t="n">
        <v>2.12228481910377</v>
      </c>
      <c r="X79" s="10" t="n">
        <v>2.170402995744856</v>
      </c>
      <c r="Y79" s="10" t="n">
        <v>2.216539286003551</v>
      </c>
      <c r="Z79" s="10" t="n">
        <v>2.260324814547809</v>
      </c>
      <c r="AA79" s="10" t="n">
        <v>2.30148139955725</v>
      </c>
      <c r="AB79" s="10" t="n">
        <v>2.339808393521848</v>
      </c>
      <c r="AC79" s="10" t="n">
        <v>2.375172119557105</v>
      </c>
      <c r="AD79" s="10" t="n">
        <v>2.40749544578308</v>
      </c>
      <c r="AE79" s="10" t="n">
        <v>2.436748950634192</v>
      </c>
      <c r="AF79" s="10" t="n">
        <v>2.462943691275282</v>
      </c>
      <c r="AG79" s="10" t="n">
        <v>2.486124157225353</v>
      </c>
      <c r="AH79" s="10" t="n">
        <v>2.506360170346175</v>
      </c>
      <c r="AI79" s="10" t="n">
        <v>2.523743358439179</v>
      </c>
      <c r="AJ79" s="10" t="n">
        <v>2.538383828849958</v>
      </c>
      <c r="AK79" s="10" t="n">
        <v>2.550406948640719</v>
      </c>
      <c r="AL79" s="10" t="n">
        <v>2.559947786522079</v>
      </c>
      <c r="AM79" s="10" t="n">
        <v>2.567147527690962</v>
      </c>
      <c r="AN79" s="10" t="n">
        <v>2.572151595750929</v>
      </c>
      <c r="AO79" s="10" t="n">
        <v>2.575108805041305</v>
      </c>
      <c r="AP79" s="10" t="n">
        <v>2.576170916128412</v>
      </c>
      <c r="AQ79" s="10" t="n">
        <v>2.575492169581292</v>
      </c>
      <c r="AR79" s="10" t="n">
        <v>2.573227885906991</v>
      </c>
      <c r="AS79" s="10" t="n">
        <v>2.569533077287602</v>
      </c>
      <c r="AT79" s="10" t="n">
        <v>2.564560416902433</v>
      </c>
      <c r="AU79" s="10" t="n">
        <v>2.558458408362182</v>
      </c>
      <c r="AV79" s="10" t="n">
        <v>2.551370208246865</v>
      </c>
      <c r="AW79" s="10" t="n">
        <v>2.543432553120902</v>
      </c>
      <c r="AX79" s="10" t="n">
        <v>2.53477579481591</v>
      </c>
      <c r="AY79" s="10" t="n">
        <v>2.525522354933687</v>
      </c>
      <c r="AZ79" s="10" t="n">
        <v>2.515785507452287</v>
      </c>
      <c r="BA79" s="10" t="n">
        <v>2.50566996892593</v>
      </c>
      <c r="BB79" s="10" t="n">
        <v>2.495271739497681</v>
      </c>
      <c r="BC79" s="10" t="n">
        <v>2.484677861408528</v>
      </c>
      <c r="BD79" s="10" t="n">
        <v>2.473966654648065</v>
      </c>
      <c r="BE79" s="10" t="n">
        <v>2.463207884685583</v>
      </c>
      <c r="BF79" s="10" t="n">
        <v>2.452462505689623</v>
      </c>
      <c r="BG79" s="10" t="n">
        <v>2.441783193006827</v>
      </c>
    </row>
    <row r="80">
      <c r="A80" s="9" t="n">
        <v>-45</v>
      </c>
      <c r="B80" s="7" t="n">
        <v>44771</v>
      </c>
      <c r="C80" s="10" t="n">
        <v>1.725975400984225</v>
      </c>
      <c r="D80" s="10" t="n">
        <v>1.685821922184364</v>
      </c>
      <c r="E80" s="10" t="n">
        <v>1.65262950322946</v>
      </c>
      <c r="F80" s="10" t="n">
        <v>1.628652102947409</v>
      </c>
      <c r="G80" s="10" t="n">
        <v>1.613782656010479</v>
      </c>
      <c r="H80" s="10" t="n">
        <v>1.607345771739253</v>
      </c>
      <c r="I80" s="10" t="n">
        <v>1.608685279845714</v>
      </c>
      <c r="J80" s="10" t="n">
        <v>1.617248180453595</v>
      </c>
      <c r="K80" s="10" t="n">
        <v>1.632541518517465</v>
      </c>
      <c r="L80" s="10" t="n">
        <v>1.654075094420503</v>
      </c>
      <c r="M80" s="10" t="n">
        <v>1.681311740027726</v>
      </c>
      <c r="N80" s="10" t="n">
        <v>1.713655154740604</v>
      </c>
      <c r="O80" s="10" t="n">
        <v>1.750454352150731</v>
      </c>
      <c r="P80" s="10" t="n">
        <v>1.791009382094235</v>
      </c>
      <c r="Q80" s="10" t="n">
        <v>1.834580746723811</v>
      </c>
      <c r="R80" s="10" t="n">
        <v>1.880407909088604</v>
      </c>
      <c r="S80" s="10" t="n">
        <v>1.927741994730159</v>
      </c>
      <c r="T80" s="10" t="n">
        <v>1.975852067062041</v>
      </c>
      <c r="U80" s="10" t="n">
        <v>2.024067510346336</v>
      </c>
      <c r="V80" s="10" t="n">
        <v>2.071799746978755</v>
      </c>
      <c r="W80" s="10" t="n">
        <v>2.118526425381985</v>
      </c>
      <c r="X80" s="10" t="n">
        <v>2.163779285417903</v>
      </c>
      <c r="Y80" s="10" t="n">
        <v>2.207157310515953</v>
      </c>
      <c r="Z80" s="10" t="n">
        <v>2.248350994767062</v>
      </c>
      <c r="AA80" s="10" t="n">
        <v>2.287133101405117</v>
      </c>
      <c r="AB80" s="10" t="n">
        <v>2.323344080523534</v>
      </c>
      <c r="AC80" s="10" t="n">
        <v>2.356878259998417</v>
      </c>
      <c r="AD80" s="10" t="n">
        <v>2.387674733127167</v>
      </c>
      <c r="AE80" s="10" t="n">
        <v>2.415710363619202</v>
      </c>
      <c r="AF80" s="10" t="n">
        <v>2.440994055319982</v>
      </c>
      <c r="AG80" s="10" t="n">
        <v>2.463559670926819</v>
      </c>
      <c r="AH80" s="10" t="n">
        <v>2.483456233833627</v>
      </c>
      <c r="AI80" s="10" t="n">
        <v>2.500747631863406</v>
      </c>
      <c r="AJ80" s="10" t="n">
        <v>2.515511412996647</v>
      </c>
      <c r="AK80" s="10" t="n">
        <v>2.527836577855642</v>
      </c>
      <c r="AL80" s="10" t="n">
        <v>2.537819903331151</v>
      </c>
      <c r="AM80" s="10" t="n">
        <v>2.545563798742831</v>
      </c>
      <c r="AN80" s="10" t="n">
        <v>2.551175627564459</v>
      </c>
      <c r="AO80" s="10" t="n">
        <v>2.554767371388932</v>
      </c>
      <c r="AP80" s="10" t="n">
        <v>2.556456333904715</v>
      </c>
      <c r="AQ80" s="10" t="n">
        <v>2.556365184284759</v>
      </c>
      <c r="AR80" s="10" t="n">
        <v>2.554621078334133</v>
      </c>
      <c r="AS80" s="10" t="n">
        <v>2.551354737180588</v>
      </c>
      <c r="AT80" s="10" t="n">
        <v>2.546698523630665</v>
      </c>
      <c r="AU80" s="10" t="n">
        <v>2.540784717296847</v>
      </c>
      <c r="AV80" s="10" t="n">
        <v>2.533744295752441</v>
      </c>
      <c r="AW80" s="10" t="n">
        <v>2.52570587098402</v>
      </c>
      <c r="AX80" s="10" t="n">
        <v>2.516795459423024</v>
      </c>
      <c r="AY80" s="10" t="n">
        <v>2.507134646499328</v>
      </c>
      <c r="AZ80" s="10" t="n">
        <v>2.496839127896382</v>
      </c>
      <c r="BA80" s="10" t="n">
        <v>2.486019004654383</v>
      </c>
      <c r="BB80" s="10" t="n">
        <v>2.474778305999088</v>
      </c>
      <c r="BC80" s="10" t="n">
        <v>2.463214453657656</v>
      </c>
      <c r="BD80" s="10" t="n">
        <v>2.451418077229523</v>
      </c>
      <c r="BE80" s="10" t="n">
        <v>2.439472819410351</v>
      </c>
      <c r="BF80" s="10" t="n">
        <v>2.427454704082184</v>
      </c>
      <c r="BG80" s="10" t="n">
        <v>2.415432252018112</v>
      </c>
    </row>
    <row r="81">
      <c r="A81" s="9" t="n">
        <v>-44</v>
      </c>
      <c r="B81" s="7" t="n">
        <v>44774</v>
      </c>
      <c r="C81" s="10" t="n">
        <v>1.672222228102078</v>
      </c>
      <c r="D81" s="10" t="n">
        <v>1.625050981109718</v>
      </c>
      <c r="E81" s="10" t="n">
        <v>1.588779010676416</v>
      </c>
      <c r="F81" s="10" t="n">
        <v>1.563598515157239</v>
      </c>
      <c r="G81" s="10" t="n">
        <v>1.548383700334612</v>
      </c>
      <c r="H81" s="10" t="n">
        <v>1.541949983064852</v>
      </c>
      <c r="I81" s="10" t="n">
        <v>1.54338078482835</v>
      </c>
      <c r="J81" s="10" t="n">
        <v>1.551975611880016</v>
      </c>
      <c r="K81" s="10" t="n">
        <v>1.567144850859262</v>
      </c>
      <c r="L81" s="10" t="n">
        <v>1.588328107628116</v>
      </c>
      <c r="M81" s="10" t="n">
        <v>1.614938376956444</v>
      </c>
      <c r="N81" s="10" t="n">
        <v>1.646347532173091</v>
      </c>
      <c r="O81" s="10" t="n">
        <v>1.681886796839634</v>
      </c>
      <c r="P81" s="10" t="n">
        <v>1.720850489648072</v>
      </c>
      <c r="Q81" s="10" t="n">
        <v>1.762503348030646</v>
      </c>
      <c r="R81" s="10" t="n">
        <v>1.806098630225357</v>
      </c>
      <c r="S81" s="10" t="n">
        <v>1.850909990255988</v>
      </c>
      <c r="T81" s="10" t="n">
        <v>1.896237527849429</v>
      </c>
      <c r="U81" s="10" t="n">
        <v>1.941447955688723</v>
      </c>
      <c r="V81" s="10" t="n">
        <v>1.985993548549535</v>
      </c>
      <c r="W81" s="10" t="n">
        <v>2.029395515868178</v>
      </c>
      <c r="X81" s="10" t="n">
        <v>2.07123129955814</v>
      </c>
      <c r="Y81" s="10" t="n">
        <v>2.111146326618948</v>
      </c>
      <c r="Z81" s="10" t="n">
        <v>2.148876186121594</v>
      </c>
      <c r="AA81" s="10" t="n">
        <v>2.184237101445825</v>
      </c>
      <c r="AB81" s="10" t="n">
        <v>2.217109182352073</v>
      </c>
      <c r="AC81" s="10" t="n">
        <v>2.247419577248672</v>
      </c>
      <c r="AD81" s="10" t="n">
        <v>2.275133892828915</v>
      </c>
      <c r="AE81" s="10" t="n">
        <v>2.300250184073493</v>
      </c>
      <c r="AF81" s="10" t="n">
        <v>2.322794026296036</v>
      </c>
      <c r="AG81" s="10" t="n">
        <v>2.342811036293718</v>
      </c>
      <c r="AH81" s="10" t="n">
        <v>2.360355104113241</v>
      </c>
      <c r="AI81" s="10" t="n">
        <v>2.375489828901595</v>
      </c>
      <c r="AJ81" s="10" t="n">
        <v>2.388288364696034</v>
      </c>
      <c r="AK81" s="10" t="n">
        <v>2.398831911892354</v>
      </c>
      <c r="AL81" s="10" t="n">
        <v>2.407207247805234</v>
      </c>
      <c r="AM81" s="10" t="n">
        <v>2.413505520866152</v>
      </c>
      <c r="AN81" s="10" t="n">
        <v>2.417822406824794</v>
      </c>
      <c r="AO81" s="10" t="n">
        <v>2.420258078764136</v>
      </c>
      <c r="AP81" s="10" t="n">
        <v>2.420918192803667</v>
      </c>
      <c r="AQ81" s="10" t="n">
        <v>2.41991405630261</v>
      </c>
      <c r="AR81" s="10" t="n">
        <v>2.417361804601711</v>
      </c>
      <c r="AS81" s="10" t="n">
        <v>2.413381540634546</v>
      </c>
      <c r="AT81" s="10" t="n">
        <v>2.408095582950114</v>
      </c>
      <c r="AU81" s="10" t="n">
        <v>2.401626906800852</v>
      </c>
      <c r="AV81" s="10" t="n">
        <v>2.394098020357336</v>
      </c>
      <c r="AW81" s="10" t="n">
        <v>2.385629990192939</v>
      </c>
      <c r="AX81" s="10" t="n">
        <v>2.376342150430018</v>
      </c>
      <c r="AY81" s="10" t="n">
        <v>2.366350236692146</v>
      </c>
      <c r="AZ81" s="10" t="n">
        <v>2.355764913984057</v>
      </c>
      <c r="BA81" s="10" t="n">
        <v>2.344692005240395</v>
      </c>
      <c r="BB81" s="10" t="n">
        <v>2.333231976068298</v>
      </c>
      <c r="BC81" s="10" t="n">
        <v>2.321479370988623</v>
      </c>
      <c r="BD81" s="10" t="n">
        <v>2.309522558636742</v>
      </c>
      <c r="BE81" s="10" t="n">
        <v>2.297443461379154</v>
      </c>
      <c r="BF81" s="10" t="n">
        <v>2.285316831810207</v>
      </c>
      <c r="BG81" s="10" t="n">
        <v>2.273210266135183</v>
      </c>
    </row>
    <row r="82">
      <c r="A82" s="9" t="n">
        <v>-43</v>
      </c>
      <c r="B82" s="7" t="n">
        <v>44775</v>
      </c>
      <c r="C82" s="10" t="n">
        <v>1.738846739803825</v>
      </c>
      <c r="D82" s="10" t="n">
        <v>1.685437849741101</v>
      </c>
      <c r="E82" s="10" t="n">
        <v>1.646499320642303</v>
      </c>
      <c r="F82" s="10" t="n">
        <v>1.620420644135133</v>
      </c>
      <c r="G82" s="10" t="n">
        <v>1.605059456891435</v>
      </c>
      <c r="H82" s="10" t="n">
        <v>1.598657173453292</v>
      </c>
      <c r="I82" s="10" t="n">
        <v>1.599969444049768</v>
      </c>
      <c r="J82" s="10" t="n">
        <v>1.60811056577212</v>
      </c>
      <c r="K82" s="10" t="n">
        <v>1.622394753517928</v>
      </c>
      <c r="L82" s="10" t="n">
        <v>1.642227361400877</v>
      </c>
      <c r="M82" s="10" t="n">
        <v>1.667030285159049</v>
      </c>
      <c r="N82" s="10" t="n">
        <v>1.696212896685382</v>
      </c>
      <c r="O82" s="10" t="n">
        <v>1.729159676026129</v>
      </c>
      <c r="P82" s="10" t="n">
        <v>1.765225800656349</v>
      </c>
      <c r="Q82" s="10" t="n">
        <v>1.803740613804321</v>
      </c>
      <c r="R82" s="10" t="n">
        <v>1.844022319590338</v>
      </c>
      <c r="S82" s="10" t="n">
        <v>1.885406943689181</v>
      </c>
      <c r="T82" s="10" t="n">
        <v>1.927254488461724</v>
      </c>
      <c r="U82" s="10" t="n">
        <v>1.968985159202029</v>
      </c>
      <c r="V82" s="10" t="n">
        <v>2.010095630794558</v>
      </c>
      <c r="W82" s="10" t="n">
        <v>2.050144143606984</v>
      </c>
      <c r="X82" s="10" t="n">
        <v>2.088739194560056</v>
      </c>
      <c r="Y82" s="10" t="n">
        <v>2.125550366333098</v>
      </c>
      <c r="Z82" s="10" t="n">
        <v>2.160328190898738</v>
      </c>
      <c r="AA82" s="10" t="n">
        <v>2.192895313844162</v>
      </c>
      <c r="AB82" s="10" t="n">
        <v>2.223132088685537</v>
      </c>
      <c r="AC82" s="10" t="n">
        <v>2.250962699372005</v>
      </c>
      <c r="AD82" s="10" t="n">
        <v>2.276347418016731</v>
      </c>
      <c r="AE82" s="10" t="n">
        <v>2.299276965568701</v>
      </c>
      <c r="AF82" s="10" t="n">
        <v>2.319767888797817</v>
      </c>
      <c r="AG82" s="10" t="n">
        <v>2.337856112055763</v>
      </c>
      <c r="AH82" s="10" t="n">
        <v>2.353587560331026</v>
      </c>
      <c r="AI82" s="10" t="n">
        <v>2.367019129546723</v>
      </c>
      <c r="AJ82" s="10" t="n">
        <v>2.378218359622251</v>
      </c>
      <c r="AK82" s="10" t="n">
        <v>2.387261843779008</v>
      </c>
      <c r="AL82" s="10" t="n">
        <v>2.394232784945305</v>
      </c>
      <c r="AM82" s="10" t="n">
        <v>2.399219697525931</v>
      </c>
      <c r="AN82" s="10" t="n">
        <v>2.402316294995164</v>
      </c>
      <c r="AO82" s="10" t="n">
        <v>2.40362123350981</v>
      </c>
      <c r="AP82" s="10" t="n">
        <v>2.40323853371663</v>
      </c>
      <c r="AQ82" s="10" t="n">
        <v>2.401277448278732</v>
      </c>
      <c r="AR82" s="10" t="n">
        <v>2.397851368676153</v>
      </c>
      <c r="AS82" s="10" t="n">
        <v>2.393076760313254</v>
      </c>
      <c r="AT82" s="10" t="n">
        <v>2.38707148529806</v>
      </c>
      <c r="AU82" s="10" t="n">
        <v>2.379953349570175</v>
      </c>
      <c r="AV82" s="10" t="n">
        <v>2.371839116821654</v>
      </c>
      <c r="AW82" s="10" t="n">
        <v>2.362843667492957</v>
      </c>
      <c r="AX82" s="10" t="n">
        <v>2.353079789367115</v>
      </c>
      <c r="AY82" s="10" t="n">
        <v>2.342656638078198</v>
      </c>
      <c r="AZ82" s="10" t="n">
        <v>2.331678554101582</v>
      </c>
      <c r="BA82" s="10" t="n">
        <v>2.320245310891789</v>
      </c>
      <c r="BB82" s="10" t="n">
        <v>2.308451770366669</v>
      </c>
      <c r="BC82" s="10" t="n">
        <v>2.296387493259522</v>
      </c>
      <c r="BD82" s="10" t="n">
        <v>2.284136554381918</v>
      </c>
      <c r="BE82" s="10" t="n">
        <v>2.271777302724778</v>
      </c>
      <c r="BF82" s="10" t="n">
        <v>2.259381671053307</v>
      </c>
      <c r="BG82" s="10" t="n">
        <v>2.247015121907814</v>
      </c>
    </row>
    <row r="83">
      <c r="A83" s="9" t="n">
        <v>-42</v>
      </c>
      <c r="B83" s="7" t="n">
        <v>44776</v>
      </c>
      <c r="C83" s="10" t="n">
        <v>1.884781361687891</v>
      </c>
      <c r="D83" s="10" t="n">
        <v>1.833621052674078</v>
      </c>
      <c r="E83" s="10" t="n">
        <v>1.793867559604699</v>
      </c>
      <c r="F83" s="10" t="n">
        <v>1.76502540436414</v>
      </c>
      <c r="G83" s="10" t="n">
        <v>1.745683720898621</v>
      </c>
      <c r="H83" s="10" t="n">
        <v>1.734571206639552</v>
      </c>
      <c r="I83" s="10" t="n">
        <v>1.730772211552684</v>
      </c>
      <c r="J83" s="10" t="n">
        <v>1.733633514385858</v>
      </c>
      <c r="K83" s="10" t="n">
        <v>1.742641256752818</v>
      </c>
      <c r="L83" s="10" t="n">
        <v>1.757328308167276</v>
      </c>
      <c r="M83" s="10" t="n">
        <v>1.77720641776373</v>
      </c>
      <c r="N83" s="10" t="n">
        <v>1.801744224269699</v>
      </c>
      <c r="O83" s="10" t="n">
        <v>1.830359909086617</v>
      </c>
      <c r="P83" s="10" t="n">
        <v>1.86242243553702</v>
      </c>
      <c r="Q83" s="10" t="n">
        <v>1.897259591238951</v>
      </c>
      <c r="R83" s="10" t="n">
        <v>1.934175974662744</v>
      </c>
      <c r="S83" s="10" t="n">
        <v>1.972485824508311</v>
      </c>
      <c r="T83" s="10" t="n">
        <v>2.011521035614499</v>
      </c>
      <c r="U83" s="10" t="n">
        <v>2.050672963042936</v>
      </c>
      <c r="V83" s="10" t="n">
        <v>2.089411344109018</v>
      </c>
      <c r="W83" s="10" t="n">
        <v>2.127269058438766</v>
      </c>
      <c r="X83" s="10" t="n">
        <v>2.163830617904552</v>
      </c>
      <c r="Y83" s="10" t="n">
        <v>2.19874463238507</v>
      </c>
      <c r="Z83" s="10" t="n">
        <v>2.231745451805085</v>
      </c>
      <c r="AA83" s="10" t="n">
        <v>2.26264232497811</v>
      </c>
      <c r="AB83" s="10" t="n">
        <v>2.291303966531681</v>
      </c>
      <c r="AC83" s="10" t="n">
        <v>2.317645655199921</v>
      </c>
      <c r="AD83" s="10" t="n">
        <v>2.341621273549912</v>
      </c>
      <c r="AE83" s="10" t="n">
        <v>2.363217275795167</v>
      </c>
      <c r="AF83" s="10" t="n">
        <v>2.382447743642584</v>
      </c>
      <c r="AG83" s="10" t="n">
        <v>2.399347967016784</v>
      </c>
      <c r="AH83" s="10" t="n">
        <v>2.413965659509427</v>
      </c>
      <c r="AI83" s="10" t="n">
        <v>2.426360791960763</v>
      </c>
      <c r="AJ83" s="10" t="n">
        <v>2.436604032503426</v>
      </c>
      <c r="AK83" s="10" t="n">
        <v>2.444774860088374</v>
      </c>
      <c r="AL83" s="10" t="n">
        <v>2.450958497519511</v>
      </c>
      <c r="AM83" s="10" t="n">
        <v>2.455244293615893</v>
      </c>
      <c r="AN83" s="10" t="n">
        <v>2.457725477057377</v>
      </c>
      <c r="AO83" s="10" t="n">
        <v>2.458498940963468</v>
      </c>
      <c r="AP83" s="10" t="n">
        <v>2.457665621995906</v>
      </c>
      <c r="AQ83" s="10" t="n">
        <v>2.455330422127425</v>
      </c>
      <c r="AR83" s="10" t="n">
        <v>2.451601366544414</v>
      </c>
      <c r="AS83" s="10" t="n">
        <v>2.446588775628166</v>
      </c>
      <c r="AT83" s="10" t="n">
        <v>2.440403871487791</v>
      </c>
      <c r="AU83" s="10" t="n">
        <v>2.433157582282754</v>
      </c>
      <c r="AV83" s="10" t="n">
        <v>2.424959764032184</v>
      </c>
      <c r="AW83" s="10" t="n">
        <v>2.415918549025982</v>
      </c>
      <c r="AX83" s="10" t="n">
        <v>2.406140185877601</v>
      </c>
      <c r="AY83" s="10" t="n">
        <v>2.395727672289526</v>
      </c>
      <c r="AZ83" s="10" t="n">
        <v>2.384779712686073</v>
      </c>
      <c r="BA83" s="10" t="n">
        <v>2.373390940765251</v>
      </c>
      <c r="BB83" s="10" t="n">
        <v>2.361651609301933</v>
      </c>
      <c r="BC83" s="10" t="n">
        <v>2.349647241672884</v>
      </c>
      <c r="BD83" s="10" t="n">
        <v>2.337458444148751</v>
      </c>
      <c r="BE83" s="10" t="n">
        <v>2.325160661306459</v>
      </c>
      <c r="BF83" s="10" t="n">
        <v>2.312823508438369</v>
      </c>
      <c r="BG83" s="10" t="n">
        <v>2.300510693258284</v>
      </c>
    </row>
    <row r="84">
      <c r="A84" s="9" t="n">
        <v>-41</v>
      </c>
      <c r="B84" s="7" t="n">
        <v>44777</v>
      </c>
      <c r="C84" s="10" t="n">
        <v>1.859016261561707</v>
      </c>
      <c r="D84" s="10" t="n">
        <v>1.805282817004918</v>
      </c>
      <c r="E84" s="10" t="n">
        <v>1.764272926421581</v>
      </c>
      <c r="F84" s="10" t="n">
        <v>1.734792432640874</v>
      </c>
      <c r="G84" s="10" t="n">
        <v>1.715004911030954</v>
      </c>
      <c r="H84" s="10" t="n">
        <v>1.703401337333045</v>
      </c>
      <c r="I84" s="10" t="n">
        <v>1.698944882682611</v>
      </c>
      <c r="J84" s="10" t="n">
        <v>1.700932864736076</v>
      </c>
      <c r="K84" s="10" t="n">
        <v>1.708845921123181</v>
      </c>
      <c r="L84" s="10" t="n">
        <v>1.722242463157784</v>
      </c>
      <c r="M84" s="10" t="n">
        <v>1.74068062158986</v>
      </c>
      <c r="N84" s="10" t="n">
        <v>1.763687381852456</v>
      </c>
      <c r="O84" s="10" t="n">
        <v>1.790743655120202</v>
      </c>
      <c r="P84" s="10" t="n">
        <v>1.821275873632049</v>
      </c>
      <c r="Q84" s="10" t="n">
        <v>1.854660258149299</v>
      </c>
      <c r="R84" s="10" t="n">
        <v>1.890236854566899</v>
      </c>
      <c r="S84" s="10" t="n">
        <v>1.927342558585451</v>
      </c>
      <c r="T84" s="10" t="n">
        <v>1.965319395201718</v>
      </c>
      <c r="U84" s="10" t="n">
        <v>2.003560333874213</v>
      </c>
      <c r="V84" s="10" t="n">
        <v>2.041530992174495</v>
      </c>
      <c r="W84" s="10" t="n">
        <v>2.078755599678832</v>
      </c>
      <c r="X84" s="10" t="n">
        <v>2.114806489278593</v>
      </c>
      <c r="Y84" s="10" t="n">
        <v>2.149318694895724</v>
      </c>
      <c r="Z84" s="10" t="n">
        <v>2.182013628418868</v>
      </c>
      <c r="AA84" s="10" t="n">
        <v>2.212688588144335</v>
      </c>
      <c r="AB84" s="10" t="n">
        <v>2.241201799306284</v>
      </c>
      <c r="AC84" s="10" t="n">
        <v>2.267459914312048</v>
      </c>
      <c r="AD84" s="10" t="n">
        <v>2.291409852430842</v>
      </c>
      <c r="AE84" s="10" t="n">
        <v>2.313032507857664</v>
      </c>
      <c r="AF84" s="10" t="n">
        <v>2.332337592414468</v>
      </c>
      <c r="AG84" s="10" t="n">
        <v>2.349357049594228</v>
      </c>
      <c r="AH84" s="10" t="n">
        <v>2.364136223240481</v>
      </c>
      <c r="AI84" s="10" t="n">
        <v>2.376733123691914</v>
      </c>
      <c r="AJ84" s="10" t="n">
        <v>2.387216166839475</v>
      </c>
      <c r="AK84" s="10" t="n">
        <v>2.395662142915187</v>
      </c>
      <c r="AL84" s="10" t="n">
        <v>2.402152805764139</v>
      </c>
      <c r="AM84" s="10" t="n">
        <v>2.406773144847105</v>
      </c>
      <c r="AN84" s="10" t="n">
        <v>2.40961119939923</v>
      </c>
      <c r="AO84" s="10" t="n">
        <v>2.410757976211424</v>
      </c>
      <c r="AP84" s="10" t="n">
        <v>2.410308134619726</v>
      </c>
      <c r="AQ84" s="10" t="n">
        <v>2.408360093808979</v>
      </c>
      <c r="AR84" s="10" t="n">
        <v>2.40501550033333</v>
      </c>
      <c r="AS84" s="10" t="n">
        <v>2.400378652802833</v>
      </c>
      <c r="AT84" s="10" t="n">
        <v>2.394555170172083</v>
      </c>
      <c r="AU84" s="10" t="n">
        <v>2.387650839349636</v>
      </c>
      <c r="AV84" s="10" t="n">
        <v>2.379770834436433</v>
      </c>
      <c r="AW84" s="10" t="n">
        <v>2.371019068042684</v>
      </c>
      <c r="AX84" s="10" t="n">
        <v>2.361498021080155</v>
      </c>
      <c r="AY84" s="10" t="n">
        <v>2.351307472480186</v>
      </c>
      <c r="AZ84" s="10" t="n">
        <v>2.340543537418335</v>
      </c>
      <c r="BA84" s="10" t="n">
        <v>2.329298855059493</v>
      </c>
      <c r="BB84" s="10" t="n">
        <v>2.317662347677932</v>
      </c>
      <c r="BC84" s="10" t="n">
        <v>2.305718941476707</v>
      </c>
      <c r="BD84" s="10" t="n">
        <v>2.293549370635199</v>
      </c>
      <c r="BE84" s="10" t="n">
        <v>2.281229884349742</v>
      </c>
      <c r="BF84" s="10" t="n">
        <v>2.268831499935451</v>
      </c>
      <c r="BG84" s="10" t="n">
        <v>2.25641989484607</v>
      </c>
    </row>
    <row r="85">
      <c r="A85" s="9" t="n">
        <v>-40</v>
      </c>
      <c r="B85" s="7" t="n">
        <v>44778</v>
      </c>
      <c r="C85" s="10" t="n">
        <v>1.975795396508083</v>
      </c>
      <c r="D85" s="10" t="n">
        <v>1.932759456786219</v>
      </c>
      <c r="E85" s="10" t="n">
        <v>1.900914376859433</v>
      </c>
      <c r="F85" s="10" t="n">
        <v>1.879194756714902</v>
      </c>
      <c r="G85" s="10" t="n">
        <v>1.865807600055367</v>
      </c>
      <c r="H85" s="10" t="n">
        <v>1.859321818837967</v>
      </c>
      <c r="I85" s="10" t="n">
        <v>1.858813761124376</v>
      </c>
      <c r="J85" s="10" t="n">
        <v>1.863705604737107</v>
      </c>
      <c r="K85" s="10" t="n">
        <v>1.873598978485239</v>
      </c>
      <c r="L85" s="10" t="n">
        <v>1.88817116205189</v>
      </c>
      <c r="M85" s="10" t="n">
        <v>1.907100960996205</v>
      </c>
      <c r="N85" s="10" t="n">
        <v>1.930033561701076</v>
      </c>
      <c r="O85" s="10" t="n">
        <v>1.956564884054829</v>
      </c>
      <c r="P85" s="10" t="n">
        <v>1.986224769321375</v>
      </c>
      <c r="Q85" s="10" t="n">
        <v>2.018479260877151</v>
      </c>
      <c r="R85" s="10" t="n">
        <v>2.05274338339583</v>
      </c>
      <c r="S85" s="10" t="n">
        <v>2.088415402958634</v>
      </c>
      <c r="T85" s="10" t="n">
        <v>2.124886669568941</v>
      </c>
      <c r="U85" s="10" t="n">
        <v>2.161590522975677</v>
      </c>
      <c r="V85" s="10" t="n">
        <v>2.198024950330581</v>
      </c>
      <c r="W85" s="10" t="n">
        <v>2.233740113748859</v>
      </c>
      <c r="X85" s="10" t="n">
        <v>2.268329224848832</v>
      </c>
      <c r="Y85" s="10" t="n">
        <v>2.301444594774561</v>
      </c>
      <c r="Z85" s="10" t="n">
        <v>2.33282133558243</v>
      </c>
      <c r="AA85" s="10" t="n">
        <v>2.362266428815057</v>
      </c>
      <c r="AB85" s="10" t="n">
        <v>2.389644170777848</v>
      </c>
      <c r="AC85" s="10" t="n">
        <v>2.414864898479678</v>
      </c>
      <c r="AD85" s="10" t="n">
        <v>2.437877327191893</v>
      </c>
      <c r="AE85" s="10" t="n">
        <v>2.458662553724849</v>
      </c>
      <c r="AF85" s="10" t="n">
        <v>2.477229138638801</v>
      </c>
      <c r="AG85" s="10" t="n">
        <v>2.493606717504349</v>
      </c>
      <c r="AH85" s="10" t="n">
        <v>2.507837760569567</v>
      </c>
      <c r="AI85" s="10" t="n">
        <v>2.519976971856922</v>
      </c>
      <c r="AJ85" s="10" t="n">
        <v>2.530088928865778</v>
      </c>
      <c r="AK85" s="10" t="n">
        <v>2.538246124952123</v>
      </c>
      <c r="AL85" s="10" t="n">
        <v>2.544525776648698</v>
      </c>
      <c r="AM85" s="10" t="n">
        <v>2.549008237174351</v>
      </c>
      <c r="AN85" s="10" t="n">
        <v>2.551776793669809</v>
      </c>
      <c r="AO85" s="10" t="n">
        <v>2.552917604281068</v>
      </c>
      <c r="AP85" s="10" t="n">
        <v>2.552520438546513</v>
      </c>
      <c r="AQ85" s="10" t="n">
        <v>2.550678806192964</v>
      </c>
      <c r="AR85" s="10" t="n">
        <v>2.547489556405345</v>
      </c>
      <c r="AS85" s="10" t="n">
        <v>2.543052408658984</v>
      </c>
      <c r="AT85" s="10" t="n">
        <v>2.537468668096873</v>
      </c>
      <c r="AU85" s="10" t="n">
        <v>2.530840131928927</v>
      </c>
      <c r="AV85" s="10" t="n">
        <v>2.523268305436175</v>
      </c>
      <c r="AW85" s="10" t="n">
        <v>2.514853761406848</v>
      </c>
      <c r="AX85" s="10" t="n">
        <v>2.505695923940047</v>
      </c>
      <c r="AY85" s="10" t="n">
        <v>2.495891741233558</v>
      </c>
      <c r="AZ85" s="10" t="n">
        <v>2.485534723019519</v>
      </c>
      <c r="BA85" s="10" t="n">
        <v>2.474715103751842</v>
      </c>
      <c r="BB85" s="10" t="n">
        <v>2.463519515973287</v>
      </c>
      <c r="BC85" s="10" t="n">
        <v>2.452030650691481</v>
      </c>
      <c r="BD85" s="10" t="n">
        <v>2.44032703433338</v>
      </c>
      <c r="BE85" s="10" t="n">
        <v>2.428482713946896</v>
      </c>
      <c r="BF85" s="10" t="n">
        <v>2.416566499972434</v>
      </c>
      <c r="BG85" s="10" t="n">
        <v>2.404641870999456</v>
      </c>
    </row>
    <row r="86">
      <c r="A86" s="9" t="n">
        <v>-39</v>
      </c>
      <c r="B86" s="7" t="n">
        <v>44781</v>
      </c>
      <c r="C86" s="10" t="n">
        <v>1.882727570916751</v>
      </c>
      <c r="D86" s="10" t="n">
        <v>1.838517890189867</v>
      </c>
      <c r="E86" s="10" t="n">
        <v>1.806350050829905</v>
      </c>
      <c r="F86" s="10" t="n">
        <v>1.784741388769625</v>
      </c>
      <c r="G86" s="10" t="n">
        <v>1.771670030951775</v>
      </c>
      <c r="H86" s="10" t="n">
        <v>1.765577109909535</v>
      </c>
      <c r="I86" s="10" t="n">
        <v>1.765478620961252</v>
      </c>
      <c r="J86" s="10" t="n">
        <v>1.770775384452707</v>
      </c>
      <c r="K86" s="10" t="n">
        <v>1.78107035907412</v>
      </c>
      <c r="L86" s="10" t="n">
        <v>1.796053318584473</v>
      </c>
      <c r="M86" s="10" t="n">
        <v>1.815424684400571</v>
      </c>
      <c r="N86" s="10" t="n">
        <v>1.838852023150862</v>
      </c>
      <c r="O86" s="10" t="n">
        <v>1.865950351543548</v>
      </c>
      <c r="P86" s="10" t="n">
        <v>1.896260696928932</v>
      </c>
      <c r="Q86" s="10" t="n">
        <v>1.929252073420835</v>
      </c>
      <c r="R86" s="10" t="n">
        <v>1.964334348143867</v>
      </c>
      <c r="S86" s="10" t="n">
        <v>2.000893996915426</v>
      </c>
      <c r="T86" s="10" t="n">
        <v>2.038304206646938</v>
      </c>
      <c r="U86" s="10" t="n">
        <v>2.075977736072999</v>
      </c>
      <c r="V86" s="10" t="n">
        <v>2.113391714503923</v>
      </c>
      <c r="W86" s="10" t="n">
        <v>2.150075255364455</v>
      </c>
      <c r="X86" s="10" t="n">
        <v>2.18560049721124</v>
      </c>
      <c r="Y86" s="10" t="n">
        <v>2.219600553599081</v>
      </c>
      <c r="Z86" s="10" t="n">
        <v>2.251795132764439</v>
      </c>
      <c r="AA86" s="10" t="n">
        <v>2.281979268412839</v>
      </c>
      <c r="AB86" s="10" t="n">
        <v>2.310008888467705</v>
      </c>
      <c r="AC86" s="10" t="n">
        <v>2.335789897666565</v>
      </c>
      <c r="AD86" s="10" t="n">
        <v>2.359270018358831</v>
      </c>
      <c r="AE86" s="10" t="n">
        <v>2.380432256459085</v>
      </c>
      <c r="AF86" s="10" t="n">
        <v>2.399289543631154</v>
      </c>
      <c r="AG86" s="10" t="n">
        <v>2.415878066088162</v>
      </c>
      <c r="AH86" s="10" t="n">
        <v>2.430249088996811</v>
      </c>
      <c r="AI86" s="10" t="n">
        <v>2.442467900584573</v>
      </c>
      <c r="AJ86" s="10" t="n">
        <v>2.452610885445316</v>
      </c>
      <c r="AK86" s="10" t="n">
        <v>2.460763264313556</v>
      </c>
      <c r="AL86" s="10" t="n">
        <v>2.467015349742189</v>
      </c>
      <c r="AM86" s="10" t="n">
        <v>2.47146055069554</v>
      </c>
      <c r="AN86" s="10" t="n">
        <v>2.474194748070666</v>
      </c>
      <c r="AO86" s="10" t="n">
        <v>2.475316039994105</v>
      </c>
      <c r="AP86" s="10" t="n">
        <v>2.474924935656253</v>
      </c>
      <c r="AQ86" s="10" t="n">
        <v>2.473124255725007</v>
      </c>
      <c r="AR86" s="10" t="n">
        <v>2.470018433180331</v>
      </c>
      <c r="AS86" s="10" t="n">
        <v>2.465712831697787</v>
      </c>
      <c r="AT86" s="10" t="n">
        <v>2.460312476125237</v>
      </c>
      <c r="AU86" s="10" t="n">
        <v>2.453921020785627</v>
      </c>
      <c r="AV86" s="10" t="n">
        <v>2.446640091049162</v>
      </c>
      <c r="AW86" s="10" t="n">
        <v>2.43856876456241</v>
      </c>
      <c r="AX86" s="10" t="n">
        <v>2.429803497141827</v>
      </c>
      <c r="AY86" s="10" t="n">
        <v>2.420437076459839</v>
      </c>
      <c r="AZ86" s="10" t="n">
        <v>2.410557915433769</v>
      </c>
      <c r="BA86" s="10" t="n">
        <v>2.400250330752038</v>
      </c>
      <c r="BB86" s="10" t="n">
        <v>2.389594455125758</v>
      </c>
      <c r="BC86" s="10" t="n">
        <v>2.378666125696811</v>
      </c>
      <c r="BD86" s="10" t="n">
        <v>2.367536833660882</v>
      </c>
      <c r="BE86" s="10" t="n">
        <v>2.356273548439291</v>
      </c>
      <c r="BF86" s="10" t="n">
        <v>2.34493814302779</v>
      </c>
      <c r="BG86" s="10" t="n">
        <v>2.333587498025154</v>
      </c>
    </row>
    <row r="87">
      <c r="A87" s="9" t="n">
        <v>-38</v>
      </c>
      <c r="B87" s="7" t="n">
        <v>44782</v>
      </c>
      <c r="C87" s="10" t="n">
        <v>1.939456162156022</v>
      </c>
      <c r="D87" s="10" t="n">
        <v>1.895437828012231</v>
      </c>
      <c r="E87" s="10" t="n">
        <v>1.863094162817927</v>
      </c>
      <c r="F87" s="10" t="n">
        <v>1.840731860275874</v>
      </c>
      <c r="G87" s="10" t="n">
        <v>1.826351691939696</v>
      </c>
      <c r="H87" s="10" t="n">
        <v>1.818513456273742</v>
      </c>
      <c r="I87" s="10" t="n">
        <v>1.816384146840766</v>
      </c>
      <c r="J87" s="10" t="n">
        <v>1.819509145217516</v>
      </c>
      <c r="K87" s="10" t="n">
        <v>1.827615358019107</v>
      </c>
      <c r="L87" s="10" t="n">
        <v>1.840483857748133</v>
      </c>
      <c r="M87" s="10" t="n">
        <v>1.857876160545703</v>
      </c>
      <c r="N87" s="10" t="n">
        <v>1.879491590534553</v>
      </c>
      <c r="O87" s="10" t="n">
        <v>1.904955429792805</v>
      </c>
      <c r="P87" s="10" t="n">
        <v>1.933803714458382</v>
      </c>
      <c r="Q87" s="10" t="n">
        <v>1.965489832090509</v>
      </c>
      <c r="R87" s="10" t="n">
        <v>1.999402011779443</v>
      </c>
      <c r="S87" s="10" t="n">
        <v>2.03490288456952</v>
      </c>
      <c r="T87" s="10" t="n">
        <v>2.071341002940605</v>
      </c>
      <c r="U87" s="10" t="n">
        <v>2.10810745057529</v>
      </c>
      <c r="V87" s="10" t="n">
        <v>2.144661782766659</v>
      </c>
      <c r="W87" s="10" t="n">
        <v>2.180518815204227</v>
      </c>
      <c r="X87" s="10" t="n">
        <v>2.215239115665976</v>
      </c>
      <c r="Y87" s="10" t="n">
        <v>2.248447849459879</v>
      </c>
      <c r="Z87" s="10" t="n">
        <v>2.279861159876127</v>
      </c>
      <c r="AA87" s="10" t="n">
        <v>2.309273222105925</v>
      </c>
      <c r="AB87" s="10" t="n">
        <v>2.336540134391727</v>
      </c>
      <c r="AC87" s="10" t="n">
        <v>2.361568323071868</v>
      </c>
      <c r="AD87" s="10" t="n">
        <v>2.384306266851648</v>
      </c>
      <c r="AE87" s="10" t="n">
        <v>2.404737926056366</v>
      </c>
      <c r="AF87" s="10" t="n">
        <v>2.422877352863016</v>
      </c>
      <c r="AG87" s="10" t="n">
        <v>2.438761762211251</v>
      </c>
      <c r="AH87" s="10" t="n">
        <v>2.452442969583227</v>
      </c>
      <c r="AI87" s="10" t="n">
        <v>2.463986637688492</v>
      </c>
      <c r="AJ87" s="10" t="n">
        <v>2.473469485749993</v>
      </c>
      <c r="AK87" s="10" t="n">
        <v>2.480977089962809</v>
      </c>
      <c r="AL87" s="10" t="n">
        <v>2.486600358996259</v>
      </c>
      <c r="AM87" s="10" t="n">
        <v>2.490433630843597</v>
      </c>
      <c r="AN87" s="10" t="n">
        <v>2.492574013271175</v>
      </c>
      <c r="AO87" s="10" t="n">
        <v>2.493121080251357</v>
      </c>
      <c r="AP87" s="10" t="n">
        <v>2.492176964349737</v>
      </c>
      <c r="AQ87" s="10" t="n">
        <v>2.489846193283591</v>
      </c>
      <c r="AR87" s="10" t="n">
        <v>2.486234908973406</v>
      </c>
      <c r="AS87" s="10" t="n">
        <v>2.481450123916592</v>
      </c>
      <c r="AT87" s="10" t="n">
        <v>2.475598413473149</v>
      </c>
      <c r="AU87" s="10" t="n">
        <v>2.468784862178113</v>
      </c>
      <c r="AV87" s="10" t="n">
        <v>2.461112338720395</v>
      </c>
      <c r="AW87" s="10" t="n">
        <v>2.452680906003041</v>
      </c>
      <c r="AX87" s="10" t="n">
        <v>2.443587650362503</v>
      </c>
      <c r="AY87" s="10" t="n">
        <v>2.433925552106626</v>
      </c>
      <c r="AZ87" s="10" t="n">
        <v>2.423782776537119</v>
      </c>
      <c r="BA87" s="10" t="n">
        <v>2.413242984661391</v>
      </c>
      <c r="BB87" s="10" t="n">
        <v>2.402385227169658</v>
      </c>
      <c r="BC87" s="10" t="n">
        <v>2.391283834864031</v>
      </c>
      <c r="BD87" s="10" t="n">
        <v>2.380008441998584</v>
      </c>
      <c r="BE87" s="10" t="n">
        <v>2.368623895127493</v>
      </c>
      <c r="BF87" s="10" t="n">
        <v>2.357189802120147</v>
      </c>
      <c r="BG87" s="10" t="n">
        <v>2.345760700972656</v>
      </c>
    </row>
    <row r="88">
      <c r="A88" s="9" t="n">
        <v>-37</v>
      </c>
      <c r="B88" s="7" t="n">
        <v>44783</v>
      </c>
      <c r="C88" s="10" t="n">
        <v>1.923128828600956</v>
      </c>
      <c r="D88" s="10" t="n">
        <v>1.872807258373022</v>
      </c>
      <c r="E88" s="10" t="n">
        <v>1.835596224398699</v>
      </c>
      <c r="F88" s="10" t="n">
        <v>1.809572448542726</v>
      </c>
      <c r="G88" s="10" t="n">
        <v>1.792549454481671</v>
      </c>
      <c r="H88" s="10" t="n">
        <v>1.782904769981163</v>
      </c>
      <c r="I88" s="10" t="n">
        <v>1.779630847897983</v>
      </c>
      <c r="J88" s="10" t="n">
        <v>1.782123351339664</v>
      </c>
      <c r="K88" s="10" t="n">
        <v>1.789989580504733</v>
      </c>
      <c r="L88" s="10" t="n">
        <v>1.802917860483055</v>
      </c>
      <c r="M88" s="10" t="n">
        <v>1.820600592480853</v>
      </c>
      <c r="N88" s="10" t="n">
        <v>1.84268579263274</v>
      </c>
      <c r="O88" s="10" t="n">
        <v>1.868759726246927</v>
      </c>
      <c r="P88" s="10" t="n">
        <v>1.898328087539625</v>
      </c>
      <c r="Q88" s="10" t="n">
        <v>1.930820049312068</v>
      </c>
      <c r="R88" s="10" t="n">
        <v>1.965603451541298</v>
      </c>
      <c r="S88" s="10" t="n">
        <v>2.002022582933348</v>
      </c>
      <c r="T88" s="10" t="n">
        <v>2.039408111611554</v>
      </c>
      <c r="U88" s="10" t="n">
        <v>2.077133448070464</v>
      </c>
      <c r="V88" s="10" t="n">
        <v>2.114640348822646</v>
      </c>
      <c r="W88" s="10" t="n">
        <v>2.151425699552369</v>
      </c>
      <c r="X88" s="10" t="n">
        <v>2.187032104238652</v>
      </c>
      <c r="Y88" s="10" t="n">
        <v>2.221067488886779</v>
      </c>
      <c r="Z88" s="10" t="n">
        <v>2.25323200642782</v>
      </c>
      <c r="AA88" s="10" t="n">
        <v>2.283305720857145</v>
      </c>
      <c r="AB88" s="10" t="n">
        <v>2.311133973793075</v>
      </c>
      <c r="AC88" s="10" t="n">
        <v>2.336616792022022</v>
      </c>
      <c r="AD88" s="10" t="n">
        <v>2.359700119015244</v>
      </c>
      <c r="AE88" s="10" t="n">
        <v>2.380368640465658</v>
      </c>
      <c r="AF88" s="10" t="n">
        <v>2.398639901403955</v>
      </c>
      <c r="AG88" s="10" t="n">
        <v>2.414557276363781</v>
      </c>
      <c r="AH88" s="10" t="n">
        <v>2.428181860262524</v>
      </c>
      <c r="AI88" s="10" t="n">
        <v>2.439590746236195</v>
      </c>
      <c r="AJ88" s="10" t="n">
        <v>2.448873310193973</v>
      </c>
      <c r="AK88" s="10" t="n">
        <v>2.456128631198099</v>
      </c>
      <c r="AL88" s="10" t="n">
        <v>2.461461250767097</v>
      </c>
      <c r="AM88" s="10" t="n">
        <v>2.464978766426552</v>
      </c>
      <c r="AN88" s="10" t="n">
        <v>2.466790686945224</v>
      </c>
      <c r="AO88" s="10" t="n">
        <v>2.46700801381682</v>
      </c>
      <c r="AP88" s="10" t="n">
        <v>2.465743089026761</v>
      </c>
      <c r="AQ88" s="10" t="n">
        <v>2.463109389763491</v>
      </c>
      <c r="AR88" s="10" t="n">
        <v>2.459220844737375</v>
      </c>
      <c r="AS88" s="10" t="n">
        <v>2.454191181418856</v>
      </c>
      <c r="AT88" s="10" t="n">
        <v>2.448132662222065</v>
      </c>
      <c r="AU88" s="10" t="n">
        <v>2.441155080055122</v>
      </c>
      <c r="AV88" s="10" t="n">
        <v>2.433365028712438</v>
      </c>
      <c r="AW88" s="10" t="n">
        <v>2.424865309074418</v>
      </c>
      <c r="AX88" s="10" t="n">
        <v>2.41575476722522</v>
      </c>
      <c r="AY88" s="10" t="n">
        <v>2.406127113111092</v>
      </c>
      <c r="AZ88" s="10" t="n">
        <v>2.39607022523849</v>
      </c>
      <c r="BA88" s="10" t="n">
        <v>2.385666538326065</v>
      </c>
      <c r="BB88" s="10" t="n">
        <v>2.374992916771098</v>
      </c>
      <c r="BC88" s="10" t="n">
        <v>2.364120553605105</v>
      </c>
      <c r="BD88" s="10" t="n">
        <v>2.353115115003257</v>
      </c>
      <c r="BE88" s="10" t="n">
        <v>2.342036795791417</v>
      </c>
      <c r="BF88" s="10" t="n">
        <v>2.330940078855514</v>
      </c>
      <c r="BG88" s="10" t="n">
        <v>2.319874042731905</v>
      </c>
    </row>
    <row r="89">
      <c r="A89" s="9" t="n">
        <v>-36</v>
      </c>
      <c r="B89" s="7" t="n">
        <v>44784</v>
      </c>
      <c r="C89" s="10" t="n">
        <v>1.999867440003531</v>
      </c>
      <c r="D89" s="10" t="n">
        <v>1.952572451195285</v>
      </c>
      <c r="E89" s="10" t="n">
        <v>1.919271723528955</v>
      </c>
      <c r="F89" s="10" t="n">
        <v>1.897595341570152</v>
      </c>
      <c r="G89" s="10" t="n">
        <v>1.885055386696336</v>
      </c>
      <c r="H89" s="10" t="n">
        <v>1.879837291921114</v>
      </c>
      <c r="I89" s="10" t="n">
        <v>1.880803315668445</v>
      </c>
      <c r="J89" s="10" t="n">
        <v>1.887257934853312</v>
      </c>
      <c r="K89" s="10" t="n">
        <v>1.898747436266378</v>
      </c>
      <c r="L89" s="10" t="n">
        <v>1.914923030452054</v>
      </c>
      <c r="M89" s="10" t="n">
        <v>1.935460629313623</v>
      </c>
      <c r="N89" s="10" t="n">
        <v>1.960008724370178</v>
      </c>
      <c r="O89" s="10" t="n">
        <v>1.988166408324578</v>
      </c>
      <c r="P89" s="10" t="n">
        <v>2.01946198754365</v>
      </c>
      <c r="Q89" s="10" t="n">
        <v>2.053354701867919</v>
      </c>
      <c r="R89" s="10" t="n">
        <v>2.089246976660668</v>
      </c>
      <c r="S89" s="10" t="n">
        <v>2.126519012404156</v>
      </c>
      <c r="T89" s="10" t="n">
        <v>2.164537001787879</v>
      </c>
      <c r="U89" s="10" t="n">
        <v>2.202707764733822</v>
      </c>
      <c r="V89" s="10" t="n">
        <v>2.240503396143237</v>
      </c>
      <c r="W89" s="10" t="n">
        <v>2.277448625335091</v>
      </c>
      <c r="X89" s="10" t="n">
        <v>2.313111891988858</v>
      </c>
      <c r="Y89" s="10" t="n">
        <v>2.347124615948467</v>
      </c>
      <c r="Z89" s="10" t="n">
        <v>2.379207084539738</v>
      </c>
      <c r="AA89" s="10" t="n">
        <v>2.409156428804424</v>
      </c>
      <c r="AB89" s="10" t="n">
        <v>2.43683242224551</v>
      </c>
      <c r="AC89" s="10" t="n">
        <v>2.462147205753041</v>
      </c>
      <c r="AD89" s="10" t="n">
        <v>2.485056875529568</v>
      </c>
      <c r="AE89" s="10" t="n">
        <v>2.50555461508365</v>
      </c>
      <c r="AF89" s="10" t="n">
        <v>2.523665062098118</v>
      </c>
      <c r="AG89" s="10" t="n">
        <v>2.539437446682971</v>
      </c>
      <c r="AH89" s="10" t="n">
        <v>2.552937736518023</v>
      </c>
      <c r="AI89" s="10" t="n">
        <v>2.564247109123166</v>
      </c>
      <c r="AJ89" s="10" t="n">
        <v>2.573458289114329</v>
      </c>
      <c r="AK89" s="10" t="n">
        <v>2.580673050092822</v>
      </c>
      <c r="AL89" s="10" t="n">
        <v>2.585998043731207</v>
      </c>
      <c r="AM89" s="10" t="n">
        <v>2.589542385000623</v>
      </c>
      <c r="AN89" s="10" t="n">
        <v>2.591416363237508</v>
      </c>
      <c r="AO89" s="10" t="n">
        <v>2.59173106715886</v>
      </c>
      <c r="AP89" s="10" t="n">
        <v>2.590598361822646</v>
      </c>
      <c r="AQ89" s="10" t="n">
        <v>2.588130793980394</v>
      </c>
      <c r="AR89" s="10" t="n">
        <v>2.584441167356402</v>
      </c>
      <c r="AS89" s="10" t="n">
        <v>2.579642085717759</v>
      </c>
      <c r="AT89" s="10" t="n">
        <v>2.573844704693033</v>
      </c>
      <c r="AU89" s="10" t="n">
        <v>2.567157733721667</v>
      </c>
      <c r="AV89" s="10" t="n">
        <v>2.55968665109061</v>
      </c>
      <c r="AW89" s="10" t="n">
        <v>2.551533066625731</v>
      </c>
      <c r="AX89" s="10" t="n">
        <v>2.542794534708903</v>
      </c>
      <c r="AY89" s="10" t="n">
        <v>2.5335633107327</v>
      </c>
      <c r="AZ89" s="10" t="n">
        <v>2.523925632564416</v>
      </c>
      <c r="BA89" s="10" t="n">
        <v>2.513962115100778</v>
      </c>
      <c r="BB89" s="10" t="n">
        <v>2.503747569201199</v>
      </c>
      <c r="BC89" s="10" t="n">
        <v>2.49335085848817</v>
      </c>
      <c r="BD89" s="10" t="n">
        <v>2.482835025362475</v>
      </c>
      <c r="BE89" s="10" t="n">
        <v>2.472257344342624</v>
      </c>
      <c r="BF89" s="10" t="n">
        <v>2.461669089053913</v>
      </c>
      <c r="BG89" s="10" t="n">
        <v>2.451115869192114</v>
      </c>
    </row>
    <row r="90">
      <c r="A90" s="9" t="n">
        <v>-35</v>
      </c>
      <c r="B90" s="7" t="n">
        <v>44785</v>
      </c>
      <c r="C90" s="10" t="n">
        <v>2.036907186179954</v>
      </c>
      <c r="D90" s="10" t="n">
        <v>1.989988679829728</v>
      </c>
      <c r="E90" s="10" t="n">
        <v>1.957114817149562</v>
      </c>
      <c r="F90" s="10" t="n">
        <v>1.935888882873135</v>
      </c>
      <c r="G90" s="10" t="n">
        <v>1.923835939348367</v>
      </c>
      <c r="H90" s="10" t="n">
        <v>1.919167895031042</v>
      </c>
      <c r="I90" s="10" t="n">
        <v>1.920769656445239</v>
      </c>
      <c r="J90" s="10" t="n">
        <v>1.927962883691277</v>
      </c>
      <c r="K90" s="10" t="n">
        <v>1.940308844323103</v>
      </c>
      <c r="L90" s="10" t="n">
        <v>1.957471086793729</v>
      </c>
      <c r="M90" s="10" t="n">
        <v>1.979135521426596</v>
      </c>
      <c r="N90" s="10" t="n">
        <v>2.004959646587209</v>
      </c>
      <c r="O90" s="10" t="n">
        <v>2.034548016586607</v>
      </c>
      <c r="P90" s="10" t="n">
        <v>2.067430228366776</v>
      </c>
      <c r="Q90" s="10" t="n">
        <v>2.103062472198096</v>
      </c>
      <c r="R90" s="10" t="n">
        <v>2.140838419598553</v>
      </c>
      <c r="S90" s="10" t="n">
        <v>2.180123616932259</v>
      </c>
      <c r="T90" s="10" t="n">
        <v>2.220262611593365</v>
      </c>
      <c r="U90" s="10" t="n">
        <v>2.260636708947341</v>
      </c>
      <c r="V90" s="10" t="n">
        <v>2.300689590924215</v>
      </c>
      <c r="W90" s="10" t="n">
        <v>2.339915217937749</v>
      </c>
      <c r="X90" s="10" t="n">
        <v>2.377849602113533</v>
      </c>
      <c r="Y90" s="10" t="n">
        <v>2.41409264471296</v>
      </c>
      <c r="Z90" s="10" t="n">
        <v>2.448335580757905</v>
      </c>
      <c r="AA90" s="10" t="n">
        <v>2.480349527424618</v>
      </c>
      <c r="AB90" s="10" t="n">
        <v>2.509973002068624</v>
      </c>
      <c r="AC90" s="10" t="n">
        <v>2.537102772446202</v>
      </c>
      <c r="AD90" s="10" t="n">
        <v>2.561684735715887</v>
      </c>
      <c r="AE90" s="10" t="n">
        <v>2.583706242029451</v>
      </c>
      <c r="AF90" s="10" t="n">
        <v>2.60318979874659</v>
      </c>
      <c r="AG90" s="10" t="n">
        <v>2.620185862379696</v>
      </c>
      <c r="AH90" s="10" t="n">
        <v>2.634765418074323</v>
      </c>
      <c r="AI90" s="10" t="n">
        <v>2.64701769864135</v>
      </c>
      <c r="AJ90" s="10" t="n">
        <v>2.65704561341097</v>
      </c>
      <c r="AK90" s="10" t="n">
        <v>2.664962780290824</v>
      </c>
      <c r="AL90" s="10" t="n">
        <v>2.670888651141248</v>
      </c>
      <c r="AM90" s="10" t="n">
        <v>2.67494562449226</v>
      </c>
      <c r="AN90" s="10" t="n">
        <v>2.677257300369857</v>
      </c>
      <c r="AO90" s="10" t="n">
        <v>2.677947909850258</v>
      </c>
      <c r="AP90" s="10" t="n">
        <v>2.677141872543661</v>
      </c>
      <c r="AQ90" s="10" t="n">
        <v>2.674963523935436</v>
      </c>
      <c r="AR90" s="10" t="n">
        <v>2.671536448379238</v>
      </c>
      <c r="AS90" s="10" t="n">
        <v>2.66698285564879</v>
      </c>
      <c r="AT90" s="10" t="n">
        <v>2.66142223675555</v>
      </c>
      <c r="AU90" s="10" t="n">
        <v>2.654970346102957</v>
      </c>
      <c r="AV90" s="10" t="n">
        <v>2.647738376457416</v>
      </c>
      <c r="AW90" s="10" t="n">
        <v>2.63983233134079</v>
      </c>
      <c r="AX90" s="10" t="n">
        <v>2.631352932852558</v>
      </c>
      <c r="AY90" s="10" t="n">
        <v>2.622394418349119</v>
      </c>
      <c r="AZ90" s="10" t="n">
        <v>2.613043915156439</v>
      </c>
      <c r="BA90" s="10" t="n">
        <v>2.603381935588883</v>
      </c>
      <c r="BB90" s="10" t="n">
        <v>2.593482286136114</v>
      </c>
      <c r="BC90" s="10" t="n">
        <v>2.583412029932186</v>
      </c>
      <c r="BD90" s="10" t="n">
        <v>2.573231719388748</v>
      </c>
      <c r="BE90" s="10" t="n">
        <v>2.5629955426905</v>
      </c>
      <c r="BF90" s="10" t="n">
        <v>2.55275120330887</v>
      </c>
      <c r="BG90" s="10" t="n">
        <v>2.542540365717662</v>
      </c>
    </row>
    <row r="91">
      <c r="A91" s="9" t="n">
        <v>-34</v>
      </c>
      <c r="B91" s="7" t="n">
        <v>44788</v>
      </c>
      <c r="C91" s="10" t="n">
        <v>1.985587329245987</v>
      </c>
      <c r="D91" s="10" t="n">
        <v>1.930447832191841</v>
      </c>
      <c r="E91" s="10" t="n">
        <v>1.891188585306181</v>
      </c>
      <c r="F91" s="10" t="n">
        <v>1.864954303103137</v>
      </c>
      <c r="G91" s="10" t="n">
        <v>1.848843356618432</v>
      </c>
      <c r="H91" s="10" t="n">
        <v>1.840764000247391</v>
      </c>
      <c r="I91" s="10" t="n">
        <v>1.839404184570157</v>
      </c>
      <c r="J91" s="10" t="n">
        <v>1.84396134960224</v>
      </c>
      <c r="K91" s="10" t="n">
        <v>1.853919093127915</v>
      </c>
      <c r="L91" s="10" t="n">
        <v>1.868893805823872</v>
      </c>
      <c r="M91" s="10" t="n">
        <v>1.888542739117693</v>
      </c>
      <c r="N91" s="10" t="n">
        <v>1.912506696745268</v>
      </c>
      <c r="O91" s="10" t="n">
        <v>1.940379106720973</v>
      </c>
      <c r="P91" s="10" t="n">
        <v>1.971680729700884</v>
      </c>
      <c r="Q91" s="10" t="n">
        <v>2.005859740597386</v>
      </c>
      <c r="R91" s="10" t="n">
        <v>2.042301225414582</v>
      </c>
      <c r="S91" s="10" t="n">
        <v>2.080361831205459</v>
      </c>
      <c r="T91" s="10" t="n">
        <v>2.119376393722708</v>
      </c>
      <c r="U91" s="10" t="n">
        <v>2.158716981168897</v>
      </c>
      <c r="V91" s="10" t="n">
        <v>2.197818896170438</v>
      </c>
      <c r="W91" s="10" t="n">
        <v>2.236168390929572</v>
      </c>
      <c r="X91" s="10" t="n">
        <v>2.273294391560337</v>
      </c>
      <c r="Y91" s="10" t="n">
        <v>2.308791060722811</v>
      </c>
      <c r="Z91" s="10" t="n">
        <v>2.342345574339156</v>
      </c>
      <c r="AA91" s="10" t="n">
        <v>2.37372596205725</v>
      </c>
      <c r="AB91" s="10" t="n">
        <v>2.402768027310651</v>
      </c>
      <c r="AC91" s="10" t="n">
        <v>2.429365962639968</v>
      </c>
      <c r="AD91" s="10" t="n">
        <v>2.453463183136098</v>
      </c>
      <c r="AE91" s="10" t="n">
        <v>2.475044635464531</v>
      </c>
      <c r="AF91" s="10" t="n">
        <v>2.494130488491394</v>
      </c>
      <c r="AG91" s="10" t="n">
        <v>2.510768805452989</v>
      </c>
      <c r="AH91" s="10" t="n">
        <v>2.525028087811762</v>
      </c>
      <c r="AI91" s="10" t="n">
        <v>2.536995151495244</v>
      </c>
      <c r="AJ91" s="10" t="n">
        <v>2.546770533384768</v>
      </c>
      <c r="AK91" s="10" t="n">
        <v>2.554465514504729</v>
      </c>
      <c r="AL91" s="10" t="n">
        <v>2.560197270591887</v>
      </c>
      <c r="AM91" s="10" t="n">
        <v>2.564086033875266</v>
      </c>
      <c r="AN91" s="10" t="n">
        <v>2.566253408868616</v>
      </c>
      <c r="AO91" s="10" t="n">
        <v>2.566821814689296</v>
      </c>
      <c r="AP91" s="10" t="n">
        <v>2.565914070442423</v>
      </c>
      <c r="AQ91" s="10" t="n">
        <v>2.563653122805798</v>
      </c>
      <c r="AR91" s="10" t="n">
        <v>2.560161365389266</v>
      </c>
      <c r="AS91" s="10" t="n">
        <v>2.555560004596122</v>
      </c>
      <c r="AT91" s="10" t="n">
        <v>2.549967696902889</v>
      </c>
      <c r="AU91" s="10" t="n">
        <v>2.543499523138187</v>
      </c>
      <c r="AV91" s="10" t="n">
        <v>2.536266126406046</v>
      </c>
      <c r="AW91" s="10" t="n">
        <v>2.528373066920141</v>
      </c>
      <c r="AX91" s="10" t="n">
        <v>2.519920727388762</v>
      </c>
      <c r="AY91" s="10" t="n">
        <v>2.511003047682013</v>
      </c>
      <c r="AZ91" s="10" t="n">
        <v>2.501706862054196</v>
      </c>
      <c r="BA91" s="10" t="n">
        <v>2.492112388218029</v>
      </c>
      <c r="BB91" s="10" t="n">
        <v>2.482293107680276</v>
      </c>
      <c r="BC91" s="10" t="n">
        <v>2.472315707931383</v>
      </c>
      <c r="BD91" s="10" t="n">
        <v>2.462240295301065</v>
      </c>
      <c r="BE91" s="10" t="n">
        <v>2.452120523989815</v>
      </c>
      <c r="BF91" s="10" t="n">
        <v>2.442003454255508</v>
      </c>
      <c r="BG91" s="10" t="n">
        <v>2.431929990151205</v>
      </c>
    </row>
    <row r="92">
      <c r="A92" s="9" t="n">
        <v>-33</v>
      </c>
      <c r="B92" s="7" t="n">
        <v>44789</v>
      </c>
      <c r="C92" s="10" t="n">
        <v>2.117831445953897</v>
      </c>
      <c r="D92" s="10" t="n">
        <v>2.060114160359643</v>
      </c>
      <c r="E92" s="10" t="n">
        <v>2.018358094717986</v>
      </c>
      <c r="F92" s="10" t="n">
        <v>1.990186201304845</v>
      </c>
      <c r="G92" s="10" t="n">
        <v>1.972695678689589</v>
      </c>
      <c r="H92" s="10" t="n">
        <v>1.963673038119051</v>
      </c>
      <c r="I92" s="10" t="n">
        <v>1.961668939144864</v>
      </c>
      <c r="J92" s="10" t="n">
        <v>1.965757732925832</v>
      </c>
      <c r="K92" s="10" t="n">
        <v>1.975319587934093</v>
      </c>
      <c r="L92" s="10" t="n">
        <v>1.989889298514237</v>
      </c>
      <c r="M92" s="10" t="n">
        <v>2.009060852862817</v>
      </c>
      <c r="N92" s="10" t="n">
        <v>2.032428541045526</v>
      </c>
      <c r="O92" s="10" t="n">
        <v>2.05955294758407</v>
      </c>
      <c r="P92" s="10" t="n">
        <v>2.08993572142073</v>
      </c>
      <c r="Q92" s="10" t="n">
        <v>2.123018484787248</v>
      </c>
      <c r="R92" s="10" t="n">
        <v>2.15819143356738</v>
      </c>
      <c r="S92" s="10" t="n">
        <v>2.194825749692193</v>
      </c>
      <c r="T92" s="10" t="n">
        <v>2.232278680207664</v>
      </c>
      <c r="U92" s="10" t="n">
        <v>2.269949028952744</v>
      </c>
      <c r="V92" s="10" t="n">
        <v>2.30730070370752</v>
      </c>
      <c r="W92" s="10" t="n">
        <v>2.343849982008483</v>
      </c>
      <c r="X92" s="10" t="n">
        <v>2.379156887433326</v>
      </c>
      <c r="Y92" s="10" t="n">
        <v>2.412845996382577</v>
      </c>
      <c r="Z92" s="10" t="n">
        <v>2.444631750806625</v>
      </c>
      <c r="AA92" s="10" t="n">
        <v>2.474305360280751</v>
      </c>
      <c r="AB92" s="10" t="n">
        <v>2.50172097528928</v>
      </c>
      <c r="AC92" s="10" t="n">
        <v>2.526786283063894</v>
      </c>
      <c r="AD92" s="10" t="n">
        <v>2.549454023310306</v>
      </c>
      <c r="AE92" s="10" t="n">
        <v>2.569714948783934</v>
      </c>
      <c r="AF92" s="10" t="n">
        <v>2.587592047226839</v>
      </c>
      <c r="AG92" s="10" t="n">
        <v>2.603133529941054</v>
      </c>
      <c r="AH92" s="10" t="n">
        <v>2.61640561643449</v>
      </c>
      <c r="AI92" s="10" t="n">
        <v>2.627490967303924</v>
      </c>
      <c r="AJ92" s="10" t="n">
        <v>2.636484554107466</v>
      </c>
      <c r="AK92" s="10" t="n">
        <v>2.643490976926018</v>
      </c>
      <c r="AL92" s="10" t="n">
        <v>2.648620125993993</v>
      </c>
      <c r="AM92" s="10" t="n">
        <v>2.651984698737944</v>
      </c>
      <c r="AN92" s="10" t="n">
        <v>2.653698792799843</v>
      </c>
      <c r="AO92" s="10" t="n">
        <v>2.653877440314638</v>
      </c>
      <c r="AP92" s="10" t="n">
        <v>2.652636315010173</v>
      </c>
      <c r="AQ92" s="10" t="n">
        <v>2.650091504443588</v>
      </c>
      <c r="AR92" s="10" t="n">
        <v>2.646358884557908</v>
      </c>
      <c r="AS92" s="10" t="n">
        <v>2.641553537163278</v>
      </c>
      <c r="AT92" s="10" t="n">
        <v>2.635788507862594</v>
      </c>
      <c r="AU92" s="10" t="n">
        <v>2.629173872927644</v>
      </c>
      <c r="AV92" s="10" t="n">
        <v>2.62181591163631</v>
      </c>
      <c r="AW92" s="10" t="n">
        <v>2.613816499551536</v>
      </c>
      <c r="AX92" s="10" t="n">
        <v>2.605273014040624</v>
      </c>
      <c r="AY92" s="10" t="n">
        <v>2.596276975589948</v>
      </c>
      <c r="AZ92" s="10" t="n">
        <v>2.586913298472158</v>
      </c>
      <c r="BA92" s="10" t="n">
        <v>2.577260718967638</v>
      </c>
      <c r="BB92" s="10" t="n">
        <v>2.567391531787563</v>
      </c>
      <c r="BC92" s="10" t="n">
        <v>2.557371421843956</v>
      </c>
      <c r="BD92" s="10" t="n">
        <v>2.547259625986266</v>
      </c>
      <c r="BE92" s="10" t="n">
        <v>2.537109036107669</v>
      </c>
      <c r="BF92" s="10" t="n">
        <v>2.526966046864461</v>
      </c>
      <c r="BG92" s="10" t="n">
        <v>2.516870952734666</v>
      </c>
    </row>
    <row r="93">
      <c r="A93" s="9" t="n">
        <v>-32</v>
      </c>
      <c r="B93" s="7" t="n">
        <v>44790</v>
      </c>
      <c r="C93" s="10" t="n">
        <v>2.340769094232839</v>
      </c>
      <c r="D93" s="10" t="n">
        <v>2.27309744749956</v>
      </c>
      <c r="E93" s="10" t="n">
        <v>2.220655296418899</v>
      </c>
      <c r="F93" s="10" t="n">
        <v>2.182445474993629</v>
      </c>
      <c r="G93" s="10" t="n">
        <v>2.156126826449387</v>
      </c>
      <c r="H93" s="10" t="n">
        <v>2.139613275380956</v>
      </c>
      <c r="I93" s="10" t="n">
        <v>2.131381502349996</v>
      </c>
      <c r="J93" s="10" t="n">
        <v>2.130349253513393</v>
      </c>
      <c r="K93" s="10" t="n">
        <v>2.135709941722055</v>
      </c>
      <c r="L93" s="10" t="n">
        <v>2.146807365774211</v>
      </c>
      <c r="M93" s="10" t="n">
        <v>2.163050565240514</v>
      </c>
      <c r="N93" s="10" t="n">
        <v>2.183864233233216</v>
      </c>
      <c r="O93" s="10" t="n">
        <v>2.208661028206766</v>
      </c>
      <c r="P93" s="10" t="n">
        <v>2.236823617672136</v>
      </c>
      <c r="Q93" s="10" t="n">
        <v>2.26770349211615</v>
      </c>
      <c r="R93" s="10" t="n">
        <v>2.300631045770775</v>
      </c>
      <c r="S93" s="10" t="n">
        <v>2.334943556058197</v>
      </c>
      <c r="T93" s="10" t="n">
        <v>2.369987140083392</v>
      </c>
      <c r="U93" s="10" t="n">
        <v>2.405164827109413</v>
      </c>
      <c r="V93" s="10" t="n">
        <v>2.439954399526056</v>
      </c>
      <c r="W93" s="10" t="n">
        <v>2.47389356780667</v>
      </c>
      <c r="X93" s="10" t="n">
        <v>2.506569718059564</v>
      </c>
      <c r="Y93" s="10" t="n">
        <v>2.537637252934098</v>
      </c>
      <c r="Z93" s="10" t="n">
        <v>2.566838979084634</v>
      </c>
      <c r="AA93" s="10" t="n">
        <v>2.593992081024659</v>
      </c>
      <c r="AB93" s="10" t="n">
        <v>2.618972846051332</v>
      </c>
      <c r="AC93" s="10" t="n">
        <v>2.641706097494697</v>
      </c>
      <c r="AD93" s="10" t="n">
        <v>2.662157294216396</v>
      </c>
      <c r="AE93" s="10" t="n">
        <v>2.68032618129771</v>
      </c>
      <c r="AF93" s="10" t="n">
        <v>2.696241574025915</v>
      </c>
      <c r="AG93" s="10" t="n">
        <v>2.709954561237663</v>
      </c>
      <c r="AH93" s="10" t="n">
        <v>2.721531054978847</v>
      </c>
      <c r="AI93" s="10" t="n">
        <v>2.731050668442291</v>
      </c>
      <c r="AJ93" s="10" t="n">
        <v>2.738603182091795</v>
      </c>
      <c r="AK93" s="10" t="n">
        <v>2.744286257890614</v>
      </c>
      <c r="AL93" s="10" t="n">
        <v>2.748201698235139</v>
      </c>
      <c r="AM93" s="10" t="n">
        <v>2.750453377574447</v>
      </c>
      <c r="AN93" s="10" t="n">
        <v>2.751146149847356</v>
      </c>
      <c r="AO93" s="10" t="n">
        <v>2.750385481101719</v>
      </c>
      <c r="AP93" s="10" t="n">
        <v>2.748277160286235</v>
      </c>
      <c r="AQ93" s="10" t="n">
        <v>2.744927094581893</v>
      </c>
      <c r="AR93" s="10" t="n">
        <v>2.740440733683714</v>
      </c>
      <c r="AS93" s="10" t="n">
        <v>2.734922558318117</v>
      </c>
      <c r="AT93" s="10" t="n">
        <v>2.728475086626906</v>
      </c>
      <c r="AU93" s="10" t="n">
        <v>2.721198143550171</v>
      </c>
      <c r="AV93" s="10" t="n">
        <v>2.71318820706789</v>
      </c>
      <c r="AW93" s="10" t="n">
        <v>2.704537953327496</v>
      </c>
      <c r="AX93" s="10" t="n">
        <v>2.695336250829244</v>
      </c>
      <c r="AY93" s="10" t="n">
        <v>2.685667074291732</v>
      </c>
      <c r="AZ93" s="10" t="n">
        <v>2.675608905102857</v>
      </c>
      <c r="BA93" s="10" t="n">
        <v>2.665235097865775</v>
      </c>
      <c r="BB93" s="10" t="n">
        <v>2.654613735304953</v>
      </c>
      <c r="BC93" s="10" t="n">
        <v>2.643807560484859</v>
      </c>
      <c r="BD93" s="10" t="n">
        <v>2.63287416587573</v>
      </c>
      <c r="BE93" s="10" t="n">
        <v>2.621866085862861</v>
      </c>
      <c r="BF93" s="10" t="n">
        <v>2.610830651254351</v>
      </c>
      <c r="BG93" s="10" t="n">
        <v>2.599810347757358</v>
      </c>
    </row>
    <row r="94">
      <c r="A94" s="9" t="n">
        <v>-31</v>
      </c>
      <c r="B94" s="7" t="n">
        <v>44791</v>
      </c>
      <c r="C94" s="10" t="n">
        <v>2.363502274402075</v>
      </c>
      <c r="D94" s="10" t="n">
        <v>2.296859131423634</v>
      </c>
      <c r="E94" s="10" t="n">
        <v>2.24439775500127</v>
      </c>
      <c r="F94" s="10" t="n">
        <v>2.205427532789323</v>
      </c>
      <c r="G94" s="10" t="n">
        <v>2.177837350097004</v>
      </c>
      <c r="H94" s="10" t="n">
        <v>2.159713945152977</v>
      </c>
      <c r="I94" s="10" t="n">
        <v>2.149674199628756</v>
      </c>
      <c r="J94" s="10" t="n">
        <v>2.14674614665076</v>
      </c>
      <c r="K94" s="10" t="n">
        <v>2.150209469416361</v>
      </c>
      <c r="L94" s="10" t="n">
        <v>2.159470757181407</v>
      </c>
      <c r="M94" s="10" t="n">
        <v>2.173976997499476</v>
      </c>
      <c r="N94" s="10" t="n">
        <v>2.193170626119056</v>
      </c>
      <c r="O94" s="10" t="n">
        <v>2.21646795244067</v>
      </c>
      <c r="P94" s="10" t="n">
        <v>2.24324691297993</v>
      </c>
      <c r="Q94" s="10" t="n">
        <v>2.272848823375291</v>
      </c>
      <c r="R94" s="10" t="n">
        <v>2.304591269952497</v>
      </c>
      <c r="S94" s="10" t="n">
        <v>2.337798006775953</v>
      </c>
      <c r="T94" s="10" t="n">
        <v>2.371802084290123</v>
      </c>
      <c r="U94" s="10" t="n">
        <v>2.405995091690988</v>
      </c>
      <c r="V94" s="10" t="n">
        <v>2.43984464313694</v>
      </c>
      <c r="W94" s="10" t="n">
        <v>2.472879268093958</v>
      </c>
      <c r="X94" s="10" t="n">
        <v>2.504678023052016</v>
      </c>
      <c r="Y94" s="10" t="n">
        <v>2.534888141991927</v>
      </c>
      <c r="Z94" s="10" t="n">
        <v>2.563246377482803</v>
      </c>
      <c r="AA94" s="10" t="n">
        <v>2.589564611567344</v>
      </c>
      <c r="AB94" s="10" t="n">
        <v>2.613714337988867</v>
      </c>
      <c r="AC94" s="10" t="n">
        <v>2.635615964249145</v>
      </c>
      <c r="AD94" s="10" t="n">
        <v>2.655230845887392</v>
      </c>
      <c r="AE94" s="10" t="n">
        <v>2.672554888340274</v>
      </c>
      <c r="AF94" s="10" t="n">
        <v>2.687613291607818</v>
      </c>
      <c r="AG94" s="10" t="n">
        <v>2.700453890684047</v>
      </c>
      <c r="AH94" s="10" t="n">
        <v>2.711139916357414</v>
      </c>
      <c r="AI94" s="10" t="n">
        <v>2.719748819377887</v>
      </c>
      <c r="AJ94" s="10" t="n">
        <v>2.726369093369547</v>
      </c>
      <c r="AK94" s="10" t="n">
        <v>2.731098013297731</v>
      </c>
      <c r="AL94" s="10" t="n">
        <v>2.734038110981551</v>
      </c>
      <c r="AM94" s="10" t="n">
        <v>2.735295097580095</v>
      </c>
      <c r="AN94" s="10" t="n">
        <v>2.734976586692114</v>
      </c>
      <c r="AO94" s="10" t="n">
        <v>2.733191503970315</v>
      </c>
      <c r="AP94" s="10" t="n">
        <v>2.730049299932891</v>
      </c>
      <c r="AQ94" s="10" t="n">
        <v>2.725659494014051</v>
      </c>
      <c r="AR94" s="10" t="n">
        <v>2.720130749830892</v>
      </c>
      <c r="AS94" s="10" t="n">
        <v>2.713570147844971</v>
      </c>
      <c r="AT94" s="10" t="n">
        <v>2.706082261642787</v>
      </c>
      <c r="AU94" s="10" t="n">
        <v>2.697768515026363</v>
      </c>
      <c r="AV94" s="10" t="n">
        <v>2.68872663876329</v>
      </c>
      <c r="AW94" s="10" t="n">
        <v>2.679050317734709</v>
      </c>
      <c r="AX94" s="10" t="n">
        <v>2.668829251772657</v>
      </c>
      <c r="AY94" s="10" t="n">
        <v>2.658148199893138</v>
      </c>
      <c r="AZ94" s="10" t="n">
        <v>2.647086474080126</v>
      </c>
      <c r="BA94" s="10" t="n">
        <v>2.635718317007584</v>
      </c>
      <c r="BB94" s="10" t="n">
        <v>2.624112831441969</v>
      </c>
      <c r="BC94" s="10" t="n">
        <v>2.612333980821069</v>
      </c>
      <c r="BD94" s="10" t="n">
        <v>2.60044082110136</v>
      </c>
      <c r="BE94" s="10" t="n">
        <v>2.588487624620447</v>
      </c>
      <c r="BF94" s="10" t="n">
        <v>2.576523780737521</v>
      </c>
      <c r="BG94" s="10" t="n">
        <v>2.564594137939312</v>
      </c>
    </row>
    <row r="95">
      <c r="A95" s="9" t="n">
        <v>-30</v>
      </c>
      <c r="B95" s="7" t="n">
        <v>44792</v>
      </c>
      <c r="C95" s="10" t="n">
        <v>2.452729892024172</v>
      </c>
      <c r="D95" s="10" t="n">
        <v>2.392445783860037</v>
      </c>
      <c r="E95" s="10" t="n">
        <v>2.344124043087665</v>
      </c>
      <c r="F95" s="10" t="n">
        <v>2.308280069002721</v>
      </c>
      <c r="G95" s="10" t="n">
        <v>2.283340227040299</v>
      </c>
      <c r="H95" s="10" t="n">
        <v>2.267616819425923</v>
      </c>
      <c r="I95" s="10" t="n">
        <v>2.259810140332316</v>
      </c>
      <c r="J95" s="10" t="n">
        <v>2.25896496737146</v>
      </c>
      <c r="K95" s="10" t="n">
        <v>2.264353837044131</v>
      </c>
      <c r="L95" s="10" t="n">
        <v>2.275372022997785</v>
      </c>
      <c r="M95" s="10" t="n">
        <v>2.291453087558827</v>
      </c>
      <c r="N95" s="10" t="n">
        <v>2.312030560935648</v>
      </c>
      <c r="O95" s="10" t="n">
        <v>2.33651604444527</v>
      </c>
      <c r="P95" s="10" t="n">
        <v>2.364288757430761</v>
      </c>
      <c r="Q95" s="10" t="n">
        <v>2.394696761007397</v>
      </c>
      <c r="R95" s="10" t="n">
        <v>2.427069398784838</v>
      </c>
      <c r="S95" s="10" t="n">
        <v>2.460745055930861</v>
      </c>
      <c r="T95" s="10" t="n">
        <v>2.495073632967213</v>
      </c>
      <c r="U95" s="10" t="n">
        <v>2.529465386456415</v>
      </c>
      <c r="V95" s="10" t="n">
        <v>2.563406461145082</v>
      </c>
      <c r="W95" s="10" t="n">
        <v>2.5964437189316</v>
      </c>
      <c r="X95" s="10" t="n">
        <v>2.628174481044853</v>
      </c>
      <c r="Y95" s="10" t="n">
        <v>2.658264121203934</v>
      </c>
      <c r="Z95" s="10" t="n">
        <v>2.686466165748498</v>
      </c>
      <c r="AA95" s="10" t="n">
        <v>2.712608051626435</v>
      </c>
      <c r="AB95" s="10" t="n">
        <v>2.7365747775155</v>
      </c>
      <c r="AC95" s="10" t="n">
        <v>2.75829694063457</v>
      </c>
      <c r="AD95" s="10" t="n">
        <v>2.777743117417573</v>
      </c>
      <c r="AE95" s="10" t="n">
        <v>2.794913929242725</v>
      </c>
      <c r="AF95" s="10" t="n">
        <v>2.809837160889444</v>
      </c>
      <c r="AG95" s="10" t="n">
        <v>2.822561037483783</v>
      </c>
      <c r="AH95" s="10" t="n">
        <v>2.833146311553364</v>
      </c>
      <c r="AI95" s="10" t="n">
        <v>2.841665635795946</v>
      </c>
      <c r="AJ95" s="10" t="n">
        <v>2.848201455057723</v>
      </c>
      <c r="AK95" s="10" t="n">
        <v>2.852844113610241</v>
      </c>
      <c r="AL95" s="10" t="n">
        <v>2.855688923437765</v>
      </c>
      <c r="AM95" s="10" t="n">
        <v>2.856834509173761</v>
      </c>
      <c r="AN95" s="10" t="n">
        <v>2.856381877280643</v>
      </c>
      <c r="AO95" s="10" t="n">
        <v>2.854433957593475</v>
      </c>
      <c r="AP95" s="10" t="n">
        <v>2.851095156251087</v>
      </c>
      <c r="AQ95" s="10" t="n">
        <v>2.846471002206203</v>
      </c>
      <c r="AR95" s="10" t="n">
        <v>2.840667346309205</v>
      </c>
      <c r="AS95" s="10" t="n">
        <v>2.833789702327746</v>
      </c>
      <c r="AT95" s="10" t="n">
        <v>2.825942248879546</v>
      </c>
      <c r="AU95" s="10" t="n">
        <v>2.817227114059968</v>
      </c>
      <c r="AV95" s="10" t="n">
        <v>2.807743657279516</v>
      </c>
      <c r="AW95" s="10" t="n">
        <v>2.797587991935087</v>
      </c>
      <c r="AX95" s="10" t="n">
        <v>2.786852947459229</v>
      </c>
      <c r="AY95" s="10" t="n">
        <v>2.775626906257616</v>
      </c>
      <c r="AZ95" s="10" t="n">
        <v>2.763993180070418</v>
      </c>
      <c r="BA95" s="10" t="n">
        <v>2.752030335784976</v>
      </c>
      <c r="BB95" s="10" t="n">
        <v>2.739811996713819</v>
      </c>
      <c r="BC95" s="10" t="n">
        <v>2.727406755306805</v>
      </c>
      <c r="BD95" s="10" t="n">
        <v>2.714878355662942</v>
      </c>
      <c r="BE95" s="10" t="n">
        <v>2.702285765984643</v>
      </c>
      <c r="BF95" s="10" t="n">
        <v>2.689683018216275</v>
      </c>
      <c r="BG95" s="10" t="n">
        <v>2.677119526327302</v>
      </c>
    </row>
    <row r="96">
      <c r="A96" s="9" t="n">
        <v>-29</v>
      </c>
      <c r="B96" s="7" t="n">
        <v>44795</v>
      </c>
      <c r="C96" s="10" t="n">
        <v>2.539531770003633</v>
      </c>
      <c r="D96" s="10" t="n">
        <v>2.484135532241933</v>
      </c>
      <c r="E96" s="10" t="n">
        <v>2.436814901083093</v>
      </c>
      <c r="F96" s="10" t="n">
        <v>2.400192990275257</v>
      </c>
      <c r="G96" s="10" t="n">
        <v>2.373744705421895</v>
      </c>
      <c r="H96" s="10" t="n">
        <v>2.356313429847258</v>
      </c>
      <c r="I96" s="10" t="n">
        <v>2.346867619111449</v>
      </c>
      <c r="J96" s="10" t="n">
        <v>2.344582863707953</v>
      </c>
      <c r="K96" s="10" t="n">
        <v>2.34878802567163</v>
      </c>
      <c r="L96" s="10" t="n">
        <v>2.35889684512066</v>
      </c>
      <c r="M96" s="10" t="n">
        <v>2.374340414808383</v>
      </c>
      <c r="N96" s="10" t="n">
        <v>2.394540403997401</v>
      </c>
      <c r="O96" s="10" t="n">
        <v>2.418890733323848</v>
      </c>
      <c r="P96" s="10" t="n">
        <v>2.446749942034612</v>
      </c>
      <c r="Q96" s="10" t="n">
        <v>2.477443452237855</v>
      </c>
      <c r="R96" s="10" t="n">
        <v>2.510276555123982</v>
      </c>
      <c r="S96" s="10" t="n">
        <v>2.544562553151279</v>
      </c>
      <c r="T96" s="10" t="n">
        <v>2.579625341400435</v>
      </c>
      <c r="U96" s="10" t="n">
        <v>2.614850801257267</v>
      </c>
      <c r="V96" s="10" t="n">
        <v>2.649702772492091</v>
      </c>
      <c r="W96" s="10" t="n">
        <v>2.683707451420418</v>
      </c>
      <c r="X96" s="10" t="n">
        <v>2.716442931627009</v>
      </c>
      <c r="Y96" s="10" t="n">
        <v>2.747557855511708</v>
      </c>
      <c r="Z96" s="10" t="n">
        <v>2.776792264284084</v>
      </c>
      <c r="AA96" s="10" t="n">
        <v>2.803962964576035</v>
      </c>
      <c r="AB96" s="10" t="n">
        <v>2.828946763002961</v>
      </c>
      <c r="AC96" s="10" t="n">
        <v>2.851668096601681</v>
      </c>
      <c r="AD96" s="10" t="n">
        <v>2.87209108877224</v>
      </c>
      <c r="AE96" s="10" t="n">
        <v>2.890213348268798</v>
      </c>
      <c r="AF96" s="10" t="n">
        <v>2.906060867833514</v>
      </c>
      <c r="AG96" s="10" t="n">
        <v>2.919681050756769</v>
      </c>
      <c r="AH96" s="10" t="n">
        <v>2.931134430029726</v>
      </c>
      <c r="AI96" s="10" t="n">
        <v>2.940493719247536</v>
      </c>
      <c r="AJ96" s="10" t="n">
        <v>2.947841575053096</v>
      </c>
      <c r="AK96" s="10" t="n">
        <v>2.953268608678596</v>
      </c>
      <c r="AL96" s="10" t="n">
        <v>2.956870209009127</v>
      </c>
      <c r="AM96" s="10" t="n">
        <v>2.958744802212623</v>
      </c>
      <c r="AN96" s="10" t="n">
        <v>2.958992914789308</v>
      </c>
      <c r="AO96" s="10" t="n">
        <v>2.95771677798066</v>
      </c>
      <c r="AP96" s="10" t="n">
        <v>2.955020050535425</v>
      </c>
      <c r="AQ96" s="10" t="n">
        <v>2.951007554031494</v>
      </c>
      <c r="AR96" s="10" t="n">
        <v>2.945784636564176</v>
      </c>
      <c r="AS96" s="10" t="n">
        <v>2.939456621804863</v>
      </c>
      <c r="AT96" s="10" t="n">
        <v>2.932127827104405</v>
      </c>
      <c r="AU96" s="10" t="n">
        <v>2.923900850922497</v>
      </c>
      <c r="AV96" s="10" t="n">
        <v>2.914875815246021</v>
      </c>
      <c r="AW96" s="10" t="n">
        <v>2.905149866027287</v>
      </c>
      <c r="AX96" s="10" t="n">
        <v>2.894817115378443</v>
      </c>
      <c r="AY96" s="10" t="n">
        <v>2.883967360776971</v>
      </c>
      <c r="AZ96" s="10" t="n">
        <v>2.872685386884572</v>
      </c>
      <c r="BA96" s="10" t="n">
        <v>2.861051268982441</v>
      </c>
      <c r="BB96" s="10" t="n">
        <v>2.849140071222509</v>
      </c>
      <c r="BC96" s="10" t="n">
        <v>2.837021685474405</v>
      </c>
      <c r="BD96" s="10" t="n">
        <v>2.824760979356431</v>
      </c>
      <c r="BE96" s="10" t="n">
        <v>2.812417846424304</v>
      </c>
      <c r="BF96" s="10" t="n">
        <v>2.800047023465022</v>
      </c>
      <c r="BG96" s="10" t="n">
        <v>2.787698421940546</v>
      </c>
    </row>
    <row r="97">
      <c r="A97" s="9" t="n">
        <v>-28</v>
      </c>
      <c r="B97" s="7" t="n">
        <v>44796</v>
      </c>
      <c r="C97" s="10" t="n">
        <v>2.623532490022368</v>
      </c>
      <c r="D97" s="10" t="n">
        <v>2.583645185750885</v>
      </c>
      <c r="E97" s="10" t="n">
        <v>2.542630669850333</v>
      </c>
      <c r="F97" s="10" t="n">
        <v>2.507042791931332</v>
      </c>
      <c r="G97" s="10" t="n">
        <v>2.478523080743101</v>
      </c>
      <c r="H97" s="10" t="n">
        <v>2.457183123001224</v>
      </c>
      <c r="I97" s="10" t="n">
        <v>2.442783493201548</v>
      </c>
      <c r="J97" s="10" t="n">
        <v>2.435033236073528</v>
      </c>
      <c r="K97" s="10" t="n">
        <v>2.433641909201053</v>
      </c>
      <c r="L97" s="10" t="n">
        <v>2.438298718663702</v>
      </c>
      <c r="M97" s="10" t="n">
        <v>2.448625177394536</v>
      </c>
      <c r="N97" s="10" t="n">
        <v>2.464163968369795</v>
      </c>
      <c r="O97" s="10" t="n">
        <v>2.484374543139787</v>
      </c>
      <c r="P97" s="10" t="n">
        <v>2.508637616618098</v>
      </c>
      <c r="Q97" s="10" t="n">
        <v>2.536267557104979</v>
      </c>
      <c r="R97" s="10" t="n">
        <v>2.566533976193963</v>
      </c>
      <c r="S97" s="10" t="n">
        <v>2.598698969380412</v>
      </c>
      <c r="T97" s="10" t="n">
        <v>2.632023994125666</v>
      </c>
      <c r="U97" s="10" t="n">
        <v>2.665832948645076</v>
      </c>
      <c r="V97" s="10" t="n">
        <v>2.699532439347447</v>
      </c>
      <c r="W97" s="10" t="n">
        <v>2.732595265383901</v>
      </c>
      <c r="X97" s="10" t="n">
        <v>2.764549563970975</v>
      </c>
      <c r="Y97" s="10" t="n">
        <v>2.795001517435946</v>
      </c>
      <c r="Z97" s="10" t="n">
        <v>2.823659808936262</v>
      </c>
      <c r="AA97" s="10" t="n">
        <v>2.850318267951429</v>
      </c>
      <c r="AB97" s="10" t="n">
        <v>2.874836385564669</v>
      </c>
      <c r="AC97" s="10" t="n">
        <v>2.897125546870229</v>
      </c>
      <c r="AD97" s="10" t="n">
        <v>2.917140357736808</v>
      </c>
      <c r="AE97" s="10" t="n">
        <v>2.934871891547658</v>
      </c>
      <c r="AF97" s="10" t="n">
        <v>2.950342132121931</v>
      </c>
      <c r="AG97" s="10" t="n">
        <v>2.963596336214061</v>
      </c>
      <c r="AH97" s="10" t="n">
        <v>2.974693815741421</v>
      </c>
      <c r="AI97" s="10" t="n">
        <v>2.983706684306632</v>
      </c>
      <c r="AJ97" s="10" t="n">
        <v>2.990717438481415</v>
      </c>
      <c r="AK97" s="10" t="n">
        <v>2.995816856055646</v>
      </c>
      <c r="AL97" s="10" t="n">
        <v>2.999100635132361</v>
      </c>
      <c r="AM97" s="10" t="n">
        <v>3.000667547205507</v>
      </c>
      <c r="AN97" s="10" t="n">
        <v>3.000618412726689</v>
      </c>
      <c r="AO97" s="10" t="n">
        <v>2.999055653991035</v>
      </c>
      <c r="AP97" s="10" t="n">
        <v>2.99608287549994</v>
      </c>
      <c r="AQ97" s="10" t="n">
        <v>2.991804551323173</v>
      </c>
      <c r="AR97" s="10" t="n">
        <v>2.986325338172175</v>
      </c>
      <c r="AS97" s="10" t="n">
        <v>2.979749508952449</v>
      </c>
      <c r="AT97" s="10" t="n">
        <v>2.972180028564765</v>
      </c>
      <c r="AU97" s="10" t="n">
        <v>2.963717901467269</v>
      </c>
      <c r="AV97" s="10" t="n">
        <v>2.954461488142747</v>
      </c>
      <c r="AW97" s="10" t="n">
        <v>2.944506072646229</v>
      </c>
      <c r="AX97" s="10" t="n">
        <v>2.933943844000568</v>
      </c>
      <c r="AY97" s="10" t="n">
        <v>2.922862719669778</v>
      </c>
      <c r="AZ97" s="10" t="n">
        <v>2.911345721576067</v>
      </c>
      <c r="BA97" s="10" t="n">
        <v>2.899471279348598</v>
      </c>
      <c r="BB97" s="10" t="n">
        <v>2.88731296667809</v>
      </c>
      <c r="BC97" s="10" t="n">
        <v>2.874939375228581</v>
      </c>
      <c r="BD97" s="10" t="n">
        <v>2.862414279236376</v>
      </c>
      <c r="BE97" s="10" t="n">
        <v>2.849796699487321</v>
      </c>
      <c r="BF97" s="10" t="n">
        <v>2.837140749254803</v>
      </c>
      <c r="BG97" s="10" t="n">
        <v>2.824495959436766</v>
      </c>
    </row>
    <row r="98">
      <c r="A98" s="9" t="n">
        <v>-27</v>
      </c>
      <c r="B98" s="7" t="n">
        <v>44797</v>
      </c>
      <c r="C98" s="10" t="n">
        <v>2.855443205886096</v>
      </c>
      <c r="D98" s="10" t="n">
        <v>2.821002296096395</v>
      </c>
      <c r="E98" s="10" t="n">
        <v>2.777969820872764</v>
      </c>
      <c r="F98" s="10" t="n">
        <v>2.73643554960988</v>
      </c>
      <c r="G98" s="10" t="n">
        <v>2.699840964830678</v>
      </c>
      <c r="H98" s="10" t="n">
        <v>2.669297760187905</v>
      </c>
      <c r="I98" s="10" t="n">
        <v>2.645167810350788</v>
      </c>
      <c r="J98" s="10" t="n">
        <v>2.627549406122409</v>
      </c>
      <c r="K98" s="10" t="n">
        <v>2.616417860409752</v>
      </c>
      <c r="L98" s="10" t="n">
        <v>2.611653227486278</v>
      </c>
      <c r="M98" s="10" t="n">
        <v>2.613015430440603</v>
      </c>
      <c r="N98" s="10" t="n">
        <v>2.620142350248975</v>
      </c>
      <c r="O98" s="10" t="n">
        <v>2.632551076623342</v>
      </c>
      <c r="P98" s="10" t="n">
        <v>2.649644563231408</v>
      </c>
      <c r="Q98" s="10" t="n">
        <v>2.670729426299763</v>
      </c>
      <c r="R98" s="10" t="n">
        <v>2.695042903325885</v>
      </c>
      <c r="S98" s="10" t="n">
        <v>2.721798225922841</v>
      </c>
      <c r="T98" s="10" t="n">
        <v>2.750195135503165</v>
      </c>
      <c r="U98" s="10" t="n">
        <v>2.779494881690436</v>
      </c>
      <c r="V98" s="10" t="n">
        <v>2.809045057021808</v>
      </c>
      <c r="W98" s="10" t="n">
        <v>2.83826239544471</v>
      </c>
      <c r="X98" s="10" t="n">
        <v>2.866621748666108</v>
      </c>
      <c r="Y98" s="10" t="n">
        <v>2.893683483736925</v>
      </c>
      <c r="Z98" s="10" t="n">
        <v>2.919122009950985</v>
      </c>
      <c r="AA98" s="10" t="n">
        <v>2.942705674801087</v>
      </c>
      <c r="AB98" s="10" t="n">
        <v>2.964274648409247</v>
      </c>
      <c r="AC98" s="10" t="n">
        <v>2.983725842651097</v>
      </c>
      <c r="AD98" s="10" t="n">
        <v>3.001003434265248</v>
      </c>
      <c r="AE98" s="10" t="n">
        <v>3.016091479706622</v>
      </c>
      <c r="AF98" s="10" t="n">
        <v>3.029007837293077</v>
      </c>
      <c r="AG98" s="10" t="n">
        <v>3.039795866140151</v>
      </c>
      <c r="AH98" s="10" t="n">
        <v>3.048514451075351</v>
      </c>
      <c r="AI98" s="10" t="n">
        <v>3.055236215332671</v>
      </c>
      <c r="AJ98" s="10" t="n">
        <v>3.06004455583567</v>
      </c>
      <c r="AK98" s="10" t="n">
        <v>3.063031397756924</v>
      </c>
      <c r="AL98" s="10" t="n">
        <v>3.064293663781757</v>
      </c>
      <c r="AM98" s="10" t="n">
        <v>3.063931287166524</v>
      </c>
      <c r="AN98" s="10" t="n">
        <v>3.062046019759918</v>
      </c>
      <c r="AO98" s="10" t="n">
        <v>3.058740845673634</v>
      </c>
      <c r="AP98" s="10" t="n">
        <v>3.054119118849852</v>
      </c>
      <c r="AQ98" s="10" t="n">
        <v>3.048284115801234</v>
      </c>
      <c r="AR98" s="10" t="n">
        <v>3.041338247488831</v>
      </c>
      <c r="AS98" s="10" t="n">
        <v>3.033382490775916</v>
      </c>
      <c r="AT98" s="10" t="n">
        <v>3.024515738016992</v>
      </c>
      <c r="AU98" s="10" t="n">
        <v>3.014834372107877</v>
      </c>
      <c r="AV98" s="10" t="n">
        <v>3.004431792877246</v>
      </c>
      <c r="AW98" s="10" t="n">
        <v>2.993398138902684</v>
      </c>
      <c r="AX98" s="10" t="n">
        <v>2.981820303798968</v>
      </c>
      <c r="AY98" s="10" t="n">
        <v>2.969780930872362</v>
      </c>
      <c r="AZ98" s="10" t="n">
        <v>2.957357912572281</v>
      </c>
      <c r="BA98" s="10" t="n">
        <v>2.944624698045417</v>
      </c>
      <c r="BB98" s="10" t="n">
        <v>2.931650096764716</v>
      </c>
      <c r="BC98" s="10" t="n">
        <v>2.918498216903461</v>
      </c>
      <c r="BD98" s="10" t="n">
        <v>2.905228688452826</v>
      </c>
      <c r="BE98" s="10" t="n">
        <v>2.891896787368815</v>
      </c>
      <c r="BF98" s="10" t="n">
        <v>2.878553374906535</v>
      </c>
      <c r="BG98" s="10" t="n">
        <v>2.865245185101738</v>
      </c>
    </row>
    <row r="99">
      <c r="A99" s="9" t="n">
        <v>-26</v>
      </c>
      <c r="B99" s="7" t="n">
        <v>44798</v>
      </c>
      <c r="C99" s="10" t="n">
        <v>2.73975640461838</v>
      </c>
      <c r="D99" s="10" t="n">
        <v>2.700788529609507</v>
      </c>
      <c r="E99" s="10" t="n">
        <v>2.657302806190224</v>
      </c>
      <c r="F99" s="10" t="n">
        <v>2.617674189675982</v>
      </c>
      <c r="G99" s="10" t="n">
        <v>2.584406168746082</v>
      </c>
      <c r="H99" s="10" t="n">
        <v>2.55806191609159</v>
      </c>
      <c r="I99" s="10" t="n">
        <v>2.538655708751252</v>
      </c>
      <c r="J99" s="10" t="n">
        <v>2.526047185791267</v>
      </c>
      <c r="K99" s="10" t="n">
        <v>2.520034948457825</v>
      </c>
      <c r="L99" s="10" t="n">
        <v>2.520367240295056</v>
      </c>
      <c r="M99" s="10" t="n">
        <v>2.526710624293991</v>
      </c>
      <c r="N99" s="10" t="n">
        <v>2.538641298761861</v>
      </c>
      <c r="O99" s="10" t="n">
        <v>2.555641375482919</v>
      </c>
      <c r="P99" s="10" t="n">
        <v>2.577097144014162</v>
      </c>
      <c r="Q99" s="10" t="n">
        <v>2.6023115767175</v>
      </c>
      <c r="R99" s="10" t="n">
        <v>2.630526909790193</v>
      </c>
      <c r="S99" s="10" t="n">
        <v>2.660964939475223</v>
      </c>
      <c r="T99" s="10" t="n">
        <v>2.692835129408448</v>
      </c>
      <c r="U99" s="10" t="n">
        <v>2.725406441266081</v>
      </c>
      <c r="V99" s="10" t="n">
        <v>2.758030678049797</v>
      </c>
      <c r="W99" s="10" t="n">
        <v>2.790125952837831</v>
      </c>
      <c r="X99" s="10" t="n">
        <v>2.821166263304342</v>
      </c>
      <c r="Y99" s="10" t="n">
        <v>2.850709103190536</v>
      </c>
      <c r="Z99" s="10" t="n">
        <v>2.878423968111395</v>
      </c>
      <c r="AA99" s="10" t="n">
        <v>2.90407542628801</v>
      </c>
      <c r="AB99" s="10" t="n">
        <v>2.927503337482886</v>
      </c>
      <c r="AC99" s="10" t="n">
        <v>2.948607736478113</v>
      </c>
      <c r="AD99" s="10" t="n">
        <v>2.967338852219956</v>
      </c>
      <c r="AE99" s="10" t="n">
        <v>2.983689264972895</v>
      </c>
      <c r="AF99" s="10" t="n">
        <v>2.997687450005545</v>
      </c>
      <c r="AG99" s="10" t="n">
        <v>3.009388960144553</v>
      </c>
      <c r="AH99" s="10" t="n">
        <v>3.018865999486612</v>
      </c>
      <c r="AI99" s="10" t="n">
        <v>3.026205099319802</v>
      </c>
      <c r="AJ99" s="10" t="n">
        <v>3.031503424702708</v>
      </c>
      <c r="AK99" s="10" t="n">
        <v>3.034866300499935</v>
      </c>
      <c r="AL99" s="10" t="n">
        <v>3.036403119658039</v>
      </c>
      <c r="AM99" s="10" t="n">
        <v>3.036225120636141</v>
      </c>
      <c r="AN99" s="10" t="n">
        <v>3.034444089127171</v>
      </c>
      <c r="AO99" s="10" t="n">
        <v>3.031171884182106</v>
      </c>
      <c r="AP99" s="10" t="n">
        <v>3.026519766049602</v>
      </c>
      <c r="AQ99" s="10" t="n">
        <v>3.020598096128588</v>
      </c>
      <c r="AR99" s="10" t="n">
        <v>3.013515729491144</v>
      </c>
      <c r="AS99" s="10" t="n">
        <v>3.00537956985039</v>
      </c>
      <c r="AT99" s="10" t="n">
        <v>2.996293886232051</v>
      </c>
      <c r="AU99" s="10" t="n">
        <v>2.986359880976179</v>
      </c>
      <c r="AV99" s="10" t="n">
        <v>2.975675238788586</v>
      </c>
      <c r="AW99" s="10" t="n">
        <v>2.964333879347036</v>
      </c>
      <c r="AX99" s="10" t="n">
        <v>2.952425998227675</v>
      </c>
      <c r="AY99" s="10" t="n">
        <v>2.940037064245141</v>
      </c>
      <c r="AZ99" s="10" t="n">
        <v>2.927247348581639</v>
      </c>
      <c r="BA99" s="10" t="n">
        <v>2.9141322731933</v>
      </c>
      <c r="BB99" s="10" t="n">
        <v>2.900762256036134</v>
      </c>
      <c r="BC99" s="10" t="n">
        <v>2.887202701886819</v>
      </c>
      <c r="BD99" s="10" t="n">
        <v>2.873514299399138</v>
      </c>
      <c r="BE99" s="10" t="n">
        <v>2.859753198233657</v>
      </c>
      <c r="BF99" s="10" t="n">
        <v>2.845971005132242</v>
      </c>
      <c r="BG99" s="10" t="n">
        <v>2.832215148038681</v>
      </c>
    </row>
    <row r="100">
      <c r="A100" s="9" t="n">
        <v>-25</v>
      </c>
      <c r="B100" s="7" t="n">
        <v>44799</v>
      </c>
      <c r="C100" s="10" t="n">
        <v>2.758863368725401</v>
      </c>
      <c r="D100" s="10" t="n">
        <v>2.714626235643105</v>
      </c>
      <c r="E100" s="10" t="n">
        <v>2.665367932077617</v>
      </c>
      <c r="F100" s="10" t="n">
        <v>2.620290232171107</v>
      </c>
      <c r="G100" s="10" t="n">
        <v>2.582254884790433</v>
      </c>
      <c r="H100" s="10" t="n">
        <v>2.551943123403967</v>
      </c>
      <c r="I100" s="10" t="n">
        <v>2.529354683833031</v>
      </c>
      <c r="J100" s="10" t="n">
        <v>2.51428325997395</v>
      </c>
      <c r="K100" s="10" t="n">
        <v>2.506445444407191</v>
      </c>
      <c r="L100" s="10" t="n">
        <v>2.505494996063507</v>
      </c>
      <c r="M100" s="10" t="n">
        <v>2.511014423739693</v>
      </c>
      <c r="N100" s="10" t="n">
        <v>2.522498952947807</v>
      </c>
      <c r="O100" s="10" t="n">
        <v>2.539361110556022</v>
      </c>
      <c r="P100" s="10" t="n">
        <v>2.560926051410599</v>
      </c>
      <c r="Q100" s="10" t="n">
        <v>2.586443709231969</v>
      </c>
      <c r="R100" s="10" t="n">
        <v>2.61511285125281</v>
      </c>
      <c r="S100" s="10" t="n">
        <v>2.646119107041723</v>
      </c>
      <c r="T100" s="10" t="n">
        <v>2.678641554024309</v>
      </c>
      <c r="U100" s="10" t="n">
        <v>2.711923757801835</v>
      </c>
      <c r="V100" s="10" t="n">
        <v>2.745294200787022</v>
      </c>
      <c r="W100" s="10" t="n">
        <v>2.778149209530591</v>
      </c>
      <c r="X100" s="10" t="n">
        <v>2.809942537035725</v>
      </c>
      <c r="Y100" s="10" t="n">
        <v>2.840214173089801</v>
      </c>
      <c r="Z100" s="10" t="n">
        <v>2.86861811689059</v>
      </c>
      <c r="AA100" s="10" t="n">
        <v>2.894906145746249</v>
      </c>
      <c r="AB100" s="10" t="n">
        <v>2.91890789835303</v>
      </c>
      <c r="AC100" s="10" t="n">
        <v>2.940514691450689</v>
      </c>
      <c r="AD100" s="10" t="n">
        <v>2.959669239951767</v>
      </c>
      <c r="AE100" s="10" t="n">
        <v>2.976357625974276</v>
      </c>
      <c r="AF100" s="10" t="n">
        <v>2.990602672816645</v>
      </c>
      <c r="AG100" s="10" t="n">
        <v>3.002454363531461</v>
      </c>
      <c r="AH100" s="10" t="n">
        <v>3.011979049782769</v>
      </c>
      <c r="AI100" s="10" t="n">
        <v>3.019257807738503</v>
      </c>
      <c r="AJ100" s="10" t="n">
        <v>3.024382859355168</v>
      </c>
      <c r="AK100" s="10" t="n">
        <v>3.027455132721226</v>
      </c>
      <c r="AL100" s="10" t="n">
        <v>3.028580514080053</v>
      </c>
      <c r="AM100" s="10" t="n">
        <v>3.027867941463106</v>
      </c>
      <c r="AN100" s="10" t="n">
        <v>3.0254284369019</v>
      </c>
      <c r="AO100" s="10" t="n">
        <v>3.021374732664391</v>
      </c>
      <c r="AP100" s="10" t="n">
        <v>3.015821053090522</v>
      </c>
      <c r="AQ100" s="10" t="n">
        <v>3.008882876073741</v>
      </c>
      <c r="AR100" s="10" t="n">
        <v>3.000676388783925</v>
      </c>
      <c r="AS100" s="10" t="n">
        <v>2.99131799317894</v>
      </c>
      <c r="AT100" s="10" t="n">
        <v>2.980923263065959</v>
      </c>
      <c r="AU100" s="10" t="n">
        <v>2.969606213043569</v>
      </c>
      <c r="AV100" s="10" t="n">
        <v>2.957478407575294</v>
      </c>
      <c r="AW100" s="10" t="n">
        <v>2.944648349840376</v>
      </c>
      <c r="AX100" s="10" t="n">
        <v>2.931221086020176</v>
      </c>
      <c r="AY100" s="10" t="n">
        <v>2.91729641716541</v>
      </c>
      <c r="AZ100" s="10" t="n">
        <v>2.902968076996062</v>
      </c>
      <c r="BA100" s="10" t="n">
        <v>2.888324056698907</v>
      </c>
      <c r="BB100" s="10" t="n">
        <v>2.873445972366725</v>
      </c>
      <c r="BC100" s="10" t="n">
        <v>2.858408786429412</v>
      </c>
      <c r="BD100" s="10" t="n">
        <v>2.843281124784581</v>
      </c>
      <c r="BE100" s="10" t="n">
        <v>2.828125503576085</v>
      </c>
      <c r="BF100" s="10" t="n">
        <v>2.812998356423189</v>
      </c>
      <c r="BG100" s="10" t="n">
        <v>2.797950404381352</v>
      </c>
    </row>
    <row r="101">
      <c r="A101" s="9" t="n">
        <v>-24</v>
      </c>
      <c r="B101" s="7" t="n">
        <v>44803</v>
      </c>
      <c r="C101" s="10" t="n">
        <v>2.880983625818252</v>
      </c>
      <c r="D101" s="10" t="n">
        <v>2.833058362232166</v>
      </c>
      <c r="E101" s="10" t="n">
        <v>2.782079364051492</v>
      </c>
      <c r="F101" s="10" t="n">
        <v>2.73649393821673</v>
      </c>
      <c r="G101" s="10" t="n">
        <v>2.698652042874988</v>
      </c>
      <c r="H101" s="10" t="n">
        <v>2.668923227095237</v>
      </c>
      <c r="I101" s="10" t="n">
        <v>2.64711609394457</v>
      </c>
      <c r="J101" s="10" t="n">
        <v>2.632906010933106</v>
      </c>
      <c r="K101" s="10" t="n">
        <v>2.62593811450017</v>
      </c>
      <c r="L101" s="10" t="n">
        <v>2.62582539546522</v>
      </c>
      <c r="M101" s="10" t="n">
        <v>2.632132854501256</v>
      </c>
      <c r="N101" s="10" t="n">
        <v>2.644353134026757</v>
      </c>
      <c r="O101" s="10" t="n">
        <v>2.661904137406527</v>
      </c>
      <c r="P101" s="10" t="n">
        <v>2.684120504980627</v>
      </c>
      <c r="Q101" s="10" t="n">
        <v>2.710263369408906</v>
      </c>
      <c r="R101" s="10" t="n">
        <v>2.739542389998303</v>
      </c>
      <c r="S101" s="10" t="n">
        <v>2.771152923989667</v>
      </c>
      <c r="T101" s="10" t="n">
        <v>2.804282179743234</v>
      </c>
      <c r="U101" s="10" t="n">
        <v>2.838179534979545</v>
      </c>
      <c r="V101" s="10" t="n">
        <v>2.872176574789125</v>
      </c>
      <c r="W101" s="10" t="n">
        <v>2.905670550810055</v>
      </c>
      <c r="X101" s="10" t="n">
        <v>2.938114435851792</v>
      </c>
      <c r="Y101" s="10" t="n">
        <v>2.969045865237859</v>
      </c>
      <c r="Z101" s="10" t="n">
        <v>2.998114461145446</v>
      </c>
      <c r="AA101" s="10" t="n">
        <v>3.025065851864859</v>
      </c>
      <c r="AB101" s="10" t="n">
        <v>3.04972299547192</v>
      </c>
      <c r="AC101" s="10" t="n">
        <v>3.071971161698361</v>
      </c>
      <c r="AD101" s="10" t="n">
        <v>3.091747665051756</v>
      </c>
      <c r="AE101" s="10" t="n">
        <v>3.109033732818041</v>
      </c>
      <c r="AF101" s="10" t="n">
        <v>3.123847799646501</v>
      </c>
      <c r="AG101" s="10" t="n">
        <v>3.136236263869337</v>
      </c>
      <c r="AH101" s="10" t="n">
        <v>3.146263393529831</v>
      </c>
      <c r="AI101" s="10" t="n">
        <v>3.154009016328053</v>
      </c>
      <c r="AJ101" s="10" t="n">
        <v>3.159564490933283</v>
      </c>
      <c r="AK101" s="10" t="n">
        <v>3.163030087007314</v>
      </c>
      <c r="AL101" s="10" t="n">
        <v>3.164510889706261</v>
      </c>
      <c r="AM101" s="10" t="n">
        <v>3.16411477258119</v>
      </c>
      <c r="AN101" s="10" t="n">
        <v>3.161951406846141</v>
      </c>
      <c r="AO101" s="10" t="n">
        <v>3.158131905785433</v>
      </c>
      <c r="AP101" s="10" t="n">
        <v>3.152768615254016</v>
      </c>
      <c r="AQ101" s="10" t="n">
        <v>3.145974899177536</v>
      </c>
      <c r="AR101" s="10" t="n">
        <v>3.137864646325831</v>
      </c>
      <c r="AS101" s="10" t="n">
        <v>3.12855182542808</v>
      </c>
      <c r="AT101" s="10" t="n">
        <v>3.118149538681379</v>
      </c>
      <c r="AU101" s="10" t="n">
        <v>3.106769374658922</v>
      </c>
      <c r="AV101" s="10" t="n">
        <v>3.094520662933821</v>
      </c>
      <c r="AW101" s="10" t="n">
        <v>3.081509971096375</v>
      </c>
      <c r="AX101" s="10" t="n">
        <v>3.067840753823517</v>
      </c>
      <c r="AY101" s="10" t="n">
        <v>3.053611748582313</v>
      </c>
      <c r="AZ101" s="10" t="n">
        <v>3.038916250477247</v>
      </c>
      <c r="BA101" s="10" t="n">
        <v>3.023842408843624</v>
      </c>
      <c r="BB101" s="10" t="n">
        <v>3.008472698465753</v>
      </c>
      <c r="BC101" s="10" t="n">
        <v>2.99288370662421</v>
      </c>
      <c r="BD101" s="10" t="n">
        <v>2.97714643601058</v>
      </c>
      <c r="BE101" s="10" t="n">
        <v>2.961326475240323</v>
      </c>
      <c r="BF101" s="10" t="n">
        <v>2.945483957153752</v>
      </c>
      <c r="BG101" s="10" t="n">
        <v>2.929673913837638</v>
      </c>
    </row>
    <row r="102">
      <c r="A102" s="9" t="n">
        <v>-23</v>
      </c>
      <c r="B102" s="7" t="n">
        <v>44804</v>
      </c>
      <c r="C102" s="10" t="n">
        <v>2.971601186846837</v>
      </c>
      <c r="D102" s="10" t="n">
        <v>2.91926700301615</v>
      </c>
      <c r="E102" s="10" t="n">
        <v>2.86584894809601</v>
      </c>
      <c r="F102" s="10" t="n">
        <v>2.819143187071369</v>
      </c>
      <c r="G102" s="10" t="n">
        <v>2.781030838189431</v>
      </c>
      <c r="H102" s="10" t="n">
        <v>2.751560895620602</v>
      </c>
      <c r="I102" s="10" t="n">
        <v>2.73032607088303</v>
      </c>
      <c r="J102" s="10" t="n">
        <v>2.716862182579193</v>
      </c>
      <c r="K102" s="10" t="n">
        <v>2.710729161809072</v>
      </c>
      <c r="L102" s="10" t="n">
        <v>2.711488729438299</v>
      </c>
      <c r="M102" s="10" t="n">
        <v>2.718676474767193</v>
      </c>
      <c r="N102" s="10" t="n">
        <v>2.731767461935989</v>
      </c>
      <c r="O102" s="10" t="n">
        <v>2.750167050189367</v>
      </c>
      <c r="P102" s="10" t="n">
        <v>2.773198905421464</v>
      </c>
      <c r="Q102" s="10" t="n">
        <v>2.80011295031812</v>
      </c>
      <c r="R102" s="10" t="n">
        <v>2.830106353440184</v>
      </c>
      <c r="S102" s="10" t="n">
        <v>2.862361243818929</v>
      </c>
      <c r="T102" s="10" t="n">
        <v>2.896050088823235</v>
      </c>
      <c r="U102" s="10" t="n">
        <v>2.930410147377693</v>
      </c>
      <c r="V102" s="10" t="n">
        <v>2.964764471480911</v>
      </c>
      <c r="W102" s="10" t="n">
        <v>2.998504628200653</v>
      </c>
      <c r="X102" s="10" t="n">
        <v>3.031080404497833</v>
      </c>
      <c r="Y102" s="10" t="n">
        <v>3.062030310009859</v>
      </c>
      <c r="Z102" s="10" t="n">
        <v>3.091009692363148</v>
      </c>
      <c r="AA102" s="10" t="n">
        <v>3.117773039614972</v>
      </c>
      <c r="AB102" s="10" t="n">
        <v>3.142153769295764</v>
      </c>
      <c r="AC102" s="10" t="n">
        <v>3.164048540909977</v>
      </c>
      <c r="AD102" s="10" t="n">
        <v>3.183406805207139</v>
      </c>
      <c r="AE102" s="10" t="n">
        <v>3.200222555548873</v>
      </c>
      <c r="AF102" s="10" t="n">
        <v>3.214527518746925</v>
      </c>
      <c r="AG102" s="10" t="n">
        <v>3.22638140105779</v>
      </c>
      <c r="AH102" s="10" t="n">
        <v>3.235861257793736</v>
      </c>
      <c r="AI102" s="10" t="n">
        <v>3.243059249166349</v>
      </c>
      <c r="AJ102" s="10" t="n">
        <v>3.248078399401275</v>
      </c>
      <c r="AK102" s="10" t="n">
        <v>3.251029942064254</v>
      </c>
      <c r="AL102" s="10" t="n">
        <v>3.252029026575275</v>
      </c>
      <c r="AM102" s="10" t="n">
        <v>3.251192515353758</v>
      </c>
      <c r="AN102" s="10" t="n">
        <v>3.248637751113857</v>
      </c>
      <c r="AO102" s="10" t="n">
        <v>3.244482135196448</v>
      </c>
      <c r="AP102" s="10" t="n">
        <v>3.23884256551957</v>
      </c>
      <c r="AQ102" s="10" t="n">
        <v>3.231835181913493</v>
      </c>
      <c r="AR102" s="10" t="n">
        <v>3.223574782115381</v>
      </c>
      <c r="AS102" s="10" t="n">
        <v>3.214174392090665</v>
      </c>
      <c r="AT102" s="10" t="n">
        <v>3.203744479584556</v>
      </c>
      <c r="AU102" s="10" t="n">
        <v>3.192392485644951</v>
      </c>
      <c r="AV102" s="10" t="n">
        <v>3.1802223482748</v>
      </c>
      <c r="AW102" s="10" t="n">
        <v>3.167334239040074</v>
      </c>
      <c r="AX102" s="10" t="n">
        <v>3.153824454288526</v>
      </c>
      <c r="AY102" s="10" t="n">
        <v>3.139784269206241</v>
      </c>
      <c r="AZ102" s="10" t="n">
        <v>3.125299482679062</v>
      </c>
      <c r="BA102" s="10" t="n">
        <v>3.110450769206603</v>
      </c>
      <c r="BB102" s="10" t="n">
        <v>3.095313421797265</v>
      </c>
      <c r="BC102" s="10" t="n">
        <v>3.079957334866005</v>
      </c>
      <c r="BD102" s="10" t="n">
        <v>3.064447390733824</v>
      </c>
      <c r="BE102" s="10" t="n">
        <v>3.048843690789212</v>
      </c>
      <c r="BF102" s="10" t="n">
        <v>3.033201611655314</v>
      </c>
      <c r="BG102" s="10" t="n">
        <v>3.017572219217755</v>
      </c>
    </row>
    <row r="103">
      <c r="A103" s="9" t="n">
        <v>-22</v>
      </c>
      <c r="B103" s="7" t="n">
        <v>44805</v>
      </c>
      <c r="C103" s="10" t="n">
        <v>3.043162295518382</v>
      </c>
      <c r="D103" s="10" t="n">
        <v>2.986316993088542</v>
      </c>
      <c r="E103" s="10" t="n">
        <v>2.931414661517903</v>
      </c>
      <c r="F103" s="10" t="n">
        <v>2.885492000108445</v>
      </c>
      <c r="G103" s="10" t="n">
        <v>2.849685634168679</v>
      </c>
      <c r="H103" s="10" t="n">
        <v>2.823460331537329</v>
      </c>
      <c r="I103" s="10" t="n">
        <v>2.805973305428005</v>
      </c>
      <c r="J103" s="10" t="n">
        <v>2.796448192691169</v>
      </c>
      <c r="K103" s="10" t="n">
        <v>2.794229064735315</v>
      </c>
      <c r="L103" s="10" t="n">
        <v>2.798740047885514</v>
      </c>
      <c r="M103" s="10" t="n">
        <v>2.809437353272503</v>
      </c>
      <c r="N103" s="10" t="n">
        <v>2.8257628535191</v>
      </c>
      <c r="O103" s="10" t="n">
        <v>2.847119382384124</v>
      </c>
      <c r="P103" s="10" t="n">
        <v>2.872849040603557</v>
      </c>
      <c r="Q103" s="10" t="n">
        <v>2.902233941838372</v>
      </c>
      <c r="R103" s="10" t="n">
        <v>2.934510502655447</v>
      </c>
      <c r="S103" s="10" t="n">
        <v>2.968902054650341</v>
      </c>
      <c r="T103" s="10" t="n">
        <v>3.004622629411291</v>
      </c>
      <c r="U103" s="10" t="n">
        <v>3.040944436048043</v>
      </c>
      <c r="V103" s="10" t="n">
        <v>3.077216653107393</v>
      </c>
      <c r="W103" s="10" t="n">
        <v>3.112849911976586</v>
      </c>
      <c r="X103" s="10" t="n">
        <v>3.147307231213686</v>
      </c>
      <c r="Y103" s="10" t="n">
        <v>3.180132759559079</v>
      </c>
      <c r="Z103" s="10" t="n">
        <v>3.210977944098119</v>
      </c>
      <c r="AA103" s="10" t="n">
        <v>3.239586860779472</v>
      </c>
      <c r="AB103" s="10" t="n">
        <v>3.265780407911598</v>
      </c>
      <c r="AC103" s="10" t="n">
        <v>3.289443397551088</v>
      </c>
      <c r="AD103" s="10" t="n">
        <v>3.310514234998645</v>
      </c>
      <c r="AE103" s="10" t="n">
        <v>3.328976544854655</v>
      </c>
      <c r="AF103" s="10" t="n">
        <v>3.344852272385126</v>
      </c>
      <c r="AG103" s="10" t="n">
        <v>3.358192896191421</v>
      </c>
      <c r="AH103" s="10" t="n">
        <v>3.369070406408115</v>
      </c>
      <c r="AI103" s="10" t="n">
        <v>3.377574157981774</v>
      </c>
      <c r="AJ103" s="10" t="n">
        <v>3.383806311846015</v>
      </c>
      <c r="AK103" s="10" t="n">
        <v>3.387878875633919</v>
      </c>
      <c r="AL103" s="10" t="n">
        <v>3.389909025194975</v>
      </c>
      <c r="AM103" s="10" t="n">
        <v>3.390016591532167</v>
      </c>
      <c r="AN103" s="10" t="n">
        <v>3.388322524660978</v>
      </c>
      <c r="AO103" s="10" t="n">
        <v>3.384948341674852</v>
      </c>
      <c r="AP103" s="10" t="n">
        <v>3.380015446928331</v>
      </c>
      <c r="AQ103" s="10" t="n">
        <v>3.373644810139599</v>
      </c>
      <c r="AR103" s="10" t="n">
        <v>3.365956332151343</v>
      </c>
      <c r="AS103" s="10" t="n">
        <v>3.357068355109107</v>
      </c>
      <c r="AT103" s="10" t="n">
        <v>3.347096695302803</v>
      </c>
      <c r="AU103" s="10" t="n">
        <v>3.336154054595644</v>
      </c>
      <c r="AV103" s="10" t="n">
        <v>3.324349410776633</v>
      </c>
      <c r="AW103" s="10" t="n">
        <v>3.311787667266953</v>
      </c>
      <c r="AX103" s="10" t="n">
        <v>3.298569497997525</v>
      </c>
      <c r="AY103" s="10" t="n">
        <v>3.28479011111853</v>
      </c>
      <c r="AZ103" s="10" t="n">
        <v>3.270538778701037</v>
      </c>
      <c r="BA103" s="10" t="n">
        <v>3.255899209784886</v>
      </c>
      <c r="BB103" s="10" t="n">
        <v>3.240949216415264</v>
      </c>
      <c r="BC103" s="10" t="n">
        <v>3.2257606426412</v>
      </c>
      <c r="BD103" s="10" t="n">
        <v>3.210399696810127</v>
      </c>
      <c r="BE103" s="10" t="n">
        <v>3.194927156753056</v>
      </c>
      <c r="BF103" s="10" t="n">
        <v>3.179398393040406</v>
      </c>
      <c r="BG103" s="10" t="n">
        <v>3.163863772717013</v>
      </c>
    </row>
    <row r="104">
      <c r="A104" s="9" t="n">
        <v>-21</v>
      </c>
      <c r="B104" s="7" t="n">
        <v>44806</v>
      </c>
      <c r="C104" s="10" t="n">
        <v>3.025671318988866</v>
      </c>
      <c r="D104" s="10" t="n">
        <v>2.968367542059763</v>
      </c>
      <c r="E104" s="10" t="n">
        <v>2.913342468993124</v>
      </c>
      <c r="F104" s="10" t="n">
        <v>2.867465795081294</v>
      </c>
      <c r="G104" s="10" t="n">
        <v>2.831825347582654</v>
      </c>
      <c r="H104" s="10" t="n">
        <v>2.805863719703142</v>
      </c>
      <c r="I104" s="10" t="n">
        <v>2.788720710821689</v>
      </c>
      <c r="J104" s="10" t="n">
        <v>2.779607214710812</v>
      </c>
      <c r="K104" s="10" t="n">
        <v>2.777858951169079</v>
      </c>
      <c r="L104" s="10" t="n">
        <v>2.782897005410921</v>
      </c>
      <c r="M104" s="10" t="n">
        <v>2.794174815643239</v>
      </c>
      <c r="N104" s="10" t="n">
        <v>2.811136230395328</v>
      </c>
      <c r="O104" s="10" t="n">
        <v>2.833186774211486</v>
      </c>
      <c r="P104" s="10" t="n">
        <v>2.859672472552059</v>
      </c>
      <c r="Q104" s="10" t="n">
        <v>2.889879555119948</v>
      </c>
      <c r="R104" s="10" t="n">
        <v>2.923047755765373</v>
      </c>
      <c r="S104" s="10" t="n">
        <v>2.958402471914666</v>
      </c>
      <c r="T104" s="10" t="n">
        <v>2.995157930174146</v>
      </c>
      <c r="U104" s="10" t="n">
        <v>3.032585227069962</v>
      </c>
      <c r="V104" s="10" t="n">
        <v>3.070030328308696</v>
      </c>
      <c r="W104" s="10" t="n">
        <v>3.106898929698705</v>
      </c>
      <c r="X104" s="10" t="n">
        <v>3.142647981595836</v>
      </c>
      <c r="Y104" s="10" t="n">
        <v>3.176815611334949</v>
      </c>
      <c r="Z104" s="10" t="n">
        <v>3.209046907397278</v>
      </c>
      <c r="AA104" s="10" t="n">
        <v>3.239079640895147</v>
      </c>
      <c r="AB104" s="10" t="n">
        <v>3.266728796293758</v>
      </c>
      <c r="AC104" s="10" t="n">
        <v>3.291873608184315</v>
      </c>
      <c r="AD104" s="10" t="n">
        <v>3.314447186451644</v>
      </c>
      <c r="AE104" s="10" t="n">
        <v>3.33442809825957</v>
      </c>
      <c r="AF104" s="10" t="n">
        <v>3.351833421055142</v>
      </c>
      <c r="AG104" s="10" t="n">
        <v>3.36670957970358</v>
      </c>
      <c r="AH104" s="10" t="n">
        <v>3.379123472618899</v>
      </c>
      <c r="AI104" s="10" t="n">
        <v>3.389159770640707</v>
      </c>
      <c r="AJ104" s="10" t="n">
        <v>3.396916321715951</v>
      </c>
      <c r="AK104" s="10" t="n">
        <v>3.402501123302649</v>
      </c>
      <c r="AL104" s="10" t="n">
        <v>3.406027632373606</v>
      </c>
      <c r="AM104" s="10" t="n">
        <v>3.407612241576204</v>
      </c>
      <c r="AN104" s="10" t="n">
        <v>3.407372699295685</v>
      </c>
      <c r="AO104" s="10" t="n">
        <v>3.405427623102246</v>
      </c>
      <c r="AP104" s="10" t="n">
        <v>3.401896090208929</v>
      </c>
      <c r="AQ104" s="10" t="n">
        <v>3.396897401938051</v>
      </c>
      <c r="AR104" s="10" t="n">
        <v>3.390550613798006</v>
      </c>
      <c r="AS104" s="10" t="n">
        <v>3.382974087440414</v>
      </c>
      <c r="AT104" s="10" t="n">
        <v>3.374284305256261</v>
      </c>
      <c r="AU104" s="10" t="n">
        <v>3.364595137583398</v>
      </c>
      <c r="AV104" s="10" t="n">
        <v>3.354017098261235</v>
      </c>
      <c r="AW104" s="10" t="n">
        <v>3.342656899095742</v>
      </c>
      <c r="AX104" s="10" t="n">
        <v>3.330617161846429</v>
      </c>
      <c r="AY104" s="10" t="n">
        <v>3.317994979150686</v>
      </c>
      <c r="AZ104" s="10" t="n">
        <v>3.304881380685778</v>
      </c>
      <c r="BA104" s="10" t="n">
        <v>3.291361684464318</v>
      </c>
      <c r="BB104" s="10" t="n">
        <v>3.277515006538364</v>
      </c>
      <c r="BC104" s="10" t="n">
        <v>3.26341407924912</v>
      </c>
      <c r="BD104" s="10" t="n">
        <v>3.249125454295652</v>
      </c>
      <c r="BE104" s="10" t="n">
        <v>3.234709632756561</v>
      </c>
      <c r="BF104" s="10" t="n">
        <v>3.220221016640483</v>
      </c>
      <c r="BG104" s="10" t="n">
        <v>3.205708266336981</v>
      </c>
    </row>
    <row r="105">
      <c r="A105" s="9" t="n">
        <v>-20</v>
      </c>
      <c r="B105" s="7" t="n">
        <v>44809</v>
      </c>
      <c r="C105" s="10" t="n">
        <v>3.117057580340997</v>
      </c>
      <c r="D105" s="10" t="n">
        <v>3.057037375031488</v>
      </c>
      <c r="E105" s="10" t="n">
        <v>2.998189727397498</v>
      </c>
      <c r="F105" s="10" t="n">
        <v>2.947750350068421</v>
      </c>
      <c r="G105" s="10" t="n">
        <v>2.907093132665561</v>
      </c>
      <c r="H105" s="10" t="n">
        <v>2.875857228395875</v>
      </c>
      <c r="I105" s="10" t="n">
        <v>2.853318976027733</v>
      </c>
      <c r="J105" s="10" t="n">
        <v>2.838778936171477</v>
      </c>
      <c r="K105" s="10" t="n">
        <v>2.83162894657546</v>
      </c>
      <c r="L105" s="10" t="n">
        <v>2.831320064655929</v>
      </c>
      <c r="M105" s="10" t="n">
        <v>2.837314037189745</v>
      </c>
      <c r="N105" s="10" t="n">
        <v>2.849047526901194</v>
      </c>
      <c r="O105" s="10" t="n">
        <v>2.865908041394258</v>
      </c>
      <c r="P105" s="10" t="n">
        <v>2.887218472559982</v>
      </c>
      <c r="Q105" s="10" t="n">
        <v>2.912240591132295</v>
      </c>
      <c r="R105" s="10" t="n">
        <v>2.940193588470098</v>
      </c>
      <c r="S105" s="10" t="n">
        <v>2.970291343855357</v>
      </c>
      <c r="T105" s="10" t="n">
        <v>3.001747288409162</v>
      </c>
      <c r="U105" s="10" t="n">
        <v>3.033843308803919</v>
      </c>
      <c r="V105" s="10" t="n">
        <v>3.065945954394629</v>
      </c>
      <c r="W105" s="10" t="n">
        <v>3.097489254243715</v>
      </c>
      <c r="X105" s="10" t="n">
        <v>3.127964759950299</v>
      </c>
      <c r="Y105" s="10" t="n">
        <v>3.156950394162232</v>
      </c>
      <c r="Z105" s="10" t="n">
        <v>3.184134630158294</v>
      </c>
      <c r="AA105" s="10" t="n">
        <v>3.20929929657904</v>
      </c>
      <c r="AB105" s="10" t="n">
        <v>3.232299213480736</v>
      </c>
      <c r="AC105" s="10" t="n">
        <v>3.253046273837655</v>
      </c>
      <c r="AD105" s="10" t="n">
        <v>3.271499891810019</v>
      </c>
      <c r="AE105" s="10" t="n">
        <v>3.287659577558653</v>
      </c>
      <c r="AF105" s="10" t="n">
        <v>3.301558771952231</v>
      </c>
      <c r="AG105" s="10" t="n">
        <v>3.313254666790748</v>
      </c>
      <c r="AH105" s="10" t="n">
        <v>3.322817654637801</v>
      </c>
      <c r="AI105" s="10" t="n">
        <v>3.330330023329799</v>
      </c>
      <c r="AJ105" s="10" t="n">
        <v>3.335881866932088</v>
      </c>
      <c r="AK105" s="10" t="n">
        <v>3.339568805048919</v>
      </c>
      <c r="AL105" s="10" t="n">
        <v>3.341488181195822</v>
      </c>
      <c r="AM105" s="10" t="n">
        <v>3.341737403381868</v>
      </c>
      <c r="AN105" s="10" t="n">
        <v>3.340413243174757</v>
      </c>
      <c r="AO105" s="10" t="n">
        <v>3.337611882509872</v>
      </c>
      <c r="AP105" s="10" t="n">
        <v>3.333429302206743</v>
      </c>
      <c r="AQ105" s="10" t="n">
        <v>3.327961445320888</v>
      </c>
      <c r="AR105" s="10" t="n">
        <v>3.321304388390989</v>
      </c>
      <c r="AS105" s="10" t="n">
        <v>3.313554300782411</v>
      </c>
      <c r="AT105" s="10" t="n">
        <v>3.304806663704682</v>
      </c>
      <c r="AU105" s="10" t="n">
        <v>3.2951557607292</v>
      </c>
      <c r="AV105" s="10" t="n">
        <v>3.284694116373212</v>
      </c>
      <c r="AW105" s="10" t="n">
        <v>3.273512147657127</v>
      </c>
      <c r="AX105" s="10" t="n">
        <v>3.261697852940771</v>
      </c>
      <c r="AY105" s="10" t="n">
        <v>3.249335376622142</v>
      </c>
      <c r="AZ105" s="10" t="n">
        <v>3.236504405274404</v>
      </c>
      <c r="BA105" s="10" t="n">
        <v>3.223280380810746</v>
      </c>
      <c r="BB105" s="10" t="n">
        <v>3.209733926149486</v>
      </c>
      <c r="BC105" s="10" t="n">
        <v>3.195930584135378</v>
      </c>
      <c r="BD105" s="10" t="n">
        <v>3.181930931358666</v>
      </c>
      <c r="BE105" s="10" t="n">
        <v>3.167790627751495</v>
      </c>
      <c r="BF105" s="10" t="n">
        <v>3.153560301969653</v>
      </c>
      <c r="BG105" s="10" t="n">
        <v>3.139285794184353</v>
      </c>
    </row>
    <row r="106">
      <c r="A106" s="9" t="n">
        <v>-19</v>
      </c>
      <c r="B106" s="7" t="n">
        <v>44810</v>
      </c>
      <c r="C106" s="10" t="n">
        <v>3.087181761267157</v>
      </c>
      <c r="D106" s="10" t="n">
        <v>3.053196531134309</v>
      </c>
      <c r="E106" s="10" t="n">
        <v>3.015239607770704</v>
      </c>
      <c r="F106" s="10" t="n">
        <v>2.98195560891984</v>
      </c>
      <c r="G106" s="10" t="n">
        <v>2.955665565298996</v>
      </c>
      <c r="H106" s="10" t="n">
        <v>2.936628393423959</v>
      </c>
      <c r="I106" s="10" t="n">
        <v>2.924530413423706</v>
      </c>
      <c r="J106" s="10" t="n">
        <v>2.918951854219495</v>
      </c>
      <c r="K106" s="10" t="n">
        <v>2.919491674287347</v>
      </c>
      <c r="L106" s="10" t="n">
        <v>2.925769288167492</v>
      </c>
      <c r="M106" s="10" t="n">
        <v>2.937392016624923</v>
      </c>
      <c r="N106" s="10" t="n">
        <v>2.953929943972573</v>
      </c>
      <c r="O106" s="10" t="n">
        <v>2.974892902333209</v>
      </c>
      <c r="P106" s="10" t="n">
        <v>2.999715247589592</v>
      </c>
      <c r="Q106" s="10" t="n">
        <v>3.027759854681383</v>
      </c>
      <c r="R106" s="10" t="n">
        <v>3.058336081953601</v>
      </c>
      <c r="S106" s="10" t="n">
        <v>3.090737989914995</v>
      </c>
      <c r="T106" s="10" t="n">
        <v>3.124251108859843</v>
      </c>
      <c r="U106" s="10" t="n">
        <v>3.158218243640527</v>
      </c>
      <c r="V106" s="10" t="n">
        <v>3.192055578429239</v>
      </c>
      <c r="W106" s="10" t="n">
        <v>3.225237794934284</v>
      </c>
      <c r="X106" s="10" t="n">
        <v>3.257289741286384</v>
      </c>
      <c r="Y106" s="10" t="n">
        <v>3.287814165924092</v>
      </c>
      <c r="Z106" s="10" t="n">
        <v>3.316514614459043</v>
      </c>
      <c r="AA106" s="10" t="n">
        <v>3.343180687920762</v>
      </c>
      <c r="AB106" s="10" t="n">
        <v>3.367670543971326</v>
      </c>
      <c r="AC106" s="10" t="n">
        <v>3.389896776184387</v>
      </c>
      <c r="AD106" s="10" t="n">
        <v>3.409817387194447</v>
      </c>
      <c r="AE106" s="10" t="n">
        <v>3.427428693531092</v>
      </c>
      <c r="AF106" s="10" t="n">
        <v>3.442759433770869</v>
      </c>
      <c r="AG106" s="10" t="n">
        <v>3.45586119443509</v>
      </c>
      <c r="AH106" s="10" t="n">
        <v>3.466798721946258</v>
      </c>
      <c r="AI106" s="10" t="n">
        <v>3.475648581447775</v>
      </c>
      <c r="AJ106" s="10" t="n">
        <v>3.482495219178672</v>
      </c>
      <c r="AK106" s="10" t="n">
        <v>3.487428728970649</v>
      </c>
      <c r="AL106" s="10" t="n">
        <v>3.49054119002562</v>
      </c>
      <c r="AM106" s="10" t="n">
        <v>3.49192520373506</v>
      </c>
      <c r="AN106" s="10" t="n">
        <v>3.491673440047059</v>
      </c>
      <c r="AO106" s="10" t="n">
        <v>3.48987877409325</v>
      </c>
      <c r="AP106" s="10" t="n">
        <v>3.486634946995403</v>
      </c>
      <c r="AQ106" s="10" t="n">
        <v>3.482036744276269</v>
      </c>
      <c r="AR106" s="10" t="n">
        <v>3.476180111442411</v>
      </c>
      <c r="AS106" s="10" t="n">
        <v>3.469162024587109</v>
      </c>
      <c r="AT106" s="10" t="n">
        <v>3.46107953934515</v>
      </c>
      <c r="AU106" s="10" t="n">
        <v>3.452029150023474</v>
      </c>
      <c r="AV106" s="10" t="n">
        <v>3.442106084480839</v>
      </c>
      <c r="AW106" s="10" t="n">
        <v>3.431403839258713</v>
      </c>
      <c r="AX106" s="10" t="n">
        <v>3.420013741462122</v>
      </c>
      <c r="AY106" s="10" t="n">
        <v>3.408023334241612</v>
      </c>
      <c r="AZ106" s="10" t="n">
        <v>3.395515696441896</v>
      </c>
      <c r="BA106" s="10" t="n">
        <v>3.382569632062114</v>
      </c>
      <c r="BB106" s="10" t="n">
        <v>3.369258978683791</v>
      </c>
      <c r="BC106" s="10" t="n">
        <v>3.355652272580763</v>
      </c>
      <c r="BD106" s="10" t="n">
        <v>3.341812816938564</v>
      </c>
      <c r="BE106" s="10" t="n">
        <v>3.327798694292105</v>
      </c>
      <c r="BF106" s="10" t="n">
        <v>3.313662608237925</v>
      </c>
      <c r="BG106" s="10" t="n">
        <v>3.299452141337431</v>
      </c>
    </row>
    <row r="107">
      <c r="A107" s="9" t="n">
        <v>-18</v>
      </c>
      <c r="B107" s="7" t="n">
        <v>44811</v>
      </c>
      <c r="C107" s="10" t="n">
        <v>2.958175864276944</v>
      </c>
      <c r="D107" s="10" t="n">
        <v>2.938065930321101</v>
      </c>
      <c r="E107" s="10" t="n">
        <v>2.913297491661643</v>
      </c>
      <c r="F107" s="10" t="n">
        <v>2.892055948520792</v>
      </c>
      <c r="G107" s="10" t="n">
        <v>2.876640102496785</v>
      </c>
      <c r="H107" s="10" t="n">
        <v>2.867378255995346</v>
      </c>
      <c r="I107" s="10" t="n">
        <v>2.864030324227721</v>
      </c>
      <c r="J107" s="10" t="n">
        <v>2.866234003409282</v>
      </c>
      <c r="K107" s="10" t="n">
        <v>2.873633776206757</v>
      </c>
      <c r="L107" s="10" t="n">
        <v>2.885891831870437</v>
      </c>
      <c r="M107" s="10" t="n">
        <v>2.9026621833643</v>
      </c>
      <c r="N107" s="10" t="n">
        <v>2.923571786862261</v>
      </c>
      <c r="O107" s="10" t="n">
        <v>2.948197376927283</v>
      </c>
      <c r="P107" s="10" t="n">
        <v>2.976049733247388</v>
      </c>
      <c r="Q107" s="10" t="n">
        <v>3.006575691322827</v>
      </c>
      <c r="R107" s="10" t="n">
        <v>3.039172716752471</v>
      </c>
      <c r="S107" s="10" t="n">
        <v>3.073222295695943</v>
      </c>
      <c r="T107" s="10" t="n">
        <v>3.108095873449773</v>
      </c>
      <c r="U107" s="10" t="n">
        <v>3.143213481117019</v>
      </c>
      <c r="V107" s="10" t="n">
        <v>3.178058069338012</v>
      </c>
      <c r="W107" s="10" t="n">
        <v>3.212162742926269</v>
      </c>
      <c r="X107" s="10" t="n">
        <v>3.245103791442257</v>
      </c>
      <c r="Y107" s="10" t="n">
        <v>3.276525817267633</v>
      </c>
      <c r="Z107" s="10" t="n">
        <v>3.306162202121129</v>
      </c>
      <c r="AA107" s="10" t="n">
        <v>3.33382286287515</v>
      </c>
      <c r="AB107" s="10" t="n">
        <v>3.359378815956581</v>
      </c>
      <c r="AC107" s="10" t="n">
        <v>3.382749270829323</v>
      </c>
      <c r="AD107" s="10" t="n">
        <v>3.403893609196977</v>
      </c>
      <c r="AE107" s="10" t="n">
        <v>3.422805108090403</v>
      </c>
      <c r="AF107" s="10" t="n">
        <v>3.439505714503873</v>
      </c>
      <c r="AG107" s="10" t="n">
        <v>3.454037047584626</v>
      </c>
      <c r="AH107" s="10" t="n">
        <v>3.466451477840837</v>
      </c>
      <c r="AI107" s="10" t="n">
        <v>3.476811637113478</v>
      </c>
      <c r="AJ107" s="10" t="n">
        <v>3.485187159944395</v>
      </c>
      <c r="AK107" s="10" t="n">
        <v>3.491652771312412</v>
      </c>
      <c r="AL107" s="10" t="n">
        <v>3.496285228472198</v>
      </c>
      <c r="AM107" s="10" t="n">
        <v>3.499162268266895</v>
      </c>
      <c r="AN107" s="10" t="n">
        <v>3.500362505970654</v>
      </c>
      <c r="AO107" s="10" t="n">
        <v>3.499965778247231</v>
      </c>
      <c r="AP107" s="10" t="n">
        <v>3.498054392326951</v>
      </c>
      <c r="AQ107" s="10" t="n">
        <v>3.494713437309283</v>
      </c>
      <c r="AR107" s="10" t="n">
        <v>3.490031144846591</v>
      </c>
      <c r="AS107" s="10" t="n">
        <v>3.484098807701171</v>
      </c>
      <c r="AT107" s="10" t="n">
        <v>3.477009672758641</v>
      </c>
      <c r="AU107" s="10" t="n">
        <v>3.468858134840332</v>
      </c>
      <c r="AV107" s="10" t="n">
        <v>3.459738828045053</v>
      </c>
      <c r="AW107" s="10" t="n">
        <v>3.44974599185269</v>
      </c>
      <c r="AX107" s="10" t="n">
        <v>3.438972849629732</v>
      </c>
      <c r="AY107" s="10" t="n">
        <v>3.42750964862275</v>
      </c>
      <c r="AZ107" s="10" t="n">
        <v>3.415442777198846</v>
      </c>
      <c r="BA107" s="10" t="n">
        <v>3.402854862063619</v>
      </c>
      <c r="BB107" s="10" t="n">
        <v>3.389823856660031</v>
      </c>
      <c r="BC107" s="10" t="n">
        <v>3.37642256089838</v>
      </c>
      <c r="BD107" s="10" t="n">
        <v>3.362718607706958</v>
      </c>
      <c r="BE107" s="10" t="n">
        <v>3.3487744099587</v>
      </c>
      <c r="BF107" s="10" t="n">
        <v>3.33464693920584</v>
      </c>
      <c r="BG107" s="10" t="n">
        <v>3.320387999503137</v>
      </c>
    </row>
    <row r="108">
      <c r="A108" s="9" t="n">
        <v>-17</v>
      </c>
      <c r="B108" s="7" t="n">
        <v>44812</v>
      </c>
      <c r="C108" s="10" t="n">
        <v>3.035689917020239</v>
      </c>
      <c r="D108" s="10" t="n">
        <v>3.018434920130769</v>
      </c>
      <c r="E108" s="10" t="n">
        <v>2.998829859193037</v>
      </c>
      <c r="F108" s="10" t="n">
        <v>2.983709958398161</v>
      </c>
      <c r="G108" s="10" t="n">
        <v>2.974659675274735</v>
      </c>
      <c r="H108" s="10" t="n">
        <v>2.971578922373849</v>
      </c>
      <c r="I108" s="10" t="n">
        <v>2.973955391164609</v>
      </c>
      <c r="J108" s="10" t="n">
        <v>2.981256609354024</v>
      </c>
      <c r="K108" s="10" t="n">
        <v>2.993031823365321</v>
      </c>
      <c r="L108" s="10" t="n">
        <v>3.008910716446597</v>
      </c>
      <c r="M108" s="10" t="n">
        <v>3.028566779126884</v>
      </c>
      <c r="N108" s="10" t="n">
        <v>3.051684714398759</v>
      </c>
      <c r="O108" s="10" t="n">
        <v>3.077920014416915</v>
      </c>
      <c r="P108" s="10" t="n">
        <v>3.106872325811828</v>
      </c>
      <c r="Q108" s="10" t="n">
        <v>3.138081730749068</v>
      </c>
      <c r="R108" s="10" t="n">
        <v>3.171037416494221</v>
      </c>
      <c r="S108" s="10" t="n">
        <v>3.205206434542833</v>
      </c>
      <c r="T108" s="10" t="n">
        <v>3.240038848133207</v>
      </c>
      <c r="U108" s="10" t="n">
        <v>3.275021753316301</v>
      </c>
      <c r="V108" s="10" t="n">
        <v>3.309693283344474</v>
      </c>
      <c r="W108" s="10" t="n">
        <v>3.343632270570451</v>
      </c>
      <c r="X108" s="10" t="n">
        <v>3.376452960555906</v>
      </c>
      <c r="Y108" s="10" t="n">
        <v>3.407828873600352</v>
      </c>
      <c r="Z108" s="10" t="n">
        <v>3.437511903265076</v>
      </c>
      <c r="AA108" s="10" t="n">
        <v>3.465321916607782</v>
      </c>
      <c r="AB108" s="10" t="n">
        <v>3.49113375026675</v>
      </c>
      <c r="AC108" s="10" t="n">
        <v>3.514866157762983</v>
      </c>
      <c r="AD108" s="10" t="n">
        <v>3.536474555574973</v>
      </c>
      <c r="AE108" s="10" t="n">
        <v>3.555945294551594</v>
      </c>
      <c r="AF108" s="10" t="n">
        <v>3.573290889275849</v>
      </c>
      <c r="AG108" s="10" t="n">
        <v>3.588541895760432</v>
      </c>
      <c r="AH108" s="10" t="n">
        <v>3.601739151864211</v>
      </c>
      <c r="AI108" s="10" t="n">
        <v>3.612933354464177</v>
      </c>
      <c r="AJ108" s="10" t="n">
        <v>3.622182039517958</v>
      </c>
      <c r="AK108" s="10" t="n">
        <v>3.629547777046346</v>
      </c>
      <c r="AL108" s="10" t="n">
        <v>3.635095340622702</v>
      </c>
      <c r="AM108" s="10" t="n">
        <v>3.638890792795644</v>
      </c>
      <c r="AN108" s="10" t="n">
        <v>3.641001481698477</v>
      </c>
      <c r="AO108" s="10" t="n">
        <v>3.641496441693556</v>
      </c>
      <c r="AP108" s="10" t="n">
        <v>3.640447825467371</v>
      </c>
      <c r="AQ108" s="10" t="n">
        <v>3.637931251371569</v>
      </c>
      <c r="AR108" s="10" t="n">
        <v>3.634026280794591</v>
      </c>
      <c r="AS108" s="10" t="n">
        <v>3.628816378791819</v>
      </c>
      <c r="AT108" s="10" t="n">
        <v>3.622387855624722</v>
      </c>
      <c r="AU108" s="10" t="n">
        <v>3.614829069092698</v>
      </c>
      <c r="AV108" s="10" t="n">
        <v>3.606229536528656</v>
      </c>
      <c r="AW108" s="10" t="n">
        <v>3.596679307310853</v>
      </c>
      <c r="AX108" s="10" t="n">
        <v>3.586268344295006</v>
      </c>
      <c r="AY108" s="10" t="n">
        <v>3.575084649177573</v>
      </c>
      <c r="AZ108" s="10" t="n">
        <v>3.563213386552186</v>
      </c>
      <c r="BA108" s="10" t="n">
        <v>3.550736908946645</v>
      </c>
      <c r="BB108" s="10" t="n">
        <v>3.537733877214492</v>
      </c>
      <c r="BC108" s="10" t="n">
        <v>3.524278760868167</v>
      </c>
      <c r="BD108" s="10" t="n">
        <v>3.51044170830187</v>
      </c>
      <c r="BE108" s="10" t="n">
        <v>3.496288372388147</v>
      </c>
      <c r="BF108" s="10" t="n">
        <v>3.481879570540445</v>
      </c>
      <c r="BG108" s="10" t="n">
        <v>3.467271532738545</v>
      </c>
    </row>
    <row r="109">
      <c r="A109" s="9" t="n">
        <v>-16</v>
      </c>
      <c r="B109" s="7" t="n">
        <v>44813</v>
      </c>
      <c r="C109" s="10" t="n">
        <v>3.040192316713533</v>
      </c>
      <c r="D109" s="10" t="n">
        <v>3.024560855698893</v>
      </c>
      <c r="E109" s="10" t="n">
        <v>3.005401787256788</v>
      </c>
      <c r="F109" s="10" t="n">
        <v>2.9894351292937</v>
      </c>
      <c r="G109" s="10" t="n">
        <v>2.978435956854593</v>
      </c>
      <c r="H109" s="10" t="n">
        <v>2.972573097003989</v>
      </c>
      <c r="I109" s="10" t="n">
        <v>2.971604281247506</v>
      </c>
      <c r="J109" s="10" t="n">
        <v>2.975233478873395</v>
      </c>
      <c r="K109" s="10" t="n">
        <v>2.98320388688461</v>
      </c>
      <c r="L109" s="10" t="n">
        <v>2.995299664556807</v>
      </c>
      <c r="M109" s="10" t="n">
        <v>3.011310846461786</v>
      </c>
      <c r="N109" s="10" t="n">
        <v>3.031008954994412</v>
      </c>
      <c r="O109" s="10" t="n">
        <v>3.054110807000923</v>
      </c>
      <c r="P109" s="10" t="n">
        <v>3.080258457978716</v>
      </c>
      <c r="Q109" s="10" t="n">
        <v>3.109018842820429</v>
      </c>
      <c r="R109" s="10" t="n">
        <v>3.13989549904902</v>
      </c>
      <c r="S109" s="10" t="n">
        <v>3.172360056366094</v>
      </c>
      <c r="T109" s="10" t="n">
        <v>3.205860550991894</v>
      </c>
      <c r="U109" s="10" t="n">
        <v>3.239876367692074</v>
      </c>
      <c r="V109" s="10" t="n">
        <v>3.273932070098272</v>
      </c>
      <c r="W109" s="10" t="n">
        <v>3.30758823848714</v>
      </c>
      <c r="X109" s="10" t="n">
        <v>3.340437268297858</v>
      </c>
      <c r="Y109" s="10" t="n">
        <v>3.372128009213863</v>
      </c>
      <c r="Z109" s="10" t="n">
        <v>3.402384421961028</v>
      </c>
      <c r="AA109" s="10" t="n">
        <v>3.430995719617854</v>
      </c>
      <c r="AB109" s="10" t="n">
        <v>3.457805565862425</v>
      </c>
      <c r="AC109" s="10" t="n">
        <v>3.482702821154093</v>
      </c>
      <c r="AD109" s="10" t="n">
        <v>3.505614235340057</v>
      </c>
      <c r="AE109" s="10" t="n">
        <v>3.526498527438521</v>
      </c>
      <c r="AF109" s="10" t="n">
        <v>3.545341467067907</v>
      </c>
      <c r="AG109" s="10" t="n">
        <v>3.562148533137549</v>
      </c>
      <c r="AH109" s="10" t="n">
        <v>3.576938735219238</v>
      </c>
      <c r="AI109" s="10" t="n">
        <v>3.589743573898312</v>
      </c>
      <c r="AJ109" s="10" t="n">
        <v>3.600603739352252</v>
      </c>
      <c r="AK109" s="10" t="n">
        <v>3.609567039395069</v>
      </c>
      <c r="AL109" s="10" t="n">
        <v>3.616685444879034</v>
      </c>
      <c r="AM109" s="10" t="n">
        <v>3.622014068989468</v>
      </c>
      <c r="AN109" s="10" t="n">
        <v>3.625611046649749</v>
      </c>
      <c r="AO109" s="10" t="n">
        <v>3.627537789151038</v>
      </c>
      <c r="AP109" s="10" t="n">
        <v>3.627860299979549</v>
      </c>
      <c r="AQ109" s="10" t="n">
        <v>3.626649358374179</v>
      </c>
      <c r="AR109" s="10" t="n">
        <v>3.623980825067969</v>
      </c>
      <c r="AS109" s="10" t="n">
        <v>3.619935428705328</v>
      </c>
      <c r="AT109" s="10" t="n">
        <v>3.614597527562744</v>
      </c>
      <c r="AU109" s="10" t="n">
        <v>3.608054190189672</v>
      </c>
      <c r="AV109" s="10" t="n">
        <v>3.600394200322539</v>
      </c>
      <c r="AW109" s="10" t="n">
        <v>3.591707366182924</v>
      </c>
      <c r="AX109" s="10" t="n">
        <v>3.582083870707821</v>
      </c>
      <c r="AY109" s="10" t="n">
        <v>3.571612444106185</v>
      </c>
      <c r="AZ109" s="10" t="n">
        <v>3.560379525131376</v>
      </c>
      <c r="BA109" s="10" t="n">
        <v>3.548469250783159</v>
      </c>
      <c r="BB109" s="10" t="n">
        <v>3.535962629066089</v>
      </c>
      <c r="BC109" s="10" t="n">
        <v>3.522937043905035</v>
      </c>
      <c r="BD109" s="10" t="n">
        <v>3.509466011399443</v>
      </c>
      <c r="BE109" s="10" t="n">
        <v>3.49561889370253</v>
      </c>
      <c r="BF109" s="10" t="n">
        <v>3.481460454246526</v>
      </c>
      <c r="BG109" s="10" t="n">
        <v>3.467051068689455</v>
      </c>
    </row>
    <row r="110">
      <c r="A110" s="9" t="n">
        <v>-15</v>
      </c>
      <c r="B110" s="7" t="n">
        <v>44816</v>
      </c>
      <c r="C110" s="10" t="n">
        <v>2.982639230833309</v>
      </c>
      <c r="D110" s="10" t="n">
        <v>2.966494361155935</v>
      </c>
      <c r="E110" s="10" t="n">
        <v>2.948457323385144</v>
      </c>
      <c r="F110" s="10" t="n">
        <v>2.933874065336498</v>
      </c>
      <c r="G110" s="10" t="n">
        <v>2.923966963223303</v>
      </c>
      <c r="H110" s="10" t="n">
        <v>2.918712410774577</v>
      </c>
      <c r="I110" s="10" t="n">
        <v>2.917839820567719</v>
      </c>
      <c r="J110" s="10" t="n">
        <v>2.921101482809158</v>
      </c>
      <c r="K110" s="10" t="n">
        <v>2.928322763928851</v>
      </c>
      <c r="L110" s="10" t="n">
        <v>2.939377873131752</v>
      </c>
      <c r="M110" s="10" t="n">
        <v>2.954142001639792</v>
      </c>
      <c r="N110" s="10" t="n">
        <v>2.972458530649485</v>
      </c>
      <c r="O110" s="10" t="n">
        <v>2.994102933411778</v>
      </c>
      <c r="P110" s="10" t="n">
        <v>3.01876262433567</v>
      </c>
      <c r="Q110" s="10" t="n">
        <v>3.046038577531821</v>
      </c>
      <c r="R110" s="10" t="n">
        <v>3.075459606503504</v>
      </c>
      <c r="S110" s="10" t="n">
        <v>3.10651664477368</v>
      </c>
      <c r="T110" s="10" t="n">
        <v>3.138673354437572</v>
      </c>
      <c r="U110" s="10" t="n">
        <v>3.171421916973509</v>
      </c>
      <c r="V110" s="10" t="n">
        <v>3.204297050717991</v>
      </c>
      <c r="W110" s="10" t="n">
        <v>3.236867385728082</v>
      </c>
      <c r="X110" s="10" t="n">
        <v>3.268731702205045</v>
      </c>
      <c r="Y110" s="10" t="n">
        <v>3.299543597864251</v>
      </c>
      <c r="Z110" s="10" t="n">
        <v>3.329029708270077</v>
      </c>
      <c r="AA110" s="10" t="n">
        <v>3.356979417819538</v>
      </c>
      <c r="AB110" s="10" t="n">
        <v>3.383234255890581</v>
      </c>
      <c r="AC110" s="10" t="n">
        <v>3.407679201241978</v>
      </c>
      <c r="AD110" s="10" t="n">
        <v>3.430235672826917</v>
      </c>
      <c r="AE110" s="10" t="n">
        <v>3.450855836012619</v>
      </c>
      <c r="AF110" s="10" t="n">
        <v>3.469517873879423</v>
      </c>
      <c r="AG110" s="10" t="n">
        <v>3.486219116731555</v>
      </c>
      <c r="AH110" s="10" t="n">
        <v>3.500970401413023</v>
      </c>
      <c r="AI110" s="10" t="n">
        <v>3.513795106714549</v>
      </c>
      <c r="AJ110" s="10" t="n">
        <v>3.524726127689001</v>
      </c>
      <c r="AK110" s="10" t="n">
        <v>3.533803828761265</v>
      </c>
      <c r="AL110" s="10" t="n">
        <v>3.541073183694399</v>
      </c>
      <c r="AM110" s="10" t="n">
        <v>3.54658281214695</v>
      </c>
      <c r="AN110" s="10" t="n">
        <v>3.550384897119842</v>
      </c>
      <c r="AO110" s="10" t="n">
        <v>3.552535402873981</v>
      </c>
      <c r="AP110" s="10" t="n">
        <v>3.553095344745569</v>
      </c>
      <c r="AQ110" s="10" t="n">
        <v>3.552130921041007</v>
      </c>
      <c r="AR110" s="10" t="n">
        <v>3.549713779847028</v>
      </c>
      <c r="AS110" s="10" t="n">
        <v>3.545920775974673</v>
      </c>
      <c r="AT110" s="10" t="n">
        <v>3.540832775670817</v>
      </c>
      <c r="AU110" s="10" t="n">
        <v>3.53453375860035</v>
      </c>
      <c r="AV110" s="10" t="n">
        <v>3.527109858018865</v>
      </c>
      <c r="AW110" s="10" t="n">
        <v>3.518648697447913</v>
      </c>
      <c r="AX110" s="10" t="n">
        <v>3.509238758735206</v>
      </c>
      <c r="AY110" s="10" t="n">
        <v>3.498967558526407</v>
      </c>
      <c r="AZ110" s="10" t="n">
        <v>3.487920792450339</v>
      </c>
      <c r="BA110" s="10" t="n">
        <v>3.476182289166615</v>
      </c>
      <c r="BB110" s="10" t="n">
        <v>3.463833191281802</v>
      </c>
      <c r="BC110" s="10" t="n">
        <v>3.450951443401784</v>
      </c>
      <c r="BD110" s="10" t="n">
        <v>3.437611481674862</v>
      </c>
      <c r="BE110" s="10" t="n">
        <v>3.423883884654027</v>
      </c>
      <c r="BF110" s="10" t="n">
        <v>3.409834866428584</v>
      </c>
      <c r="BG110" s="10" t="n">
        <v>3.395526440722294</v>
      </c>
    </row>
    <row r="111">
      <c r="A111" s="9" t="n">
        <v>-14</v>
      </c>
      <c r="B111" s="7" t="n">
        <v>44817</v>
      </c>
      <c r="C111" s="10" t="n">
        <v>3.080705941293745</v>
      </c>
      <c r="D111" s="10" t="n">
        <v>3.06736858591929</v>
      </c>
      <c r="E111" s="10" t="n">
        <v>3.051426753102761</v>
      </c>
      <c r="F111" s="10" t="n">
        <v>3.038220352036048</v>
      </c>
      <c r="G111" s="10" t="n">
        <v>3.029046027670825</v>
      </c>
      <c r="H111" s="10" t="n">
        <v>3.023972854913066</v>
      </c>
      <c r="I111" s="10" t="n">
        <v>3.022815165257531</v>
      </c>
      <c r="J111" s="10" t="n">
        <v>3.025394341826606</v>
      </c>
      <c r="K111" s="10" t="n">
        <v>3.031589369635756</v>
      </c>
      <c r="L111" s="10" t="n">
        <v>3.04131461117083</v>
      </c>
      <c r="M111" s="10" t="n">
        <v>3.054476118678578</v>
      </c>
      <c r="N111" s="10" t="n">
        <v>3.070941025766072</v>
      </c>
      <c r="O111" s="10" t="n">
        <v>3.090506416121334</v>
      </c>
      <c r="P111" s="10" t="n">
        <v>3.112880366073049</v>
      </c>
      <c r="Q111" s="10" t="n">
        <v>3.137684837453983</v>
      </c>
      <c r="R111" s="10" t="n">
        <v>3.164471925314343</v>
      </c>
      <c r="S111" s="10" t="n">
        <v>3.192758611401269</v>
      </c>
      <c r="T111" s="10" t="n">
        <v>3.222037623436337</v>
      </c>
      <c r="U111" s="10" t="n">
        <v>3.251831374879413</v>
      </c>
      <c r="V111" s="10" t="n">
        <v>3.281704892159965</v>
      </c>
      <c r="W111" s="10" t="n">
        <v>3.311257156319024</v>
      </c>
      <c r="X111" s="10" t="n">
        <v>3.340117242011623</v>
      </c>
      <c r="Y111" s="10" t="n">
        <v>3.367967616869132</v>
      </c>
      <c r="Z111" s="10" t="n">
        <v>3.394560670120037</v>
      </c>
      <c r="AA111" s="10" t="n">
        <v>3.419706776528492</v>
      </c>
      <c r="AB111" s="10" t="n">
        <v>3.443263018717475</v>
      </c>
      <c r="AC111" s="10" t="n">
        <v>3.465125052241736</v>
      </c>
      <c r="AD111" s="10" t="n">
        <v>3.485220858725792</v>
      </c>
      <c r="AE111" s="10" t="n">
        <v>3.503505694915518</v>
      </c>
      <c r="AF111" s="10" t="n">
        <v>3.51995789556715</v>
      </c>
      <c r="AG111" s="10" t="n">
        <v>3.534572750197315</v>
      </c>
      <c r="AH111" s="10" t="n">
        <v>3.547357490625386</v>
      </c>
      <c r="AI111" s="10" t="n">
        <v>3.558330838618548</v>
      </c>
      <c r="AJ111" s="10" t="n">
        <v>3.567520728791978</v>
      </c>
      <c r="AK111" s="10" t="n">
        <v>3.574962538191421</v>
      </c>
      <c r="AL111" s="10" t="n">
        <v>3.580696772522378</v>
      </c>
      <c r="AM111" s="10" t="n">
        <v>3.584768272237001</v>
      </c>
      <c r="AN111" s="10" t="n">
        <v>3.587226136761389</v>
      </c>
      <c r="AO111" s="10" t="n">
        <v>3.58812375824282</v>
      </c>
      <c r="AP111" s="10" t="n">
        <v>3.587519673695663</v>
      </c>
      <c r="AQ111" s="10" t="n">
        <v>3.585477499886079</v>
      </c>
      <c r="AR111" s="10" t="n">
        <v>3.582065851076152</v>
      </c>
      <c r="AS111" s="10" t="n">
        <v>3.577357940836219</v>
      </c>
      <c r="AT111" s="10" t="n">
        <v>3.571430452919024</v>
      </c>
      <c r="AU111" s="10" t="n">
        <v>3.564362715157982</v>
      </c>
      <c r="AV111" s="10" t="n">
        <v>3.556235830532847</v>
      </c>
      <c r="AW111" s="10" t="n">
        <v>3.547132077160803</v>
      </c>
      <c r="AX111" s="10" t="n">
        <v>3.537134339099413</v>
      </c>
      <c r="AY111" s="10" t="n">
        <v>3.52632456463625</v>
      </c>
      <c r="AZ111" s="10" t="n">
        <v>3.51478306360729</v>
      </c>
      <c r="BA111" s="10" t="n">
        <v>3.502588492224402</v>
      </c>
      <c r="BB111" s="10" t="n">
        <v>3.489817252819671</v>
      </c>
      <c r="BC111" s="10" t="n">
        <v>3.476543101537782</v>
      </c>
      <c r="BD111" s="10" t="n">
        <v>3.462836849878074</v>
      </c>
      <c r="BE111" s="10" t="n">
        <v>3.448766010035367</v>
      </c>
      <c r="BF111" s="10" t="n">
        <v>3.434394279231464</v>
      </c>
      <c r="BG111" s="10" t="n">
        <v>3.419781595986875</v>
      </c>
    </row>
    <row r="112">
      <c r="A112" s="9" t="n">
        <v>-13</v>
      </c>
      <c r="B112" s="7" t="n">
        <v>44818</v>
      </c>
      <c r="C112" s="10" t="n">
        <v>3.055008872516863</v>
      </c>
      <c r="D112" s="10" t="n">
        <v>3.044129080769315</v>
      </c>
      <c r="E112" s="10" t="n">
        <v>3.031913467808611</v>
      </c>
      <c r="F112" s="10" t="n">
        <v>3.022470012107885</v>
      </c>
      <c r="G112" s="10" t="n">
        <v>3.016551678015882</v>
      </c>
      <c r="H112" s="10" t="n">
        <v>3.014028515397368</v>
      </c>
      <c r="I112" s="10" t="n">
        <v>3.014674269708315</v>
      </c>
      <c r="J112" s="10" t="n">
        <v>3.018338220232897</v>
      </c>
      <c r="K112" s="10" t="n">
        <v>3.024955722369654</v>
      </c>
      <c r="L112" s="10" t="n">
        <v>3.034507694382346</v>
      </c>
      <c r="M112" s="10" t="n">
        <v>3.046972180166783</v>
      </c>
      <c r="N112" s="10" t="n">
        <v>3.062287795204336</v>
      </c>
      <c r="O112" s="10" t="n">
        <v>3.080322578475944</v>
      </c>
      <c r="P112" s="10" t="n">
        <v>3.100853836052238</v>
      </c>
      <c r="Q112" s="10" t="n">
        <v>3.123571511373356</v>
      </c>
      <c r="R112" s="10" t="n">
        <v>3.148094784075955</v>
      </c>
      <c r="S112" s="10" t="n">
        <v>3.174005832557316</v>
      </c>
      <c r="T112" s="10" t="n">
        <v>3.200861102254162</v>
      </c>
      <c r="U112" s="10" t="n">
        <v>3.228240006533434</v>
      </c>
      <c r="V112" s="10" t="n">
        <v>3.255756848811471</v>
      </c>
      <c r="W112" s="10" t="n">
        <v>3.283053738869397</v>
      </c>
      <c r="X112" s="10" t="n">
        <v>3.309797678374957</v>
      </c>
      <c r="Y112" s="10" t="n">
        <v>3.335701639843747</v>
      </c>
      <c r="Z112" s="10" t="n">
        <v>3.360539168297307</v>
      </c>
      <c r="AA112" s="10" t="n">
        <v>3.384133502499399</v>
      </c>
      <c r="AB112" s="10" t="n">
        <v>3.406347665489909</v>
      </c>
      <c r="AC112" s="10" t="n">
        <v>3.427077585440292</v>
      </c>
      <c r="AD112" s="10" t="n">
        <v>3.446246772090752</v>
      </c>
      <c r="AE112" s="10" t="n">
        <v>3.463802007130132</v>
      </c>
      <c r="AF112" s="10" t="n">
        <v>3.479709765071599</v>
      </c>
      <c r="AG112" s="10" t="n">
        <v>3.493951145683854</v>
      </c>
      <c r="AH112" s="10" t="n">
        <v>3.50651783653489</v>
      </c>
      <c r="AI112" s="10" t="n">
        <v>3.517412057716421</v>
      </c>
      <c r="AJ112" s="10" t="n">
        <v>3.526644988408561</v>
      </c>
      <c r="AK112" s="10" t="n">
        <v>3.53423525714252</v>
      </c>
      <c r="AL112" s="10" t="n">
        <v>3.540207146017862</v>
      </c>
      <c r="AM112" s="10" t="n">
        <v>3.544590076322496</v>
      </c>
      <c r="AN112" s="10" t="n">
        <v>3.547418726776209</v>
      </c>
      <c r="AO112" s="10" t="n">
        <v>3.54873313010636</v>
      </c>
      <c r="AP112" s="10" t="n">
        <v>3.548579772021688</v>
      </c>
      <c r="AQ112" s="10" t="n">
        <v>3.547011539058239</v>
      </c>
      <c r="AR112" s="10" t="n">
        <v>3.544087749800929</v>
      </c>
      <c r="AS112" s="10" t="n">
        <v>3.539873744186242</v>
      </c>
      <c r="AT112" s="10" t="n">
        <v>3.534439642738807</v>
      </c>
      <c r="AU112" s="10" t="n">
        <v>3.527859395938346</v>
      </c>
      <c r="AV112" s="10" t="n">
        <v>3.520209731650512</v>
      </c>
      <c r="AW112" s="10" t="n">
        <v>3.511569390876265</v>
      </c>
      <c r="AX112" s="10" t="n">
        <v>3.502018371607359</v>
      </c>
      <c r="AY112" s="10" t="n">
        <v>3.491636206217894</v>
      </c>
      <c r="AZ112" s="10" t="n">
        <v>3.480501172734113</v>
      </c>
      <c r="BA112" s="10" t="n">
        <v>3.468690239956969</v>
      </c>
      <c r="BB112" s="10" t="n">
        <v>3.456278429096623</v>
      </c>
      <c r="BC112" s="10" t="n">
        <v>3.443338404323509</v>
      </c>
      <c r="BD112" s="10" t="n">
        <v>3.429940180988221</v>
      </c>
      <c r="BE112" s="10" t="n">
        <v>3.416150746915666</v>
      </c>
      <c r="BF112" s="10" t="n">
        <v>3.402033514718742</v>
      </c>
      <c r="BG112" s="10" t="n">
        <v>3.387648361308648</v>
      </c>
    </row>
    <row r="113">
      <c r="A113" s="9" t="n">
        <v>-12</v>
      </c>
      <c r="B113" s="7" t="n">
        <v>44819</v>
      </c>
      <c r="C113" s="10" t="n">
        <v>3.080237748524993</v>
      </c>
      <c r="D113" s="10" t="n">
        <v>3.070163653590998</v>
      </c>
      <c r="E113" s="10" t="n">
        <v>3.058520328926263</v>
      </c>
      <c r="F113" s="10" t="n">
        <v>3.049265589014869</v>
      </c>
      <c r="G113" s="10" t="n">
        <v>3.043111580886426</v>
      </c>
      <c r="H113" s="10" t="n">
        <v>3.039976315811348</v>
      </c>
      <c r="I113" s="10" t="n">
        <v>3.039727526196864</v>
      </c>
      <c r="J113" s="10" t="n">
        <v>3.042321022892155</v>
      </c>
      <c r="K113" s="10" t="n">
        <v>3.047793573662882</v>
      </c>
      <c r="L113" s="10" t="n">
        <v>3.056211621797093</v>
      </c>
      <c r="M113" s="10" t="n">
        <v>3.067623926163737</v>
      </c>
      <c r="N113" s="10" t="n">
        <v>3.082022966946309</v>
      </c>
      <c r="O113" s="10" t="n">
        <v>3.099316349041926</v>
      </c>
      <c r="P113" s="10" t="n">
        <v>3.119305670636825</v>
      </c>
      <c r="Q113" s="10" t="n">
        <v>3.141690928105783</v>
      </c>
      <c r="R113" s="10" t="n">
        <v>3.166088003792378</v>
      </c>
      <c r="S113" s="10" t="n">
        <v>3.192064389013109</v>
      </c>
      <c r="T113" s="10" t="n">
        <v>3.219151677017726</v>
      </c>
      <c r="U113" s="10" t="n">
        <v>3.246900661121767</v>
      </c>
      <c r="V113" s="10" t="n">
        <v>3.274895535423124</v>
      </c>
      <c r="W113" s="10" t="n">
        <v>3.302747130674183</v>
      </c>
      <c r="X113" s="10" t="n">
        <v>3.330090620063083</v>
      </c>
      <c r="Y113" s="10" t="n">
        <v>3.356610018345531</v>
      </c>
      <c r="Z113" s="10" t="n">
        <v>3.382055046743623</v>
      </c>
      <c r="AA113" s="10" t="n">
        <v>3.406230153886637</v>
      </c>
      <c r="AB113" s="10" t="n">
        <v>3.428984487100109</v>
      </c>
      <c r="AC113" s="10" t="n">
        <v>3.450204567538765</v>
      </c>
      <c r="AD113" s="10" t="n">
        <v>3.469808274509757</v>
      </c>
      <c r="AE113" s="10" t="n">
        <v>3.48773994576135</v>
      </c>
      <c r="AF113" s="10" t="n">
        <v>3.503966317408842</v>
      </c>
      <c r="AG113" s="10" t="n">
        <v>3.518471148386575</v>
      </c>
      <c r="AH113" s="10" t="n">
        <v>3.531250678462746</v>
      </c>
      <c r="AI113" s="10" t="n">
        <v>3.542312706896354</v>
      </c>
      <c r="AJ113" s="10" t="n">
        <v>3.551674587922762</v>
      </c>
      <c r="AK113" s="10" t="n">
        <v>3.559361447330075</v>
      </c>
      <c r="AL113" s="10" t="n">
        <v>3.565403864341548</v>
      </c>
      <c r="AM113" s="10" t="n">
        <v>3.569837112865033</v>
      </c>
      <c r="AN113" s="10" t="n">
        <v>3.572701119470312</v>
      </c>
      <c r="AO113" s="10" t="n">
        <v>3.574040521219778</v>
      </c>
      <c r="AP113" s="10" t="n">
        <v>3.573905607590982</v>
      </c>
      <c r="AQ113" s="10" t="n">
        <v>3.572352263475638</v>
      </c>
      <c r="AR113" s="10" t="n">
        <v>3.569441990253764</v>
      </c>
      <c r="AS113" s="10" t="n">
        <v>3.565241517196421</v>
      </c>
      <c r="AT113" s="10" t="n">
        <v>3.559821606423034</v>
      </c>
      <c r="AU113" s="10" t="n">
        <v>3.553256165724923</v>
      </c>
      <c r="AV113" s="10" t="n">
        <v>3.545621283724116</v>
      </c>
      <c r="AW113" s="10" t="n">
        <v>3.536994541311194</v>
      </c>
      <c r="AX113" s="10" t="n">
        <v>3.527454329198839</v>
      </c>
      <c r="AY113" s="10" t="n">
        <v>3.51707828475521</v>
      </c>
      <c r="AZ113" s="10" t="n">
        <v>3.505942602153154</v>
      </c>
      <c r="BA113" s="10" t="n">
        <v>3.494122024342766</v>
      </c>
      <c r="BB113" s="10" t="n">
        <v>3.481689367391976</v>
      </c>
      <c r="BC113" s="10" t="n">
        <v>3.468715232751575</v>
      </c>
      <c r="BD113" s="10" t="n">
        <v>3.455267815933556</v>
      </c>
      <c r="BE113" s="10" t="n">
        <v>3.44141257844325</v>
      </c>
      <c r="BF113" s="10" t="n">
        <v>3.427211761419344</v>
      </c>
      <c r="BG113" s="10" t="n">
        <v>3.412724508631312</v>
      </c>
    </row>
    <row r="114">
      <c r="A114" s="9" t="n">
        <v>-11</v>
      </c>
      <c r="B114" s="7" t="n">
        <v>44820</v>
      </c>
      <c r="C114" s="10" t="n">
        <v>3.133707039249946</v>
      </c>
      <c r="D114" s="10" t="n">
        <v>3.121654717853365</v>
      </c>
      <c r="E114" s="10" t="n">
        <v>3.107839507720908</v>
      </c>
      <c r="F114" s="10" t="n">
        <v>3.096333176161991</v>
      </c>
      <c r="G114" s="10" t="n">
        <v>3.08780143244326</v>
      </c>
      <c r="H114" s="10" t="n">
        <v>3.082120612394618</v>
      </c>
      <c r="I114" s="10" t="n">
        <v>3.079148485344271</v>
      </c>
      <c r="J114" s="10" t="n">
        <v>3.078863758627216</v>
      </c>
      <c r="K114" s="10" t="n">
        <v>3.081352280776256</v>
      </c>
      <c r="L114" s="10" t="n">
        <v>3.086742920397137</v>
      </c>
      <c r="M114" s="10" t="n">
        <v>3.095159975606923</v>
      </c>
      <c r="N114" s="10" t="n">
        <v>3.106670472430892</v>
      </c>
      <c r="O114" s="10" t="n">
        <v>3.121247998776736</v>
      </c>
      <c r="P114" s="10" t="n">
        <v>3.138745445264948</v>
      </c>
      <c r="Q114" s="10" t="n">
        <v>3.158897414370061</v>
      </c>
      <c r="R114" s="10" t="n">
        <v>3.181337986549654</v>
      </c>
      <c r="S114" s="10" t="n">
        <v>3.205638694614038</v>
      </c>
      <c r="T114" s="10" t="n">
        <v>3.231323193721779</v>
      </c>
      <c r="U114" s="10" t="n">
        <v>3.257928002364328</v>
      </c>
      <c r="V114" s="10" t="n">
        <v>3.285018166978153</v>
      </c>
      <c r="W114" s="10" t="n">
        <v>3.312181488038033</v>
      </c>
      <c r="X114" s="10" t="n">
        <v>3.339027469648822</v>
      </c>
      <c r="Y114" s="10" t="n">
        <v>3.365214789392786</v>
      </c>
      <c r="Z114" s="10" t="n">
        <v>3.390469015330755</v>
      </c>
      <c r="AA114" s="10" t="n">
        <v>3.414571677281786</v>
      </c>
      <c r="AB114" s="10" t="n">
        <v>3.43735107475665</v>
      </c>
      <c r="AC114" s="10" t="n">
        <v>3.458675366357197</v>
      </c>
      <c r="AD114" s="10" t="n">
        <v>3.478446208181515</v>
      </c>
      <c r="AE114" s="10" t="n">
        <v>3.496593519840147</v>
      </c>
      <c r="AF114" s="10" t="n">
        <v>3.513071172179106</v>
      </c>
      <c r="AG114" s="10" t="n">
        <v>3.52785223884696</v>
      </c>
      <c r="AH114" s="10" t="n">
        <v>3.540924408651565</v>
      </c>
      <c r="AI114" s="10" t="n">
        <v>3.552287865704697</v>
      </c>
      <c r="AJ114" s="10" t="n">
        <v>3.561953351842585</v>
      </c>
      <c r="AK114" s="10" t="n">
        <v>3.5699401816797</v>
      </c>
      <c r="AL114" s="10" t="n">
        <v>3.576273638149844</v>
      </c>
      <c r="AM114" s="10" t="n">
        <v>3.580984179646049</v>
      </c>
      <c r="AN114" s="10" t="n">
        <v>3.584107414397273</v>
      </c>
      <c r="AO114" s="10" t="n">
        <v>3.585684155325773</v>
      </c>
      <c r="AP114" s="10" t="n">
        <v>3.585761365666674</v>
      </c>
      <c r="AQ114" s="10" t="n">
        <v>3.584392075237105</v>
      </c>
      <c r="AR114" s="10" t="n">
        <v>3.581635484145488</v>
      </c>
      <c r="AS114" s="10" t="n">
        <v>3.577556561582532</v>
      </c>
      <c r="AT114" s="10" t="n">
        <v>3.572224798590942</v>
      </c>
      <c r="AU114" s="10" t="n">
        <v>3.565713280667091</v>
      </c>
      <c r="AV114" s="10" t="n">
        <v>3.558097664401014</v>
      </c>
      <c r="AW114" s="10" t="n">
        <v>3.54945545958253</v>
      </c>
      <c r="AX114" s="10" t="n">
        <v>3.539865309128144</v>
      </c>
      <c r="AY114" s="10" t="n">
        <v>3.529405397847539</v>
      </c>
      <c r="AZ114" s="10" t="n">
        <v>3.518152768394587</v>
      </c>
      <c r="BA114" s="10" t="n">
        <v>3.506183283177481</v>
      </c>
      <c r="BB114" s="10" t="n">
        <v>3.493571128800008</v>
      </c>
      <c r="BC114" s="10" t="n">
        <v>3.480388525336015</v>
      </c>
      <c r="BD114" s="10" t="n">
        <v>3.466705532171449</v>
      </c>
      <c r="BE114" s="10" t="n">
        <v>3.452589681454902</v>
      </c>
      <c r="BF114" s="10" t="n">
        <v>3.438105460761266</v>
      </c>
      <c r="BG114" s="10" t="n">
        <v>3.423314422719628</v>
      </c>
    </row>
    <row r="115">
      <c r="A115" s="9" t="n">
        <v>-10</v>
      </c>
      <c r="B115" s="7" t="n">
        <v>44824</v>
      </c>
      <c r="C115" s="10" t="n">
        <v>3.296223565269173</v>
      </c>
      <c r="D115" s="10" t="n">
        <v>3.283217950004584</v>
      </c>
      <c r="E115" s="10" t="n">
        <v>3.268284567747073</v>
      </c>
      <c r="F115" s="10" t="n">
        <v>3.255453524886595</v>
      </c>
      <c r="G115" s="10" t="n">
        <v>3.245367845345441</v>
      </c>
      <c r="H115" s="10" t="n">
        <v>3.237909026302506</v>
      </c>
      <c r="I115" s="10" t="n">
        <v>3.232957954515137</v>
      </c>
      <c r="J115" s="10" t="n">
        <v>3.230526692006096</v>
      </c>
      <c r="K115" s="10" t="n">
        <v>3.230739558336876</v>
      </c>
      <c r="L115" s="10" t="n">
        <v>3.233765283179814</v>
      </c>
      <c r="M115" s="10" t="n">
        <v>3.239766317307411</v>
      </c>
      <c r="N115" s="10" t="n">
        <v>3.248845539355503</v>
      </c>
      <c r="O115" s="10" t="n">
        <v>3.261008212758061</v>
      </c>
      <c r="P115" s="10" t="n">
        <v>3.276134546373594</v>
      </c>
      <c r="Q115" s="10" t="n">
        <v>3.293981654297821</v>
      </c>
      <c r="R115" s="10" t="n">
        <v>3.314201497564873</v>
      </c>
      <c r="S115" s="10" t="n">
        <v>3.336379640416582</v>
      </c>
      <c r="T115" s="10" t="n">
        <v>3.360050529333196</v>
      </c>
      <c r="U115" s="10" t="n">
        <v>3.384759075071147</v>
      </c>
      <c r="V115" s="10" t="n">
        <v>3.410076640466008</v>
      </c>
      <c r="W115" s="10" t="n">
        <v>3.435595691151438</v>
      </c>
      <c r="X115" s="10" t="n">
        <v>3.460929123544224</v>
      </c>
      <c r="Y115" s="10" t="n">
        <v>3.485737922449906</v>
      </c>
      <c r="Z115" s="10" t="n">
        <v>3.50974855008376</v>
      </c>
      <c r="AA115" s="10" t="n">
        <v>3.532741430847447</v>
      </c>
      <c r="AB115" s="10" t="n">
        <v>3.554541868601035</v>
      </c>
      <c r="AC115" s="10" t="n">
        <v>3.575013583495514</v>
      </c>
      <c r="AD115" s="10" t="n">
        <v>3.594052592737734</v>
      </c>
      <c r="AE115" s="10" t="n">
        <v>3.611582164175421</v>
      </c>
      <c r="AF115" s="10" t="n">
        <v>3.627548657422816</v>
      </c>
      <c r="AG115" s="10" t="n">
        <v>3.641916978154996</v>
      </c>
      <c r="AH115" s="10" t="n">
        <v>3.654666412726243</v>
      </c>
      <c r="AI115" s="10" t="n">
        <v>3.665788719997273</v>
      </c>
      <c r="AJ115" s="10" t="n">
        <v>3.675286240383818</v>
      </c>
      <c r="AK115" s="10" t="n">
        <v>3.683170004457426</v>
      </c>
      <c r="AL115" s="10" t="n">
        <v>3.689457378920658</v>
      </c>
      <c r="AM115" s="10" t="n">
        <v>3.694171331571698</v>
      </c>
      <c r="AN115" s="10" t="n">
        <v>3.697340381617257</v>
      </c>
      <c r="AO115" s="10" t="n">
        <v>3.698998604642488</v>
      </c>
      <c r="AP115" s="10" t="n">
        <v>3.699186505171874</v>
      </c>
      <c r="AQ115" s="10" t="n">
        <v>3.697950888645602</v>
      </c>
      <c r="AR115" s="10" t="n">
        <v>3.695344940532284</v>
      </c>
      <c r="AS115" s="10" t="n">
        <v>3.691427811655507</v>
      </c>
      <c r="AT115" s="10" t="n">
        <v>3.686263424034446</v>
      </c>
      <c r="AU115" s="10" t="n">
        <v>3.679919574506284</v>
      </c>
      <c r="AV115" s="10" t="n">
        <v>3.672466971632296</v>
      </c>
      <c r="AW115" s="10" t="n">
        <v>3.663978556403842</v>
      </c>
      <c r="AX115" s="10" t="n">
        <v>3.65452882041727</v>
      </c>
      <c r="AY115" s="10" t="n">
        <v>3.644192312076898</v>
      </c>
      <c r="AZ115" s="10" t="n">
        <v>3.633042974644956</v>
      </c>
      <c r="BA115" s="10" t="n">
        <v>3.621154069889267</v>
      </c>
      <c r="BB115" s="10" t="n">
        <v>3.60859768816122</v>
      </c>
      <c r="BC115" s="10" t="n">
        <v>3.595444441217477</v>
      </c>
      <c r="BD115" s="10" t="n">
        <v>3.581763224817003</v>
      </c>
      <c r="BE115" s="10" t="n">
        <v>3.567620811945038</v>
      </c>
      <c r="BF115" s="10" t="n">
        <v>3.55308130153275</v>
      </c>
      <c r="BG115" s="10" t="n">
        <v>3.538206178232799</v>
      </c>
    </row>
    <row r="116">
      <c r="A116" s="9" t="n">
        <v>-9</v>
      </c>
      <c r="B116" s="7" t="n">
        <v>44825</v>
      </c>
      <c r="C116" s="10" t="n">
        <v>3.377302918993645</v>
      </c>
      <c r="D116" s="10" t="n">
        <v>3.367373573477624</v>
      </c>
      <c r="E116" s="10" t="n">
        <v>3.353611815145712</v>
      </c>
      <c r="F116" s="10" t="n">
        <v>3.340388052144489</v>
      </c>
      <c r="G116" s="10" t="n">
        <v>3.328711348679917</v>
      </c>
      <c r="H116" s="10" t="n">
        <v>3.318739727770074</v>
      </c>
      <c r="I116" s="10" t="n">
        <v>3.310561027647479</v>
      </c>
      <c r="J116" s="10" t="n">
        <v>3.304350049432729</v>
      </c>
      <c r="K116" s="10" t="n">
        <v>3.300365961023874</v>
      </c>
      <c r="L116" s="10" t="n">
        <v>3.298895192498086</v>
      </c>
      <c r="M116" s="10" t="n">
        <v>3.300206346398694</v>
      </c>
      <c r="N116" s="10" t="n">
        <v>3.304500615019791</v>
      </c>
      <c r="O116" s="10" t="n">
        <v>3.311872806974767</v>
      </c>
      <c r="P116" s="10" t="n">
        <v>3.322284071871198</v>
      </c>
      <c r="Q116" s="10" t="n">
        <v>3.335563109980558</v>
      </c>
      <c r="R116" s="10" t="n">
        <v>3.351422452300886</v>
      </c>
      <c r="S116" s="10" t="n">
        <v>3.369496073137829</v>
      </c>
      <c r="T116" s="10" t="n">
        <v>3.389354340397149</v>
      </c>
      <c r="U116" s="10" t="n">
        <v>3.410565672143672</v>
      </c>
      <c r="V116" s="10" t="n">
        <v>3.432714313922189</v>
      </c>
      <c r="W116" s="10" t="n">
        <v>3.455397189599253</v>
      </c>
      <c r="X116" s="10" t="n">
        <v>3.478224923204521</v>
      </c>
      <c r="Y116" s="10" t="n">
        <v>3.500850386079772</v>
      </c>
      <c r="Z116" s="10" t="n">
        <v>3.522986389147144</v>
      </c>
      <c r="AA116" s="10" t="n">
        <v>3.544394659066311</v>
      </c>
      <c r="AB116" s="10" t="n">
        <v>3.564878883800876</v>
      </c>
      <c r="AC116" s="10" t="n">
        <v>3.584280014973976</v>
      </c>
      <c r="AD116" s="10" t="n">
        <v>3.602470425793583</v>
      </c>
      <c r="AE116" s="10" t="n">
        <v>3.619349001429882</v>
      </c>
      <c r="AF116" s="10" t="n">
        <v>3.634837120015615</v>
      </c>
      <c r="AG116" s="10" t="n">
        <v>3.648875263809033</v>
      </c>
      <c r="AH116" s="10" t="n">
        <v>3.661420162798302</v>
      </c>
      <c r="AI116" s="10" t="n">
        <v>3.672442527271016</v>
      </c>
      <c r="AJ116" s="10" t="n">
        <v>3.681925138187578</v>
      </c>
      <c r="AK116" s="10" t="n">
        <v>3.689860897547996</v>
      </c>
      <c r="AL116" s="10" t="n">
        <v>3.696250622032221</v>
      </c>
      <c r="AM116" s="10" t="n">
        <v>3.701102274024747</v>
      </c>
      <c r="AN116" s="10" t="n">
        <v>3.704430816294677</v>
      </c>
      <c r="AO116" s="10" t="n">
        <v>3.706258094835497</v>
      </c>
      <c r="AP116" s="10" t="n">
        <v>3.706613638461039</v>
      </c>
      <c r="AQ116" s="10" t="n">
        <v>3.705534427984413</v>
      </c>
      <c r="AR116" s="10" t="n">
        <v>3.703064941345708</v>
      </c>
      <c r="AS116" s="10" t="n">
        <v>3.699256677365822</v>
      </c>
      <c r="AT116" s="10" t="n">
        <v>3.694166943032917</v>
      </c>
      <c r="AU116" s="10" t="n">
        <v>3.687857911558687</v>
      </c>
      <c r="AV116" s="10" t="n">
        <v>3.680395628330031</v>
      </c>
      <c r="AW116" s="10" t="n">
        <v>3.671849281232396</v>
      </c>
      <c r="AX116" s="10" t="n">
        <v>3.662290452475755</v>
      </c>
      <c r="AY116" s="10" t="n">
        <v>3.65179161499685</v>
      </c>
      <c r="AZ116" s="10" t="n">
        <v>3.640425433725367</v>
      </c>
      <c r="BA116" s="10" t="n">
        <v>3.628264623950897</v>
      </c>
      <c r="BB116" s="10" t="n">
        <v>3.615381435223117</v>
      </c>
      <c r="BC116" s="10" t="n">
        <v>3.601847304597082</v>
      </c>
      <c r="BD116" s="10" t="n">
        <v>3.587732562345653</v>
      </c>
      <c r="BE116" s="10" t="n">
        <v>3.573105958838301</v>
      </c>
      <c r="BF116" s="10" t="n">
        <v>3.558034047477751</v>
      </c>
      <c r="BG116" s="10" t="n">
        <v>3.542581182444814</v>
      </c>
    </row>
    <row r="117">
      <c r="A117" s="9" t="n">
        <v>-8</v>
      </c>
      <c r="B117" s="7" t="n">
        <v>44826</v>
      </c>
      <c r="C117" s="10" t="n">
        <v>3.517354476730853</v>
      </c>
      <c r="D117" s="10" t="n">
        <v>3.522031286642368</v>
      </c>
      <c r="E117" s="10" t="n">
        <v>3.518437914170307</v>
      </c>
      <c r="F117" s="10" t="n">
        <v>3.512670988195646</v>
      </c>
      <c r="G117" s="10" t="n">
        <v>3.506588179453463</v>
      </c>
      <c r="H117" s="10" t="n">
        <v>3.500796669228003</v>
      </c>
      <c r="I117" s="10" t="n">
        <v>3.495647137000212</v>
      </c>
      <c r="J117" s="10" t="n">
        <v>3.491491295412746</v>
      </c>
      <c r="K117" s="10" t="n">
        <v>3.488727078005252</v>
      </c>
      <c r="L117" s="10" t="n">
        <v>3.487764321484242</v>
      </c>
      <c r="M117" s="10" t="n">
        <v>3.488989019386018</v>
      </c>
      <c r="N117" s="10" t="n">
        <v>3.492721140053162</v>
      </c>
      <c r="O117" s="10" t="n">
        <v>3.499172110807017</v>
      </c>
      <c r="P117" s="10" t="n">
        <v>3.508413904919248</v>
      </c>
      <c r="Q117" s="10" t="n">
        <v>3.520376131844421</v>
      </c>
      <c r="R117" s="10" t="n">
        <v>3.534858214979614</v>
      </c>
      <c r="S117" s="10" t="n">
        <v>3.551565679538391</v>
      </c>
      <c r="T117" s="10" t="n">
        <v>3.570125893602025</v>
      </c>
      <c r="U117" s="10" t="n">
        <v>3.590148515986216</v>
      </c>
      <c r="V117" s="10" t="n">
        <v>3.611245083491491</v>
      </c>
      <c r="W117" s="10" t="n">
        <v>3.633028749328797</v>
      </c>
      <c r="X117" s="10" t="n">
        <v>3.655117402585761</v>
      </c>
      <c r="Y117" s="10" t="n">
        <v>3.677162473053935</v>
      </c>
      <c r="Z117" s="10" t="n">
        <v>3.698866693071926</v>
      </c>
      <c r="AA117" s="10" t="n">
        <v>3.719974758123024</v>
      </c>
      <c r="AB117" s="10" t="n">
        <v>3.740270686891631</v>
      </c>
      <c r="AC117" s="10" t="n">
        <v>3.75957612406542</v>
      </c>
      <c r="AD117" s="10" t="n">
        <v>3.777744617744264</v>
      </c>
      <c r="AE117" s="10" t="n">
        <v>3.794656634532088</v>
      </c>
      <c r="AF117" s="10" t="n">
        <v>3.810215533002234</v>
      </c>
      <c r="AG117" s="10" t="n">
        <v>3.824345999690599</v>
      </c>
      <c r="AH117" s="10" t="n">
        <v>3.836992946702117</v>
      </c>
      <c r="AI117" s="10" t="n">
        <v>3.848118263239533</v>
      </c>
      <c r="AJ117" s="10" t="n">
        <v>3.857698788551581</v>
      </c>
      <c r="AK117" s="10" t="n">
        <v>3.865724076235809</v>
      </c>
      <c r="AL117" s="10" t="n">
        <v>3.872194027811217</v>
      </c>
      <c r="AM117" s="10" t="n">
        <v>3.877117741431344</v>
      </c>
      <c r="AN117" s="10" t="n">
        <v>3.880512912542012</v>
      </c>
      <c r="AO117" s="10" t="n">
        <v>3.882405291670258</v>
      </c>
      <c r="AP117" s="10" t="n">
        <v>3.882828798842665</v>
      </c>
      <c r="AQ117" s="10" t="n">
        <v>3.881824958622681</v>
      </c>
      <c r="AR117" s="10" t="n">
        <v>3.879442365056953</v>
      </c>
      <c r="AS117" s="10" t="n">
        <v>3.875735919831718</v>
      </c>
      <c r="AT117" s="10" t="n">
        <v>3.870765462635662</v>
      </c>
      <c r="AU117" s="10" t="n">
        <v>3.864594784476092</v>
      </c>
      <c r="AV117" s="10" t="n">
        <v>3.857290598228582</v>
      </c>
      <c r="AW117" s="10" t="n">
        <v>3.848921821850105</v>
      </c>
      <c r="AX117" s="10" t="n">
        <v>3.839558909294103</v>
      </c>
      <c r="AY117" s="10" t="n">
        <v>3.829272563625394</v>
      </c>
      <c r="AZ117" s="10" t="n">
        <v>3.818133177649194</v>
      </c>
      <c r="BA117" s="10" t="n">
        <v>3.806210757644318</v>
      </c>
      <c r="BB117" s="10" t="n">
        <v>3.793574531051646</v>
      </c>
      <c r="BC117" s="10" t="n">
        <v>3.780292684013477</v>
      </c>
      <c r="BD117" s="10" t="n">
        <v>3.766432120776137</v>
      </c>
      <c r="BE117" s="10" t="n">
        <v>3.752058037164326</v>
      </c>
      <c r="BF117" s="10" t="n">
        <v>3.737233359492703</v>
      </c>
      <c r="BG117" s="10" t="n">
        <v>3.722018775325124</v>
      </c>
    </row>
    <row r="118">
      <c r="A118" s="9" t="n">
        <v>-7</v>
      </c>
      <c r="B118" s="7" t="n">
        <v>44827</v>
      </c>
      <c r="C118" s="10" t="n">
        <v>3.970084055355477</v>
      </c>
      <c r="D118" s="10" t="n">
        <v>4.004157018993638</v>
      </c>
      <c r="E118" s="10" t="n">
        <v>4.014790530691838</v>
      </c>
      <c r="F118" s="10" t="n">
        <v>4.012092615052105</v>
      </c>
      <c r="G118" s="10" t="n">
        <v>4.00102278081013</v>
      </c>
      <c r="H118" s="10" t="n">
        <v>3.984534185998259</v>
      </c>
      <c r="I118" s="10" t="n">
        <v>3.964753930286473</v>
      </c>
      <c r="J118" s="10" t="n">
        <v>3.943373987396321</v>
      </c>
      <c r="K118" s="10" t="n">
        <v>3.921810288829855</v>
      </c>
      <c r="L118" s="10" t="n">
        <v>3.901256809040234</v>
      </c>
      <c r="M118" s="10" t="n">
        <v>3.88270990363605</v>
      </c>
      <c r="N118" s="10" t="n">
        <v>3.86696565941866</v>
      </c>
      <c r="O118" s="10" t="n">
        <v>3.854598181321241</v>
      </c>
      <c r="P118" s="10" t="n">
        <v>3.845948774035904</v>
      </c>
      <c r="Q118" s="10" t="n">
        <v>3.841136481629903</v>
      </c>
      <c r="R118" s="10" t="n">
        <v>3.840083219377206</v>
      </c>
      <c r="S118" s="10" t="n">
        <v>3.842562924244552</v>
      </c>
      <c r="T118" s="10" t="n">
        <v>3.848227488759347</v>
      </c>
      <c r="U118" s="10" t="n">
        <v>3.856680024337372</v>
      </c>
      <c r="V118" s="10" t="n">
        <v>3.867501584626384</v>
      </c>
      <c r="W118" s="10" t="n">
        <v>3.880255879102833</v>
      </c>
      <c r="X118" s="10" t="n">
        <v>3.894496774478248</v>
      </c>
      <c r="Y118" s="10" t="n">
        <v>3.909803431954901</v>
      </c>
      <c r="Z118" s="10" t="n">
        <v>3.925800796131267</v>
      </c>
      <c r="AA118" s="10" t="n">
        <v>3.942148560827603</v>
      </c>
      <c r="AB118" s="10" t="n">
        <v>3.958543772907544</v>
      </c>
      <c r="AC118" s="10" t="n">
        <v>3.974723758363518</v>
      </c>
      <c r="AD118" s="10" t="n">
        <v>3.990460246387255</v>
      </c>
      <c r="AE118" s="10" t="n">
        <v>4.005553993869898</v>
      </c>
      <c r="AF118" s="10" t="n">
        <v>4.019830549236045</v>
      </c>
      <c r="AG118" s="10" t="n">
        <v>4.033141837549562</v>
      </c>
      <c r="AH118" s="10" t="n">
        <v>4.045367977267645</v>
      </c>
      <c r="AI118" s="10" t="n">
        <v>4.056412056435087</v>
      </c>
      <c r="AJ118" s="10" t="n">
        <v>4.066197559812806</v>
      </c>
      <c r="AK118" s="10" t="n">
        <v>4.074665597227932</v>
      </c>
      <c r="AL118" s="10" t="n">
        <v>4.08177232230181</v>
      </c>
      <c r="AM118" s="10" t="n">
        <v>4.087487391986858</v>
      </c>
      <c r="AN118" s="10" t="n">
        <v>4.091792939379582</v>
      </c>
      <c r="AO118" s="10" t="n">
        <v>4.094682621545482</v>
      </c>
      <c r="AP118" s="10" t="n">
        <v>4.096161396358501</v>
      </c>
      <c r="AQ118" s="10" t="n">
        <v>4.096244652734302</v>
      </c>
      <c r="AR118" s="10" t="n">
        <v>4.094957548765431</v>
      </c>
      <c r="AS118" s="10" t="n">
        <v>4.092334074472246</v>
      </c>
      <c r="AT118" s="10" t="n">
        <v>4.088415599664536</v>
      </c>
      <c r="AU118" s="10" t="n">
        <v>4.083249758651122</v>
      </c>
      <c r="AV118" s="10" t="n">
        <v>4.076889330545153</v>
      </c>
      <c r="AW118" s="10" t="n">
        <v>4.06939139740529</v>
      </c>
      <c r="AX118" s="10" t="n">
        <v>4.060816534560324</v>
      </c>
      <c r="AY118" s="10" t="n">
        <v>4.051227535618775</v>
      </c>
      <c r="AZ118" s="10" t="n">
        <v>4.040688777383026</v>
      </c>
      <c r="BA118" s="10" t="n">
        <v>4.029265972116355</v>
      </c>
      <c r="BB118" s="10" t="n">
        <v>4.017025633165833</v>
      </c>
      <c r="BC118" s="10" t="n">
        <v>4.004034667316819</v>
      </c>
      <c r="BD118" s="10" t="n">
        <v>3.990359967297398</v>
      </c>
      <c r="BE118" s="10" t="n">
        <v>3.976067815998674</v>
      </c>
      <c r="BF118" s="10" t="n">
        <v>3.96122316764103</v>
      </c>
      <c r="BG118" s="10" t="n">
        <v>3.945889544112547</v>
      </c>
    </row>
    <row r="119">
      <c r="A119" s="9" t="n">
        <v>-6</v>
      </c>
      <c r="B119" s="7" t="n">
        <v>44830</v>
      </c>
      <c r="C119" s="10" t="n">
        <v>4.411440377851073</v>
      </c>
      <c r="D119" s="10" t="n">
        <v>4.438936014890981</v>
      </c>
      <c r="E119" s="10" t="n">
        <v>4.442725464326386</v>
      </c>
      <c r="F119" s="10" t="n">
        <v>4.433177675694455</v>
      </c>
      <c r="G119" s="10" t="n">
        <v>4.415417057332557</v>
      </c>
      <c r="H119" s="10" t="n">
        <v>4.392390089139743</v>
      </c>
      <c r="I119" s="10" t="n">
        <v>4.366127960485116</v>
      </c>
      <c r="J119" s="10" t="n">
        <v>4.338210105618746</v>
      </c>
      <c r="K119" s="10" t="n">
        <v>4.309968907589187</v>
      </c>
      <c r="L119" s="10" t="n">
        <v>4.282583571515338</v>
      </c>
      <c r="M119" s="10" t="n">
        <v>4.257112016871336</v>
      </c>
      <c r="N119" s="10" t="n">
        <v>4.234472650107246</v>
      </c>
      <c r="O119" s="10" t="n">
        <v>4.2153931333037</v>
      </c>
      <c r="P119" s="10" t="n">
        <v>4.200382342295182</v>
      </c>
      <c r="Q119" s="10" t="n">
        <v>4.189731059074891</v>
      </c>
      <c r="R119" s="10" t="n">
        <v>4.18351986036421</v>
      </c>
      <c r="S119" s="10" t="n">
        <v>4.181653538832818</v>
      </c>
      <c r="T119" s="10" t="n">
        <v>4.183882913559638</v>
      </c>
      <c r="U119" s="10" t="n">
        <v>4.189866251041265</v>
      </c>
      <c r="V119" s="10" t="n">
        <v>4.199199838295574</v>
      </c>
      <c r="W119" s="10" t="n">
        <v>4.211430969838122</v>
      </c>
      <c r="X119" s="10" t="n">
        <v>4.226071163536743</v>
      </c>
      <c r="Y119" s="10" t="n">
        <v>4.242630789101657</v>
      </c>
      <c r="Z119" s="10" t="n">
        <v>4.260640355665068</v>
      </c>
      <c r="AA119" s="10" t="n">
        <v>4.279647621330691</v>
      </c>
      <c r="AB119" s="10" t="n">
        <v>4.299234861014657</v>
      </c>
      <c r="AC119" s="10" t="n">
        <v>4.319030284621911</v>
      </c>
      <c r="AD119" s="10" t="n">
        <v>4.33870176429776</v>
      </c>
      <c r="AE119" s="10" t="n">
        <v>4.357950637202827</v>
      </c>
      <c r="AF119" s="10" t="n">
        <v>4.376507004632325</v>
      </c>
      <c r="AG119" s="10" t="n">
        <v>4.394137076303805</v>
      </c>
      <c r="AH119" s="10" t="n">
        <v>4.410650029096473</v>
      </c>
      <c r="AI119" s="10" t="n">
        <v>4.425889595756004</v>
      </c>
      <c r="AJ119" s="10" t="n">
        <v>4.439731014261703</v>
      </c>
      <c r="AK119" s="10" t="n">
        <v>4.452077114591481</v>
      </c>
      <c r="AL119" s="10" t="n">
        <v>4.462855014558007</v>
      </c>
      <c r="AM119" s="10" t="n">
        <v>4.472013406530137</v>
      </c>
      <c r="AN119" s="10" t="n">
        <v>4.479520303147227</v>
      </c>
      <c r="AO119" s="10" t="n">
        <v>4.485361106427526</v>
      </c>
      <c r="AP119" s="10" t="n">
        <v>4.48953737011903</v>
      </c>
      <c r="AQ119" s="10" t="n">
        <v>4.492065197998743</v>
      </c>
      <c r="AR119" s="10" t="n">
        <v>4.492973729387525</v>
      </c>
      <c r="AS119" s="10" t="n">
        <v>4.492303567315552</v>
      </c>
      <c r="AT119" s="10" t="n">
        <v>4.490104636593662</v>
      </c>
      <c r="AU119" s="10" t="n">
        <v>4.486434599089935</v>
      </c>
      <c r="AV119" s="10" t="n">
        <v>4.481357206271591</v>
      </c>
      <c r="AW119" s="10" t="n">
        <v>4.474941100574101</v>
      </c>
      <c r="AX119" s="10" t="n">
        <v>4.467258698595803</v>
      </c>
      <c r="AY119" s="10" t="n">
        <v>4.458384507924229</v>
      </c>
      <c r="AZ119" s="10" t="n">
        <v>4.448394349237996</v>
      </c>
      <c r="BA119" s="10" t="n">
        <v>4.437365056316719</v>
      </c>
      <c r="BB119" s="10" t="n">
        <v>4.425373641907308</v>
      </c>
      <c r="BC119" s="10" t="n">
        <v>4.41249675459997</v>
      </c>
      <c r="BD119" s="10" t="n">
        <v>4.398810250262327</v>
      </c>
      <c r="BE119" s="10" t="n">
        <v>4.384388603688181</v>
      </c>
      <c r="BF119" s="10" t="n">
        <v>4.369304207971721</v>
      </c>
      <c r="BG119" s="10" t="n">
        <v>4.353627336769033</v>
      </c>
    </row>
    <row r="120">
      <c r="A120" s="9" t="n">
        <v>-5</v>
      </c>
      <c r="B120" s="7" t="n">
        <v>44831</v>
      </c>
      <c r="C120" s="10" t="n">
        <v>4.532578529357137</v>
      </c>
      <c r="D120" s="10" t="n">
        <v>4.561391455260162</v>
      </c>
      <c r="E120" s="10" t="n">
        <v>4.567895560940372</v>
      </c>
      <c r="F120" s="10" t="n">
        <v>4.562892972472661</v>
      </c>
      <c r="G120" s="10" t="n">
        <v>4.551413486014734</v>
      </c>
      <c r="H120" s="10" t="n">
        <v>4.53613556487818</v>
      </c>
      <c r="I120" s="10" t="n">
        <v>4.518778476980821</v>
      </c>
      <c r="J120" s="10" t="n">
        <v>4.500615241703216</v>
      </c>
      <c r="K120" s="10" t="n">
        <v>4.482693785497694</v>
      </c>
      <c r="L120" s="10" t="n">
        <v>4.465938120958544</v>
      </c>
      <c r="M120" s="10" t="n">
        <v>4.451181744488883</v>
      </c>
      <c r="N120" s="10" t="n">
        <v>4.439155132767683</v>
      </c>
      <c r="O120" s="10" t="n">
        <v>4.430437058950179</v>
      </c>
      <c r="P120" s="10" t="n">
        <v>4.42542899659511</v>
      </c>
      <c r="Q120" s="10" t="n">
        <v>4.424357220610868</v>
      </c>
      <c r="R120" s="10" t="n">
        <v>4.427277788456282</v>
      </c>
      <c r="S120" s="10" t="n">
        <v>4.434104159208311</v>
      </c>
      <c r="T120" s="10" t="n">
        <v>4.444625573859351</v>
      </c>
      <c r="U120" s="10" t="n">
        <v>4.458552009613022</v>
      </c>
      <c r="V120" s="10" t="n">
        <v>4.475538243241387</v>
      </c>
      <c r="W120" s="10" t="n">
        <v>4.495195398203261</v>
      </c>
      <c r="X120" s="10" t="n">
        <v>4.517102125183854</v>
      </c>
      <c r="Y120" s="10" t="n">
        <v>4.540830439013439</v>
      </c>
      <c r="Z120" s="10" t="n">
        <v>4.565961315882865</v>
      </c>
      <c r="AA120" s="10" t="n">
        <v>4.59208257564456</v>
      </c>
      <c r="AB120" s="10" t="n">
        <v>4.618805111980813</v>
      </c>
      <c r="AC120" s="10" t="n">
        <v>4.645773981615701</v>
      </c>
      <c r="AD120" s="10" t="n">
        <v>4.672663866388848</v>
      </c>
      <c r="AE120" s="10" t="n">
        <v>4.699174444331132</v>
      </c>
      <c r="AF120" s="10" t="n">
        <v>4.725026941737108</v>
      </c>
      <c r="AG120" s="10" t="n">
        <v>4.749971436857392</v>
      </c>
      <c r="AH120" s="10" t="n">
        <v>4.773794209258306</v>
      </c>
      <c r="AI120" s="10" t="n">
        <v>4.796313169363922</v>
      </c>
      <c r="AJ120" s="10" t="n">
        <v>4.81737684924498</v>
      </c>
      <c r="AK120" s="10" t="n">
        <v>4.836861396415518</v>
      </c>
      <c r="AL120" s="10" t="n">
        <v>4.854668952600206</v>
      </c>
      <c r="AM120" s="10" t="n">
        <v>4.870725691099979</v>
      </c>
      <c r="AN120" s="10" t="n">
        <v>4.884980003705262</v>
      </c>
      <c r="AO120" s="10" t="n">
        <v>4.89740069095245</v>
      </c>
      <c r="AP120" s="10" t="n">
        <v>4.907976257442</v>
      </c>
      <c r="AQ120" s="10" t="n">
        <v>4.916713144788291</v>
      </c>
      <c r="AR120" s="10" t="n">
        <v>4.923633869074136</v>
      </c>
      <c r="AS120" s="10" t="n">
        <v>4.92877503838036</v>
      </c>
      <c r="AT120" s="10" t="n">
        <v>4.93218452913962</v>
      </c>
      <c r="AU120" s="10" t="n">
        <v>4.933919436244621</v>
      </c>
      <c r="AV120" s="10" t="n">
        <v>4.934043903709291</v>
      </c>
      <c r="AW120" s="10" t="n">
        <v>4.932627587720293</v>
      </c>
      <c r="AX120" s="10" t="n">
        <v>4.929744270070563</v>
      </c>
      <c r="AY120" s="10" t="n">
        <v>4.925469808609734</v>
      </c>
      <c r="AZ120" s="10" t="n">
        <v>4.919881227861294</v>
      </c>
      <c r="BA120" s="10" t="n">
        <v>4.913056373786918</v>
      </c>
      <c r="BB120" s="10" t="n">
        <v>4.905072856218698</v>
      </c>
      <c r="BC120" s="10" t="n">
        <v>4.896007386656768</v>
      </c>
      <c r="BD120" s="10" t="n">
        <v>4.885935281832792</v>
      </c>
      <c r="BE120" s="10" t="n">
        <v>4.874929820607631</v>
      </c>
      <c r="BF120" s="10" t="n">
        <v>4.863061500942626</v>
      </c>
      <c r="BG120" s="10" t="n">
        <v>4.850398088904441</v>
      </c>
    </row>
    <row r="121">
      <c r="A121" s="9" t="n">
        <v>-4</v>
      </c>
      <c r="B121" s="7" t="n">
        <v>44832</v>
      </c>
      <c r="C121" s="10" t="n">
        <v>4.281449733627421</v>
      </c>
      <c r="D121" s="10" t="n">
        <v>4.30658253852944</v>
      </c>
      <c r="E121" s="10" t="n">
        <v>4.307560765103196</v>
      </c>
      <c r="F121" s="10" t="n">
        <v>4.295420859285246</v>
      </c>
      <c r="G121" s="10" t="n">
        <v>4.275733888288962</v>
      </c>
      <c r="H121" s="10" t="n">
        <v>4.251681091715734</v>
      </c>
      <c r="I121" s="10" t="n">
        <v>4.225367366658602</v>
      </c>
      <c r="J121" s="10" t="n">
        <v>4.198318420189072</v>
      </c>
      <c r="K121" s="10" t="n">
        <v>4.171713670424286</v>
      </c>
      <c r="L121" s="10" t="n">
        <v>4.146506119116181</v>
      </c>
      <c r="M121" s="10" t="n">
        <v>4.123477308161872</v>
      </c>
      <c r="N121" s="10" t="n">
        <v>4.103245783717912</v>
      </c>
      <c r="O121" s="10" t="n">
        <v>4.086232922290594</v>
      </c>
      <c r="P121" s="10" t="n">
        <v>4.072648063746632</v>
      </c>
      <c r="Q121" s="10" t="n">
        <v>4.062499309227649</v>
      </c>
      <c r="R121" s="10" t="n">
        <v>4.055610746049049</v>
      </c>
      <c r="S121" s="10" t="n">
        <v>4.051666294705662</v>
      </c>
      <c r="T121" s="10" t="n">
        <v>4.050231850331578</v>
      </c>
      <c r="U121" s="10" t="n">
        <v>4.050837092151158</v>
      </c>
      <c r="V121" s="10" t="n">
        <v>4.053002195767981</v>
      </c>
      <c r="W121" s="10" t="n">
        <v>4.056239935677291</v>
      </c>
      <c r="X121" s="10" t="n">
        <v>4.060062608968328</v>
      </c>
      <c r="Y121" s="10" t="n">
        <v>4.064025005313799</v>
      </c>
      <c r="Z121" s="10" t="n">
        <v>4.067747341759278</v>
      </c>
      <c r="AA121" s="10" t="n">
        <v>4.070898958456802</v>
      </c>
      <c r="AB121" s="10" t="n">
        <v>4.073207933427596</v>
      </c>
      <c r="AC121" s="10" t="n">
        <v>4.074468588895199</v>
      </c>
      <c r="AD121" s="10" t="n">
        <v>4.074531918212782</v>
      </c>
      <c r="AE121" s="10" t="n">
        <v>4.073296730999133</v>
      </c>
      <c r="AF121" s="10" t="n">
        <v>4.070702784766249</v>
      </c>
      <c r="AG121" s="10" t="n">
        <v>4.066735899665272</v>
      </c>
      <c r="AH121" s="10" t="n">
        <v>4.061431250553517</v>
      </c>
      <c r="AI121" s="10" t="n">
        <v>4.054855286789956</v>
      </c>
      <c r="AJ121" s="10" t="n">
        <v>4.04709605410538</v>
      </c>
      <c r="AK121" s="10" t="n">
        <v>4.038256819689408</v>
      </c>
      <c r="AL121" s="10" t="n">
        <v>4.028446336835258</v>
      </c>
      <c r="AM121" s="10" t="n">
        <v>4.017773413801473</v>
      </c>
      <c r="AN121" s="10" t="n">
        <v>4.00634306148186</v>
      </c>
      <c r="AO121" s="10" t="n">
        <v>3.99425446359681</v>
      </c>
      <c r="AP121" s="10" t="n">
        <v>3.981596912021023</v>
      </c>
      <c r="AQ121" s="10" t="n">
        <v>3.968449224171544</v>
      </c>
      <c r="AR121" s="10" t="n">
        <v>3.95487889350526</v>
      </c>
      <c r="AS121" s="10" t="n">
        <v>3.940942361647845</v>
      </c>
      <c r="AT121" s="10" t="n">
        <v>3.926686022629509</v>
      </c>
      <c r="AU121" s="10" t="n">
        <v>3.91214728352794</v>
      </c>
      <c r="AV121" s="10" t="n">
        <v>3.897355892156685</v>
      </c>
      <c r="AW121" s="10" t="n">
        <v>3.882334962191887</v>
      </c>
      <c r="AX121" s="10" t="n">
        <v>3.867101982710142</v>
      </c>
      <c r="AY121" s="10" t="n">
        <v>3.851670449521466</v>
      </c>
      <c r="AZ121" s="10" t="n">
        <v>3.836050732789725</v>
      </c>
      <c r="BA121" s="10" t="n">
        <v>3.820250666820463</v>
      </c>
      <c r="BB121" s="10" t="n">
        <v>3.804277059996402</v>
      </c>
      <c r="BC121" s="10" t="n">
        <v>3.788136594120709</v>
      </c>
      <c r="BD121" s="10" t="n">
        <v>3.771836358468583</v>
      </c>
      <c r="BE121" s="10" t="n">
        <v>3.755384129745971</v>
      </c>
      <c r="BF121" s="10" t="n">
        <v>3.738788574478611</v>
      </c>
      <c r="BG121" s="10" t="n">
        <v>3.722059194189949</v>
      </c>
    </row>
    <row r="122">
      <c r="A122" s="9" t="n">
        <v>-3</v>
      </c>
      <c r="B122" s="7" t="n">
        <v>44833</v>
      </c>
      <c r="C122" s="10" t="n">
        <v>4.362985439037215</v>
      </c>
      <c r="D122" s="10" t="n">
        <v>4.389290146831971</v>
      </c>
      <c r="E122" s="10" t="n">
        <v>4.391470223196566</v>
      </c>
      <c r="F122" s="10" t="n">
        <v>4.380350427518394</v>
      </c>
      <c r="G122" s="10" t="n">
        <v>4.361338243948457</v>
      </c>
      <c r="H122" s="10" t="n">
        <v>4.337524880002526</v>
      </c>
      <c r="I122" s="10" t="n">
        <v>4.310987065004939</v>
      </c>
      <c r="J122" s="10" t="n">
        <v>4.283270977943129</v>
      </c>
      <c r="K122" s="10" t="n">
        <v>4.255609523131235</v>
      </c>
      <c r="L122" s="10" t="n">
        <v>4.229026556147898</v>
      </c>
      <c r="M122" s="10" t="n">
        <v>4.204377801907967</v>
      </c>
      <c r="N122" s="10" t="n">
        <v>4.182351911525833</v>
      </c>
      <c r="O122" s="10" t="n">
        <v>4.163431609325554</v>
      </c>
      <c r="P122" s="10" t="n">
        <v>4.147878842758969</v>
      </c>
      <c r="Q122" s="10" t="n">
        <v>4.13574533827632</v>
      </c>
      <c r="R122" s="10" t="n">
        <v>4.126890702695734</v>
      </c>
      <c r="S122" s="10" t="n">
        <v>4.121027633427302</v>
      </c>
      <c r="T122" s="10" t="n">
        <v>4.117745884712938</v>
      </c>
      <c r="U122" s="10" t="n">
        <v>4.116591417230839</v>
      </c>
      <c r="V122" s="10" t="n">
        <v>4.117093241582999</v>
      </c>
      <c r="W122" s="10" t="n">
        <v>4.118767057757205</v>
      </c>
      <c r="X122" s="10" t="n">
        <v>4.121123225858881</v>
      </c>
      <c r="Y122" s="10" t="n">
        <v>4.123708983124185</v>
      </c>
      <c r="Z122" s="10" t="n">
        <v>4.126130972055814</v>
      </c>
      <c r="AA122" s="10" t="n">
        <v>4.128041072199046</v>
      </c>
      <c r="AB122" s="10" t="n">
        <v>4.129147395215585</v>
      </c>
      <c r="AC122" s="10" t="n">
        <v>4.129222100688006</v>
      </c>
      <c r="AD122" s="10" t="n">
        <v>4.128092150130503</v>
      </c>
      <c r="AE122" s="10" t="n">
        <v>4.125630744187083</v>
      </c>
      <c r="AF122" s="10" t="n">
        <v>4.121750710012122</v>
      </c>
      <c r="AG122" s="10" t="n">
        <v>4.116410054779874</v>
      </c>
      <c r="AH122" s="10" t="n">
        <v>4.10961590367965</v>
      </c>
      <c r="AI122" s="10" t="n">
        <v>4.101408991272968</v>
      </c>
      <c r="AJ122" s="10" t="n">
        <v>4.091855658131905</v>
      </c>
      <c r="AK122" s="10" t="n">
        <v>4.08104185816737</v>
      </c>
      <c r="AL122" s="10" t="n">
        <v>4.069064765981167</v>
      </c>
      <c r="AM122" s="10" t="n">
        <v>4.056026984303263</v>
      </c>
      <c r="AN122" s="10" t="n">
        <v>4.042031869122876</v>
      </c>
      <c r="AO122" s="10" t="n">
        <v>4.027180863431953</v>
      </c>
      <c r="AP122" s="10" t="n">
        <v>4.011568845445348</v>
      </c>
      <c r="AQ122" s="10" t="n">
        <v>3.995283068598738</v>
      </c>
      <c r="AR122" s="10" t="n">
        <v>3.978401675729431</v>
      </c>
      <c r="AS122" s="10" t="n">
        <v>3.960993516719057</v>
      </c>
      <c r="AT122" s="10" t="n">
        <v>3.943118617775825</v>
      </c>
      <c r="AU122" s="10" t="n">
        <v>3.924828890375515</v>
      </c>
      <c r="AV122" s="10" t="n">
        <v>3.906169047031801</v>
      </c>
      <c r="AW122" s="10" t="n">
        <v>3.887177335332952</v>
      </c>
      <c r="AX122" s="10" t="n">
        <v>3.867886252318161</v>
      </c>
      <c r="AY122" s="10" t="n">
        <v>3.848323770712102</v>
      </c>
      <c r="AZ122" s="10" t="n">
        <v>3.828514082806139</v>
      </c>
      <c r="BA122" s="10" t="n">
        <v>3.808478168475335</v>
      </c>
      <c r="BB122" s="10" t="n">
        <v>3.788235010651375</v>
      </c>
      <c r="BC122" s="10" t="n">
        <v>3.767802436324593</v>
      </c>
      <c r="BD122" s="10" t="n">
        <v>3.747197809769564</v>
      </c>
      <c r="BE122" s="10" t="n">
        <v>3.726438549432524</v>
      </c>
      <c r="BF122" s="10" t="n">
        <v>3.705542582326684</v>
      </c>
      <c r="BG122" s="10" t="n">
        <v>3.684528316546264</v>
      </c>
    </row>
    <row r="123">
      <c r="A123" s="9" t="n">
        <v>-2</v>
      </c>
      <c r="B123" s="7" t="n">
        <v>44834</v>
      </c>
      <c r="C123" s="10" t="n">
        <v>4.323497968477215</v>
      </c>
      <c r="D123" s="10" t="n">
        <v>4.366962719399412</v>
      </c>
      <c r="E123" s="10" t="n">
        <v>4.381204185581921</v>
      </c>
      <c r="F123" s="10" t="n">
        <v>4.378067214154469</v>
      </c>
      <c r="G123" s="10" t="n">
        <v>4.363942689391568</v>
      </c>
      <c r="H123" s="10" t="n">
        <v>4.342748758262872</v>
      </c>
      <c r="I123" s="10" t="n">
        <v>4.317213538208534</v>
      </c>
      <c r="J123" s="10" t="n">
        <v>4.28937137165057</v>
      </c>
      <c r="K123" s="10" t="n">
        <v>4.260798565067391</v>
      </c>
      <c r="L123" s="10" t="n">
        <v>4.232736005490569</v>
      </c>
      <c r="M123" s="10" t="n">
        <v>4.206154295302853</v>
      </c>
      <c r="N123" s="10" t="n">
        <v>4.181779842496607</v>
      </c>
      <c r="O123" s="10" t="n">
        <v>4.160092492255044</v>
      </c>
      <c r="P123" s="10" t="n">
        <v>4.141334573868681</v>
      </c>
      <c r="Q123" s="10" t="n">
        <v>4.125535122329722</v>
      </c>
      <c r="R123" s="10" t="n">
        <v>4.112543028234974</v>
      </c>
      <c r="S123" s="10" t="n">
        <v>4.102077995587178</v>
      </c>
      <c r="T123" s="10" t="n">
        <v>4.093756527423126</v>
      </c>
      <c r="U123" s="10" t="n">
        <v>4.087169497364976</v>
      </c>
      <c r="V123" s="10" t="n">
        <v>4.08190472850097</v>
      </c>
      <c r="W123" s="10" t="n">
        <v>4.077547722206112</v>
      </c>
      <c r="X123" s="10" t="n">
        <v>4.073687522268896</v>
      </c>
      <c r="Y123" s="10" t="n">
        <v>4.06995608395509</v>
      </c>
      <c r="Z123" s="10" t="n">
        <v>4.066047151316387</v>
      </c>
      <c r="AA123" s="10" t="n">
        <v>4.061698380063329</v>
      </c>
      <c r="AB123" s="10" t="n">
        <v>4.056694756837584</v>
      </c>
      <c r="AC123" s="10" t="n">
        <v>4.050872237309304</v>
      </c>
      <c r="AD123" s="10" t="n">
        <v>4.044110218935664</v>
      </c>
      <c r="AE123" s="10" t="n">
        <v>4.036324753181658</v>
      </c>
      <c r="AF123" s="10" t="n">
        <v>4.027463281400566</v>
      </c>
      <c r="AG123" s="10" t="n">
        <v>4.017507823530739</v>
      </c>
      <c r="AH123" s="10" t="n">
        <v>4.006476754037362</v>
      </c>
      <c r="AI123" s="10" t="n">
        <v>3.994412761889192</v>
      </c>
      <c r="AJ123" s="10" t="n">
        <v>3.981376344668121</v>
      </c>
      <c r="AK123" s="10" t="n">
        <v>3.967441140770131</v>
      </c>
      <c r="AL123" s="10" t="n">
        <v>3.952687218572354</v>
      </c>
      <c r="AM123" s="10" t="n">
        <v>3.937196316521914</v>
      </c>
      <c r="AN123" s="10" t="n">
        <v>3.921047984873156</v>
      </c>
      <c r="AO123" s="10" t="n">
        <v>3.904317324086583</v>
      </c>
      <c r="AP123" s="10" t="n">
        <v>3.887070770959485</v>
      </c>
      <c r="AQ123" s="10" t="n">
        <v>3.869365425387936</v>
      </c>
      <c r="AR123" s="10" t="n">
        <v>3.851248109622645</v>
      </c>
      <c r="AS123" s="10" t="n">
        <v>3.83275565706045</v>
      </c>
      <c r="AT123" s="10" t="n">
        <v>3.81391611602126</v>
      </c>
      <c r="AU123" s="10" t="n">
        <v>3.794749888727399</v>
      </c>
      <c r="AV123" s="10" t="n">
        <v>3.775271219651787</v>
      </c>
      <c r="AW123" s="10" t="n">
        <v>3.755489218943139</v>
      </c>
      <c r="AX123" s="10" t="n">
        <v>3.735408878018629</v>
      </c>
      <c r="AY123" s="10" t="n">
        <v>3.715033022518067</v>
      </c>
      <c r="AZ123" s="10" t="n">
        <v>3.694363187546997</v>
      </c>
      <c r="BA123" s="10" t="n">
        <v>3.673400130256504</v>
      </c>
      <c r="BB123" s="10" t="n">
        <v>3.652145493780878</v>
      </c>
      <c r="BC123" s="10" t="n">
        <v>3.630602809867146</v>
      </c>
      <c r="BD123" s="10" t="n">
        <v>3.608778233340733</v>
      </c>
      <c r="BE123" s="10" t="n">
        <v>3.586681036919846</v>
      </c>
      <c r="BF123" s="10" t="n">
        <v>3.564324065337365</v>
      </c>
      <c r="BG123" s="10" t="n">
        <v>3.541723639942274</v>
      </c>
    </row>
    <row r="124">
      <c r="A124" s="9" t="n">
        <v>-1</v>
      </c>
      <c r="B124" s="7" t="n">
        <v>44837</v>
      </c>
      <c r="C124" s="10" t="n">
        <v>4.107242893465295</v>
      </c>
      <c r="D124" s="10" t="n">
        <v>4.153403185577461</v>
      </c>
      <c r="E124" s="10" t="n">
        <v>4.17104846610577</v>
      </c>
      <c r="F124" s="10" t="n">
        <v>4.171607014247824</v>
      </c>
      <c r="G124" s="10" t="n">
        <v>4.161440253561233</v>
      </c>
      <c r="H124" s="10" t="n">
        <v>4.144486908488467</v>
      </c>
      <c r="I124" s="10" t="n">
        <v>4.123494871455373</v>
      </c>
      <c r="J124" s="10" t="n">
        <v>4.100519264517808</v>
      </c>
      <c r="K124" s="10" t="n">
        <v>4.077162494664065</v>
      </c>
      <c r="L124" s="10" t="n">
        <v>4.054697504626967</v>
      </c>
      <c r="M124" s="10" t="n">
        <v>4.034132202040045</v>
      </c>
      <c r="N124" s="10" t="n">
        <v>4.016227843155693</v>
      </c>
      <c r="O124" s="10" t="n">
        <v>4.001495662951498</v>
      </c>
      <c r="P124" s="10" t="n">
        <v>3.990203860496265</v>
      </c>
      <c r="Q124" s="10" t="n">
        <v>3.982402490260486</v>
      </c>
      <c r="R124" s="10" t="n">
        <v>3.977953743589904</v>
      </c>
      <c r="S124" s="10" t="n">
        <v>3.976578200642822</v>
      </c>
      <c r="T124" s="10" t="n">
        <v>3.977880009777977</v>
      </c>
      <c r="U124" s="10" t="n">
        <v>3.981417292557432</v>
      </c>
      <c r="V124" s="10" t="n">
        <v>3.986726131875733</v>
      </c>
      <c r="W124" s="10" t="n">
        <v>3.993325237107018</v>
      </c>
      <c r="X124" s="10" t="n">
        <v>4.000724477937797</v>
      </c>
      <c r="Y124" s="10" t="n">
        <v>4.008463556398497</v>
      </c>
      <c r="Z124" s="10" t="n">
        <v>4.01613196373422</v>
      </c>
      <c r="AA124" s="10" t="n">
        <v>4.023359531613528</v>
      </c>
      <c r="AB124" s="10" t="n">
        <v>4.029830392181117</v>
      </c>
      <c r="AC124" s="10" t="n">
        <v>4.03529071060725</v>
      </c>
      <c r="AD124" s="10" t="n">
        <v>4.039539663899836</v>
      </c>
      <c r="AE124" s="10" t="n">
        <v>4.042421157804797</v>
      </c>
      <c r="AF124" s="10" t="n">
        <v>4.043817475200941</v>
      </c>
      <c r="AG124" s="10" t="n">
        <v>4.043654901501047</v>
      </c>
      <c r="AH124" s="10" t="n">
        <v>4.04190765811144</v>
      </c>
      <c r="AI124" s="10" t="n">
        <v>4.038584444187365</v>
      </c>
      <c r="AJ124" s="10" t="n">
        <v>4.033721457935593</v>
      </c>
      <c r="AK124" s="10" t="n">
        <v>4.027376635208359</v>
      </c>
      <c r="AL124" s="10" t="n">
        <v>4.0196221665839</v>
      </c>
      <c r="AM124" s="10" t="n">
        <v>4.010538991463307</v>
      </c>
      <c r="AN124" s="10" t="n">
        <v>4.000212306891727</v>
      </c>
      <c r="AO124" s="10" t="n">
        <v>3.988729008159587</v>
      </c>
      <c r="AP124" s="10" t="n">
        <v>3.976173803896443</v>
      </c>
      <c r="AQ124" s="10" t="n">
        <v>3.962628097948897</v>
      </c>
      <c r="AR124" s="10" t="n">
        <v>3.948168484704436</v>
      </c>
      <c r="AS124" s="10" t="n">
        <v>3.932866257714819</v>
      </c>
      <c r="AT124" s="10" t="n">
        <v>3.916787110478505</v>
      </c>
      <c r="AU124" s="10" t="n">
        <v>3.899991278265034</v>
      </c>
      <c r="AV124" s="10" t="n">
        <v>3.882533779505442</v>
      </c>
      <c r="AW124" s="10" t="n">
        <v>3.864464704328178</v>
      </c>
      <c r="AX124" s="10" t="n">
        <v>3.845829558921856</v>
      </c>
      <c r="AY124" s="10" t="n">
        <v>3.826669888550723</v>
      </c>
      <c r="AZ124" s="10" t="n">
        <v>3.807023750986985</v>
      </c>
      <c r="BA124" s="10" t="n">
        <v>3.786926181269306</v>
      </c>
      <c r="BB124" s="10" t="n">
        <v>3.766410050239396</v>
      </c>
      <c r="BC124" s="10" t="n">
        <v>3.745506707930758</v>
      </c>
      <c r="BD124" s="10" t="n">
        <v>3.724246577192146</v>
      </c>
      <c r="BE124" s="10" t="n">
        <v>3.702659549355056</v>
      </c>
      <c r="BF124" s="10" t="n">
        <v>3.680775313720949</v>
      </c>
      <c r="BG124" s="10" t="n">
        <v>3.658623434775111</v>
      </c>
    </row>
    <row r="125">
      <c r="A125" s="9" t="n">
        <v>0</v>
      </c>
      <c r="B125" s="7" t="n">
        <v>44838</v>
      </c>
      <c r="C125" s="10" t="n">
        <v>3.996355648738823</v>
      </c>
      <c r="D125" s="10" t="n">
        <v>4.041223570354629</v>
      </c>
      <c r="E125" s="10" t="n">
        <v>4.058227074294757</v>
      </c>
      <c r="F125" s="10" t="n">
        <v>4.059027127904644</v>
      </c>
      <c r="G125" s="10" t="n">
        <v>4.049903784606238</v>
      </c>
      <c r="H125" s="10" t="n">
        <v>4.034620204839093</v>
      </c>
      <c r="I125" s="10" t="n">
        <v>4.015744995340864</v>
      </c>
      <c r="J125" s="10" t="n">
        <v>3.995192312279689</v>
      </c>
      <c r="K125" s="10" t="n">
        <v>3.974475291059317</v>
      </c>
      <c r="L125" s="10" t="n">
        <v>3.95482557444497</v>
      </c>
      <c r="M125" s="10" t="n">
        <v>3.937251516392404</v>
      </c>
      <c r="N125" s="10" t="n">
        <v>3.922539975048764</v>
      </c>
      <c r="O125" s="10" t="n">
        <v>3.911244899319893</v>
      </c>
      <c r="P125" s="10" t="n">
        <v>3.903686271624542</v>
      </c>
      <c r="Q125" s="10" t="n">
        <v>3.899971362885717</v>
      </c>
      <c r="R125" s="10" t="n">
        <v>3.900020162057942</v>
      </c>
      <c r="S125" s="10" t="n">
        <v>3.903606332598903</v>
      </c>
      <c r="T125" s="10" t="n">
        <v>3.910380689101022</v>
      </c>
      <c r="U125" s="10" t="n">
        <v>3.919932481602982</v>
      </c>
      <c r="V125" s="10" t="n">
        <v>3.931813638816866</v>
      </c>
      <c r="W125" s="10" t="n">
        <v>3.945546598523231</v>
      </c>
      <c r="X125" s="10" t="n">
        <v>3.960634497878566</v>
      </c>
      <c r="Y125" s="10" t="n">
        <v>3.976595791075852</v>
      </c>
      <c r="Z125" s="10" t="n">
        <v>3.992983026967837</v>
      </c>
      <c r="AA125" s="10" t="n">
        <v>4.009379350024736</v>
      </c>
      <c r="AB125" s="10" t="n">
        <v>4.025415776940869</v>
      </c>
      <c r="AC125" s="10" t="n">
        <v>4.040779896054251</v>
      </c>
      <c r="AD125" s="10" t="n">
        <v>4.055207701243935</v>
      </c>
      <c r="AE125" s="10" t="n">
        <v>4.068476028564226</v>
      </c>
      <c r="AF125" s="10" t="n">
        <v>4.080396792182491</v>
      </c>
      <c r="AG125" s="10" t="n">
        <v>4.090822853402917</v>
      </c>
      <c r="AH125" s="10" t="n">
        <v>4.099652555786975</v>
      </c>
      <c r="AI125" s="10" t="n">
        <v>4.106819288789987</v>
      </c>
      <c r="AJ125" s="10" t="n">
        <v>4.112286238448113</v>
      </c>
      <c r="AK125" s="10" t="n">
        <v>4.11604153689985</v>
      </c>
      <c r="AL125" s="10" t="n">
        <v>4.118092959155915</v>
      </c>
      <c r="AM125" s="10" t="n">
        <v>4.118463820181362</v>
      </c>
      <c r="AN125" s="10" t="n">
        <v>4.117189589889672</v>
      </c>
      <c r="AO125" s="10" t="n">
        <v>4.114315856758871</v>
      </c>
      <c r="AP125" s="10" t="n">
        <v>4.10989624257924</v>
      </c>
      <c r="AQ125" s="10" t="n">
        <v>4.103991100246267</v>
      </c>
      <c r="AR125" s="10" t="n">
        <v>4.096666088651944</v>
      </c>
      <c r="AS125" s="10" t="n">
        <v>4.087991049900116</v>
      </c>
      <c r="AT125" s="10" t="n">
        <v>4.078038508545886</v>
      </c>
      <c r="AU125" s="10" t="n">
        <v>4.066882756435032</v>
      </c>
      <c r="AV125" s="10" t="n">
        <v>4.054598863518714</v>
      </c>
      <c r="AW125" s="10" t="n">
        <v>4.04126207601519</v>
      </c>
      <c r="AX125" s="10" t="n">
        <v>4.026947126953908</v>
      </c>
      <c r="AY125" s="10" t="n">
        <v>4.011726808265953</v>
      </c>
      <c r="AZ125" s="10" t="n">
        <v>3.995671552275006</v>
      </c>
      <c r="BA125" s="10" t="n">
        <v>3.978849453299278</v>
      </c>
      <c r="BB125" s="10" t="n">
        <v>3.961325729727968</v>
      </c>
      <c r="BC125" s="10" t="n">
        <v>3.943162571391257</v>
      </c>
      <c r="BD125" s="10" t="n">
        <v>3.924419199757104</v>
      </c>
      <c r="BE125" s="10" t="n">
        <v>3.905151789133201</v>
      </c>
      <c r="BF125" s="10" t="n">
        <v>3.885413291076646</v>
      </c>
      <c r="BG125" s="10" t="n">
        <v>3.865253449848276</v>
      </c>
    </row>
    <row r="126">
      <c r="A126" s="9" t="n">
        <v>1</v>
      </c>
      <c r="B126" s="7" t="n">
        <v>44839</v>
      </c>
      <c r="C126" s="10" t="n">
        <v>4.087090117463959</v>
      </c>
      <c r="D126" s="10" t="n">
        <v>4.133225994130019</v>
      </c>
      <c r="E126" s="10" t="n">
        <v>4.153877377555395</v>
      </c>
      <c r="F126" s="10" t="n">
        <v>4.159807006358995</v>
      </c>
      <c r="G126" s="10" t="n">
        <v>4.156574147388037</v>
      </c>
      <c r="H126" s="10" t="n">
        <v>4.147411628739597</v>
      </c>
      <c r="I126" s="10" t="n">
        <v>4.134511237622229</v>
      </c>
      <c r="J126" s="10" t="n">
        <v>4.119538011000827</v>
      </c>
      <c r="K126" s="10" t="n">
        <v>4.103855966394107</v>
      </c>
      <c r="L126" s="10" t="n">
        <v>4.088618734801901</v>
      </c>
      <c r="M126" s="10" t="n">
        <v>4.074812028238965</v>
      </c>
      <c r="N126" s="10" t="n">
        <v>4.063238861101498</v>
      </c>
      <c r="O126" s="10" t="n">
        <v>4.054498723911129</v>
      </c>
      <c r="P126" s="10" t="n">
        <v>4.0489771049626</v>
      </c>
      <c r="Q126" s="10" t="n">
        <v>4.046860632515314</v>
      </c>
      <c r="R126" s="10" t="n">
        <v>4.048156252182362</v>
      </c>
      <c r="S126" s="10" t="n">
        <v>4.052726148683276</v>
      </c>
      <c r="T126" s="10" t="n">
        <v>4.060309355122556</v>
      </c>
      <c r="U126" s="10" t="n">
        <v>4.070574925448684</v>
      </c>
      <c r="V126" s="10" t="n">
        <v>4.083145521918124</v>
      </c>
      <c r="W126" s="10" t="n">
        <v>4.097607120906312</v>
      </c>
      <c r="X126" s="10" t="n">
        <v>4.113519878928987</v>
      </c>
      <c r="Y126" s="10" t="n">
        <v>4.130448128744603</v>
      </c>
      <c r="Z126" s="10" t="n">
        <v>4.147975903748812</v>
      </c>
      <c r="AA126" s="10" t="n">
        <v>4.165702444145211</v>
      </c>
      <c r="AB126" s="10" t="n">
        <v>4.183263456698734</v>
      </c>
      <c r="AC126" s="10" t="n">
        <v>4.20034358932042</v>
      </c>
      <c r="AD126" s="10" t="n">
        <v>4.216669586885994</v>
      </c>
      <c r="AE126" s="10" t="n">
        <v>4.23200371358514</v>
      </c>
      <c r="AF126" s="10" t="n">
        <v>4.246138918084537</v>
      </c>
      <c r="AG126" s="10" t="n">
        <v>4.258908085325167</v>
      </c>
      <c r="AH126" s="10" t="n">
        <v>4.270190626264481</v>
      </c>
      <c r="AI126" s="10" t="n">
        <v>4.279900543060297</v>
      </c>
      <c r="AJ126" s="10" t="n">
        <v>4.287981065771575</v>
      </c>
      <c r="AK126" s="10" t="n">
        <v>4.294399819962585</v>
      </c>
      <c r="AL126" s="10" t="n">
        <v>4.299143541557594</v>
      </c>
      <c r="AM126" s="10" t="n">
        <v>4.302214567906431</v>
      </c>
      <c r="AN126" s="10" t="n">
        <v>4.303628154598324</v>
      </c>
      <c r="AO126" s="10" t="n">
        <v>4.303410949058834</v>
      </c>
      <c r="AP126" s="10" t="n">
        <v>4.301599903358845</v>
      </c>
      <c r="AQ126" s="10" t="n">
        <v>4.298241153311623</v>
      </c>
      <c r="AR126" s="10" t="n">
        <v>4.293388971009855</v>
      </c>
      <c r="AS126" s="10" t="n">
        <v>4.287104627463291</v>
      </c>
      <c r="AT126" s="10" t="n">
        <v>4.279454671360985</v>
      </c>
      <c r="AU126" s="10" t="n">
        <v>4.270509759953858</v>
      </c>
      <c r="AV126" s="10" t="n">
        <v>4.260343349599806</v>
      </c>
      <c r="AW126" s="10" t="n">
        <v>4.249030861862537</v>
      </c>
      <c r="AX126" s="10" t="n">
        <v>4.236648764611236</v>
      </c>
      <c r="AY126" s="10" t="n">
        <v>4.223272746425975</v>
      </c>
      <c r="AZ126" s="10" t="n">
        <v>4.208977088716093</v>
      </c>
      <c r="BA126" s="10" t="n">
        <v>4.193834533526604</v>
      </c>
      <c r="BB126" s="10" t="n">
        <v>4.177915423976648</v>
      </c>
      <c r="BC126" s="10" t="n">
        <v>4.161287346123921</v>
      </c>
      <c r="BD126" s="10" t="n">
        <v>4.144015025651295</v>
      </c>
      <c r="BE126" s="10" t="n">
        <v>4.126160103515558</v>
      </c>
      <c r="BF126" s="10" t="n">
        <v>4.107780832355073</v>
      </c>
      <c r="BG126" s="10" t="n">
        <v>4.088932107525011</v>
      </c>
    </row>
    <row r="127">
      <c r="A127" s="9" t="n">
        <v>2</v>
      </c>
      <c r="B127" s="7" t="n">
        <v>44840</v>
      </c>
      <c r="C127" s="10" t="n">
        <v>4.211603071254537</v>
      </c>
      <c r="D127" s="10" t="n">
        <v>4.261611963266235</v>
      </c>
      <c r="E127" s="10" t="n">
        <v>4.284695219584603</v>
      </c>
      <c r="F127" s="10" t="n">
        <v>4.292447132438918</v>
      </c>
      <c r="G127" s="10" t="n">
        <v>4.290824386930453</v>
      </c>
      <c r="H127" s="10" t="n">
        <v>4.283258053513724</v>
      </c>
      <c r="I127" s="10" t="n">
        <v>4.272043783634016</v>
      </c>
      <c r="J127" s="10" t="n">
        <v>4.258903432053213</v>
      </c>
      <c r="K127" s="10" t="n">
        <v>4.245226647225955</v>
      </c>
      <c r="L127" s="10" t="n">
        <v>4.232163074342666</v>
      </c>
      <c r="M127" s="10" t="n">
        <v>4.220674699196405</v>
      </c>
      <c r="N127" s="10" t="n">
        <v>4.211527842078115</v>
      </c>
      <c r="O127" s="10" t="n">
        <v>4.20528229911096</v>
      </c>
      <c r="P127" s="10" t="n">
        <v>4.202283761676627</v>
      </c>
      <c r="Q127" s="10" t="n">
        <v>4.202680236258812</v>
      </c>
      <c r="R127" s="10" t="n">
        <v>4.206441937746687</v>
      </c>
      <c r="S127" s="10" t="n">
        <v>4.213395840639838</v>
      </c>
      <c r="T127" s="10" t="n">
        <v>4.223248042828096</v>
      </c>
      <c r="U127" s="10" t="n">
        <v>4.235637184625741</v>
      </c>
      <c r="V127" s="10" t="n">
        <v>4.250157449774255</v>
      </c>
      <c r="W127" s="10" t="n">
        <v>4.266367866156166</v>
      </c>
      <c r="X127" s="10" t="n">
        <v>4.283803008025169</v>
      </c>
      <c r="Y127" s="10" t="n">
        <v>4.302003353809552</v>
      </c>
      <c r="Z127" s="10" t="n">
        <v>4.320530397830653</v>
      </c>
      <c r="AA127" s="10" t="n">
        <v>4.33896132867207</v>
      </c>
      <c r="AB127" s="10" t="n">
        <v>4.356913826819868</v>
      </c>
      <c r="AC127" s="10" t="n">
        <v>4.374060514681434</v>
      </c>
      <c r="AD127" s="10" t="n">
        <v>4.390121273089584</v>
      </c>
      <c r="AE127" s="10" t="n">
        <v>4.404855857173576</v>
      </c>
      <c r="AF127" s="10" t="n">
        <v>4.418058511775472</v>
      </c>
      <c r="AG127" s="10" t="n">
        <v>4.429569164766195</v>
      </c>
      <c r="AH127" s="10" t="n">
        <v>4.439281706943996</v>
      </c>
      <c r="AI127" s="10" t="n">
        <v>4.447130869279196</v>
      </c>
      <c r="AJ127" s="10" t="n">
        <v>4.453086246167996</v>
      </c>
      <c r="AK127" s="10" t="n">
        <v>4.457146654674056</v>
      </c>
      <c r="AL127" s="10" t="n">
        <v>4.459334056895328</v>
      </c>
      <c r="AM127" s="10" t="n">
        <v>4.459689218397542</v>
      </c>
      <c r="AN127" s="10" t="n">
        <v>4.458268256042008</v>
      </c>
      <c r="AO127" s="10" t="n">
        <v>4.455140135774924</v>
      </c>
      <c r="AP127" s="10" t="n">
        <v>4.450384003367731</v>
      </c>
      <c r="AQ127" s="10" t="n">
        <v>4.444087332015245</v>
      </c>
      <c r="AR127" s="10" t="n">
        <v>4.436343369724196</v>
      </c>
      <c r="AS127" s="10" t="n">
        <v>4.427249391241459</v>
      </c>
      <c r="AT127" s="10" t="n">
        <v>4.416904500106797</v>
      </c>
      <c r="AU127" s="10" t="n">
        <v>4.405408372533185</v>
      </c>
      <c r="AV127" s="10" t="n">
        <v>4.392859789056292</v>
      </c>
      <c r="AW127" s="10" t="n">
        <v>4.37935583671147</v>
      </c>
      <c r="AX127" s="10" t="n">
        <v>4.364991048816986</v>
      </c>
      <c r="AY127" s="10" t="n">
        <v>4.34985556803419</v>
      </c>
      <c r="AZ127" s="10" t="n">
        <v>4.334034737876145</v>
      </c>
      <c r="BA127" s="10" t="n">
        <v>4.31760920924549</v>
      </c>
      <c r="BB127" s="10" t="n">
        <v>4.300654089848704</v>
      </c>
      <c r="BC127" s="10" t="n">
        <v>4.283238777817798</v>
      </c>
      <c r="BD127" s="10" t="n">
        <v>4.265427182724878</v>
      </c>
      <c r="BE127" s="10" t="n">
        <v>4.247277863638514</v>
      </c>
      <c r="BF127" s="10" t="n">
        <v>4.22884408219728</v>
      </c>
      <c r="BG127" s="10" t="n">
        <v>4.210174021761934</v>
      </c>
    </row>
    <row r="128">
      <c r="A128" s="9" t="n">
        <v>3</v>
      </c>
      <c r="B128" s="7" t="n">
        <v>44841</v>
      </c>
      <c r="C128" s="10" t="n">
        <v>4.235440689336855</v>
      </c>
      <c r="D128" s="10" t="n">
        <v>4.284899435581779</v>
      </c>
      <c r="E128" s="10" t="n">
        <v>4.308414993098426</v>
      </c>
      <c r="F128" s="10" t="n">
        <v>4.31738399239906</v>
      </c>
      <c r="G128" s="10" t="n">
        <v>4.31756170980283</v>
      </c>
      <c r="H128" s="10" t="n">
        <v>4.312225352966768</v>
      </c>
      <c r="I128" s="10" t="n">
        <v>4.303562595038018</v>
      </c>
      <c r="J128" s="10" t="n">
        <v>4.293231204726368</v>
      </c>
      <c r="K128" s="10" t="n">
        <v>4.282590459426609</v>
      </c>
      <c r="L128" s="10" t="n">
        <v>4.27277938460601</v>
      </c>
      <c r="M128" s="10" t="n">
        <v>4.264757746272041</v>
      </c>
      <c r="N128" s="10" t="n">
        <v>4.259293566221908</v>
      </c>
      <c r="O128" s="10" t="n">
        <v>4.256945803613164</v>
      </c>
      <c r="P128" s="10" t="n">
        <v>4.258056787633183</v>
      </c>
      <c r="Q128" s="10" t="n">
        <v>4.262764750824908</v>
      </c>
      <c r="R128" s="10" t="n">
        <v>4.271021923795438</v>
      </c>
      <c r="S128" s="10" t="n">
        <v>4.282627378061651</v>
      </c>
      <c r="T128" s="10" t="n">
        <v>4.297250077909941</v>
      </c>
      <c r="U128" s="10" t="n">
        <v>4.314482786022866</v>
      </c>
      <c r="V128" s="10" t="n">
        <v>4.333866202208227</v>
      </c>
      <c r="W128" s="10" t="n">
        <v>4.354899841144642</v>
      </c>
      <c r="X128" s="10" t="n">
        <v>4.377054251108509</v>
      </c>
      <c r="Y128" s="10" t="n">
        <v>4.399803206612985</v>
      </c>
      <c r="Z128" s="10" t="n">
        <v>4.422639187158004</v>
      </c>
      <c r="AA128" s="10" t="n">
        <v>4.445069556171456</v>
      </c>
      <c r="AB128" s="10" t="n">
        <v>4.466649905084008</v>
      </c>
      <c r="AC128" s="10" t="n">
        <v>4.487002130306815</v>
      </c>
      <c r="AD128" s="10" t="n">
        <v>4.50580511230122</v>
      </c>
      <c r="AE128" s="10" t="n">
        <v>4.522785811820927</v>
      </c>
      <c r="AF128" s="10" t="n">
        <v>4.537712947852123</v>
      </c>
      <c r="AG128" s="10" t="n">
        <v>4.550412816004595</v>
      </c>
      <c r="AH128" s="10" t="n">
        <v>4.560779317337497</v>
      </c>
      <c r="AI128" s="10" t="n">
        <v>4.56875796093771</v>
      </c>
      <c r="AJ128" s="10" t="n">
        <v>4.574339253389003</v>
      </c>
      <c r="AK128" s="10" t="n">
        <v>4.577551616848081</v>
      </c>
      <c r="AL128" s="10" t="n">
        <v>4.578453896425559</v>
      </c>
      <c r="AM128" s="10" t="n">
        <v>4.577129365128568</v>
      </c>
      <c r="AN128" s="10" t="n">
        <v>4.573680753244157</v>
      </c>
      <c r="AO128" s="10" t="n">
        <v>4.568226316652408</v>
      </c>
      <c r="AP128" s="10" t="n">
        <v>4.560895096816917</v>
      </c>
      <c r="AQ128" s="10" t="n">
        <v>4.551824130085773</v>
      </c>
      <c r="AR128" s="10" t="n">
        <v>4.541154194115319</v>
      </c>
      <c r="AS128" s="10" t="n">
        <v>4.529027310808136</v>
      </c>
      <c r="AT128" s="10" t="n">
        <v>4.515583771005595</v>
      </c>
      <c r="AU128" s="10" t="n">
        <v>4.500960646270967</v>
      </c>
      <c r="AV128" s="10" t="n">
        <v>4.485289932562241</v>
      </c>
      <c r="AW128" s="10" t="n">
        <v>4.468697644445818</v>
      </c>
      <c r="AX128" s="10" t="n">
        <v>4.451302890891223</v>
      </c>
      <c r="AY128" s="10" t="n">
        <v>4.433216184463487</v>
      </c>
      <c r="AZ128" s="10" t="n">
        <v>4.414539384239193</v>
      </c>
      <c r="BA128" s="10" t="n">
        <v>4.395366112664043</v>
      </c>
      <c r="BB128" s="10" t="n">
        <v>4.375781097866401</v>
      </c>
      <c r="BC128" s="10" t="n">
        <v>4.355860327388858</v>
      </c>
      <c r="BD128" s="10" t="n">
        <v>4.335671670636804</v>
      </c>
      <c r="BE128" s="10" t="n">
        <v>4.315275409999194</v>
      </c>
      <c r="BF128" s="10" t="n">
        <v>4.294724689630002</v>
      </c>
      <c r="BG128" s="10" t="n">
        <v>4.274066019601924</v>
      </c>
    </row>
    <row r="129">
      <c r="A129" s="9" t="n">
        <v>4</v>
      </c>
      <c r="B129" s="7" t="n">
        <v>44844</v>
      </c>
      <c r="C129" s="10" t="n">
        <v>4.450279711366927</v>
      </c>
      <c r="D129" s="10" t="n">
        <v>4.504812354174272</v>
      </c>
      <c r="E129" s="10" t="n">
        <v>4.531760821890814</v>
      </c>
      <c r="F129" s="10" t="n">
        <v>4.543557838379976</v>
      </c>
      <c r="G129" s="10" t="n">
        <v>4.546361438983412</v>
      </c>
      <c r="H129" s="10" t="n">
        <v>4.54360038863724</v>
      </c>
      <c r="I129" s="10" t="n">
        <v>4.537509458930274</v>
      </c>
      <c r="J129" s="10" t="n">
        <v>4.529753823209099</v>
      </c>
      <c r="K129" s="10" t="n">
        <v>4.521691773976513</v>
      </c>
      <c r="L129" s="10" t="n">
        <v>4.514469276608784</v>
      </c>
      <c r="M129" s="10" t="n">
        <v>4.509063552347702</v>
      </c>
      <c r="N129" s="10" t="n">
        <v>4.506269275550679</v>
      </c>
      <c r="O129" s="10" t="n">
        <v>4.506672303135361</v>
      </c>
      <c r="P129" s="10" t="n">
        <v>4.510637442986075</v>
      </c>
      <c r="Q129" s="10" t="n">
        <v>4.51831760259957</v>
      </c>
      <c r="R129" s="10" t="n">
        <v>4.529673288836518</v>
      </c>
      <c r="S129" s="10" t="n">
        <v>4.544508424070069</v>
      </c>
      <c r="T129" s="10" t="n">
        <v>4.562495153029654</v>
      </c>
      <c r="U129" s="10" t="n">
        <v>4.583225911173488</v>
      </c>
      <c r="V129" s="10" t="n">
        <v>4.60623754781431</v>
      </c>
      <c r="W129" s="10" t="n">
        <v>4.631022933588006</v>
      </c>
      <c r="X129" s="10" t="n">
        <v>4.657043515283402</v>
      </c>
      <c r="Y129" s="10" t="n">
        <v>4.683760126758934</v>
      </c>
      <c r="Z129" s="10" t="n">
        <v>4.710647837477361</v>
      </c>
      <c r="AA129" s="10" t="n">
        <v>4.737193346967895</v>
      </c>
      <c r="AB129" s="10" t="n">
        <v>4.762928615879312</v>
      </c>
      <c r="AC129" s="10" t="n">
        <v>4.787448786147381</v>
      </c>
      <c r="AD129" s="10" t="n">
        <v>4.810403305052623</v>
      </c>
      <c r="AE129" s="10" t="n">
        <v>4.831487440010196</v>
      </c>
      <c r="AF129" s="10" t="n">
        <v>4.850436338037474</v>
      </c>
      <c r="AG129" s="10" t="n">
        <v>4.867041421026257</v>
      </c>
      <c r="AH129" s="10" t="n">
        <v>4.881160629844906</v>
      </c>
      <c r="AI129" s="10" t="n">
        <v>4.892704782963753</v>
      </c>
      <c r="AJ129" s="10" t="n">
        <v>4.901632434593159</v>
      </c>
      <c r="AK129" s="10" t="n">
        <v>4.907943306666548</v>
      </c>
      <c r="AL129" s="10" t="n">
        <v>4.911672058889472</v>
      </c>
      <c r="AM129" s="10" t="n">
        <v>4.912882545466007</v>
      </c>
      <c r="AN129" s="10" t="n">
        <v>4.911662827567397</v>
      </c>
      <c r="AO129" s="10" t="n">
        <v>4.90812121869839</v>
      </c>
      <c r="AP129" s="10" t="n">
        <v>4.902382023143331</v>
      </c>
      <c r="AQ129" s="10" t="n">
        <v>4.894582548569561</v>
      </c>
      <c r="AR129" s="10" t="n">
        <v>4.884868915260037</v>
      </c>
      <c r="AS129" s="10" t="n">
        <v>4.873393211396572</v>
      </c>
      <c r="AT129" s="10" t="n">
        <v>4.860309832199817</v>
      </c>
      <c r="AU129" s="10" t="n">
        <v>4.845773407101404</v>
      </c>
      <c r="AV129" s="10" t="n">
        <v>4.829936191364077</v>
      </c>
      <c r="AW129" s="10" t="n">
        <v>4.812946631191752</v>
      </c>
      <c r="AX129" s="10" t="n">
        <v>4.794947823817218</v>
      </c>
      <c r="AY129" s="10" t="n">
        <v>4.776074857129601</v>
      </c>
      <c r="AZ129" s="10" t="n">
        <v>4.756454395136091</v>
      </c>
      <c r="BA129" s="10" t="n">
        <v>4.73620486639669</v>
      </c>
      <c r="BB129" s="10" t="n">
        <v>4.715435058000355</v>
      </c>
      <c r="BC129" s="10" t="n">
        <v>4.694243899565142</v>
      </c>
      <c r="BD129" s="10" t="n">
        <v>4.672720870415227</v>
      </c>
      <c r="BE129" s="10" t="n">
        <v>4.650946346416548</v>
      </c>
      <c r="BF129" s="10" t="n">
        <v>4.628991855280902</v>
      </c>
      <c r="BG129" s="10" t="n">
        <v>4.606920551101809</v>
      </c>
    </row>
    <row r="130">
      <c r="A130" s="9" t="n">
        <v>5</v>
      </c>
      <c r="B130" s="7" t="n">
        <v>44845</v>
      </c>
      <c r="C130" s="10" t="n">
        <v>4.311400543071222</v>
      </c>
      <c r="D130" s="10" t="n">
        <v>4.371727024489615</v>
      </c>
      <c r="E130" s="10" t="n">
        <v>4.405725511634495</v>
      </c>
      <c r="F130" s="10" t="n">
        <v>4.424555269103743</v>
      </c>
      <c r="G130" s="10" t="n">
        <v>4.433886653577288</v>
      </c>
      <c r="H130" s="10" t="n">
        <v>4.437027064070781</v>
      </c>
      <c r="I130" s="10" t="n">
        <v>4.436245719062078</v>
      </c>
      <c r="J130" s="10" t="n">
        <v>4.433297764430887</v>
      </c>
      <c r="K130" s="10" t="n">
        <v>4.429646222117995</v>
      </c>
      <c r="L130" s="10" t="n">
        <v>4.426541680084683</v>
      </c>
      <c r="M130" s="10" t="n">
        <v>4.42505948513195</v>
      </c>
      <c r="N130" s="10" t="n">
        <v>4.426083300090933</v>
      </c>
      <c r="O130" s="10" t="n">
        <v>4.430273770811227</v>
      </c>
      <c r="P130" s="10" t="n">
        <v>4.438055435792188</v>
      </c>
      <c r="Q130" s="10" t="n">
        <v>4.449625369749002</v>
      </c>
      <c r="R130" s="10" t="n">
        <v>4.464975021100228</v>
      </c>
      <c r="S130" s="10" t="n">
        <v>4.483929288682782</v>
      </c>
      <c r="T130" s="10" t="n">
        <v>4.506173872176376</v>
      </c>
      <c r="U130" s="10" t="n">
        <v>4.53130959739887</v>
      </c>
      <c r="V130" s="10" t="n">
        <v>4.55887767878201</v>
      </c>
      <c r="W130" s="10" t="n">
        <v>4.588372164389107</v>
      </c>
      <c r="X130" s="10" t="n">
        <v>4.619253156257441</v>
      </c>
      <c r="Y130" s="10" t="n">
        <v>4.650977931481787</v>
      </c>
      <c r="Z130" s="10" t="n">
        <v>4.683016377884645</v>
      </c>
      <c r="AA130" s="10" t="n">
        <v>4.714850278580066</v>
      </c>
      <c r="AB130" s="10" t="n">
        <v>4.746004987712018</v>
      </c>
      <c r="AC130" s="10" t="n">
        <v>4.776065537559771</v>
      </c>
      <c r="AD130" s="10" t="n">
        <v>4.804668196682346</v>
      </c>
      <c r="AE130" s="10" t="n">
        <v>4.831492464249807</v>
      </c>
      <c r="AF130" s="10" t="n">
        <v>4.856255473416454</v>
      </c>
      <c r="AG130" s="10" t="n">
        <v>4.87872698851039</v>
      </c>
      <c r="AH130" s="10" t="n">
        <v>4.898737974881664</v>
      </c>
      <c r="AI130" s="10" t="n">
        <v>4.916168635971355</v>
      </c>
      <c r="AJ130" s="10" t="n">
        <v>4.930944207000296</v>
      </c>
      <c r="AK130" s="10" t="n">
        <v>4.943028981352711</v>
      </c>
      <c r="AL130" s="10" t="n">
        <v>4.952420852218826</v>
      </c>
      <c r="AM130" s="10" t="n">
        <v>4.959146454150051</v>
      </c>
      <c r="AN130" s="10" t="n">
        <v>4.96325698935758</v>
      </c>
      <c r="AO130" s="10" t="n">
        <v>4.964825113455429</v>
      </c>
      <c r="AP130" s="10" t="n">
        <v>4.963942201481312</v>
      </c>
      <c r="AQ130" s="10" t="n">
        <v>4.960715783602276</v>
      </c>
      <c r="AR130" s="10" t="n">
        <v>4.955266349440989</v>
      </c>
      <c r="AS130" s="10" t="n">
        <v>4.947724701794613</v>
      </c>
      <c r="AT130" s="10" t="n">
        <v>4.938228282455006</v>
      </c>
      <c r="AU130" s="10" t="n">
        <v>4.926918884845795</v>
      </c>
      <c r="AV130" s="10" t="n">
        <v>4.913939852167955</v>
      </c>
      <c r="AW130" s="10" t="n">
        <v>4.899434430195353</v>
      </c>
      <c r="AX130" s="10" t="n">
        <v>4.883543995437507</v>
      </c>
      <c r="AY130" s="10" t="n">
        <v>4.866405042750819</v>
      </c>
      <c r="AZ130" s="10" t="n">
        <v>4.848148468588906</v>
      </c>
      <c r="BA130" s="10" t="n">
        <v>4.828899492625281</v>
      </c>
      <c r="BB130" s="10" t="n">
        <v>4.80877602419453</v>
      </c>
      <c r="BC130" s="10" t="n">
        <v>4.787888190512112</v>
      </c>
      <c r="BD130" s="10" t="n">
        <v>4.766338425902472</v>
      </c>
      <c r="BE130" s="10" t="n">
        <v>4.744221448485594</v>
      </c>
      <c r="BF130" s="10" t="n">
        <v>4.721624180232139</v>
      </c>
      <c r="BG130" s="10" t="n">
        <v>4.698626166999929</v>
      </c>
    </row>
    <row r="131">
      <c r="A131" s="9" t="n">
        <v>6</v>
      </c>
      <c r="B131" s="7" t="n">
        <v>44846</v>
      </c>
      <c r="C131" s="10" t="n">
        <v>4.146734244100062</v>
      </c>
      <c r="D131" s="10" t="n">
        <v>4.230679968141898</v>
      </c>
      <c r="E131" s="10" t="n">
        <v>4.288817822420413</v>
      </c>
      <c r="F131" s="10" t="n">
        <v>4.330847291588967</v>
      </c>
      <c r="G131" s="10" t="n">
        <v>4.361698631679975</v>
      </c>
      <c r="H131" s="10" t="n">
        <v>4.384379181695392</v>
      </c>
      <c r="I131" s="10" t="n">
        <v>4.401095427438387</v>
      </c>
      <c r="J131" s="10" t="n">
        <v>4.413665344038875</v>
      </c>
      <c r="K131" s="10" t="n">
        <v>4.42368637463525</v>
      </c>
      <c r="L131" s="10" t="n">
        <v>4.432573818102534</v>
      </c>
      <c r="M131" s="10" t="n">
        <v>4.441569011605258</v>
      </c>
      <c r="N131" s="10" t="n">
        <v>4.451708126547034</v>
      </c>
      <c r="O131" s="10" t="n">
        <v>4.463783596978459</v>
      </c>
      <c r="P131" s="10" t="n">
        <v>4.478331781846708</v>
      </c>
      <c r="Q131" s="10" t="n">
        <v>4.495645670502783</v>
      </c>
      <c r="R131" s="10" t="n">
        <v>4.515804728397568</v>
      </c>
      <c r="S131" s="10" t="n">
        <v>4.538721492639826</v>
      </c>
      <c r="T131" s="10" t="n">
        <v>4.564173141390613</v>
      </c>
      <c r="U131" s="10" t="n">
        <v>4.591854585846673</v>
      </c>
      <c r="V131" s="10" t="n">
        <v>4.621402711297946</v>
      </c>
      <c r="W131" s="10" t="n">
        <v>4.652408488960089</v>
      </c>
      <c r="X131" s="10" t="n">
        <v>4.684429516239511</v>
      </c>
      <c r="Y131" s="10" t="n">
        <v>4.717017919049391</v>
      </c>
      <c r="Z131" s="10" t="n">
        <v>4.749733732937419</v>
      </c>
      <c r="AA131" s="10" t="n">
        <v>4.782142827890645</v>
      </c>
      <c r="AB131" s="10" t="n">
        <v>4.813843136558131</v>
      </c>
      <c r="AC131" s="10" t="n">
        <v>4.844478493074712</v>
      </c>
      <c r="AD131" s="10" t="n">
        <v>4.873732184256922</v>
      </c>
      <c r="AE131" s="10" t="n">
        <v>4.901320785121485</v>
      </c>
      <c r="AF131" s="10" t="n">
        <v>4.926989955564023</v>
      </c>
      <c r="AG131" s="10" t="n">
        <v>4.950527659796439</v>
      </c>
      <c r="AH131" s="10" t="n">
        <v>4.971771168179727</v>
      </c>
      <c r="AI131" s="10" t="n">
        <v>4.990598669509239</v>
      </c>
      <c r="AJ131" s="10" t="n">
        <v>5.006926997431014</v>
      </c>
      <c r="AK131" s="10" t="n">
        <v>5.020707083681553</v>
      </c>
      <c r="AL131" s="10" t="n">
        <v>5.031920287408362</v>
      </c>
      <c r="AM131" s="10" t="n">
        <v>5.040574735007852</v>
      </c>
      <c r="AN131" s="10" t="n">
        <v>5.046702054804882</v>
      </c>
      <c r="AO131" s="10" t="n">
        <v>5.050354787123945</v>
      </c>
      <c r="AP131" s="10" t="n">
        <v>5.051604374003058</v>
      </c>
      <c r="AQ131" s="10" t="n">
        <v>5.050538767663277</v>
      </c>
      <c r="AR131" s="10" t="n">
        <v>5.047259390119954</v>
      </c>
      <c r="AS131" s="10" t="n">
        <v>5.041878536058809</v>
      </c>
      <c r="AT131" s="10" t="n">
        <v>5.03451575653779</v>
      </c>
      <c r="AU131" s="10" t="n">
        <v>5.025295580351426</v>
      </c>
      <c r="AV131" s="10" t="n">
        <v>5.014344740424617</v>
      </c>
      <c r="AW131" s="10" t="n">
        <v>5.001790569647548</v>
      </c>
      <c r="AX131" s="10" t="n">
        <v>4.987759322530581</v>
      </c>
      <c r="AY131" s="10" t="n">
        <v>4.972373274349523</v>
      </c>
      <c r="AZ131" s="10" t="n">
        <v>4.955749994905715</v>
      </c>
      <c r="BA131" s="10" t="n">
        <v>4.938002226375365</v>
      </c>
      <c r="BB131" s="10" t="n">
        <v>4.919236336698807</v>
      </c>
      <c r="BC131" s="10" t="n">
        <v>4.899551858645888</v>
      </c>
      <c r="BD131" s="10" t="n">
        <v>4.879041542752158</v>
      </c>
      <c r="BE131" s="10" t="n">
        <v>4.857791284698324</v>
      </c>
      <c r="BF131" s="10" t="n">
        <v>4.835880021248913</v>
      </c>
      <c r="BG131" s="10" t="n">
        <v>4.813380164485496</v>
      </c>
    </row>
    <row r="132">
      <c r="A132" s="9" t="n">
        <v>7</v>
      </c>
      <c r="B132" s="7" t="n">
        <v>44847</v>
      </c>
      <c r="C132" s="10" t="n">
        <v>3.931465481574244</v>
      </c>
      <c r="D132" s="10" t="n">
        <v>4.011530148005184</v>
      </c>
      <c r="E132" s="10" t="n">
        <v>4.068133353339498</v>
      </c>
      <c r="F132" s="10" t="n">
        <v>4.109638655652527</v>
      </c>
      <c r="G132" s="10" t="n">
        <v>4.140350703271359</v>
      </c>
      <c r="H132" s="10" t="n">
        <v>4.16295008556576</v>
      </c>
      <c r="I132" s="10" t="n">
        <v>4.179469321409179</v>
      </c>
      <c r="J132" s="10" t="n">
        <v>4.1916371547788</v>
      </c>
      <c r="K132" s="10" t="n">
        <v>4.201013977359208</v>
      </c>
      <c r="L132" s="10" t="n">
        <v>4.209008895402903</v>
      </c>
      <c r="M132" s="10" t="n">
        <v>4.21687280476424</v>
      </c>
      <c r="N132" s="10" t="n">
        <v>4.225661570872716</v>
      </c>
      <c r="O132" s="10" t="n">
        <v>4.236190927131626</v>
      </c>
      <c r="P132" s="10" t="n">
        <v>4.249021290358854</v>
      </c>
      <c r="Q132" s="10" t="n">
        <v>4.264467362912918</v>
      </c>
      <c r="R132" s="10" t="n">
        <v>4.282626798098812</v>
      </c>
      <c r="S132" s="10" t="n">
        <v>4.303426467115883</v>
      </c>
      <c r="T132" s="10" t="n">
        <v>4.326654325264839</v>
      </c>
      <c r="U132" s="10" t="n">
        <v>4.352014983965536</v>
      </c>
      <c r="V132" s="10" t="n">
        <v>4.379154544189572</v>
      </c>
      <c r="W132" s="10" t="n">
        <v>4.407672809622738</v>
      </c>
      <c r="X132" s="10" t="n">
        <v>4.437136194316695</v>
      </c>
      <c r="Y132" s="10" t="n">
        <v>4.467107149307846</v>
      </c>
      <c r="Z132" s="10" t="n">
        <v>4.497157661372787</v>
      </c>
      <c r="AA132" s="10" t="n">
        <v>4.526865706148896</v>
      </c>
      <c r="AB132" s="10" t="n">
        <v>4.555842130205368</v>
      </c>
      <c r="AC132" s="10" t="n">
        <v>4.583744914154932</v>
      </c>
      <c r="AD132" s="10" t="n">
        <v>4.610272535199156</v>
      </c>
      <c r="AE132" s="10" t="n">
        <v>4.635157639536446</v>
      </c>
      <c r="AF132" s="10" t="n">
        <v>4.658162791872098</v>
      </c>
      <c r="AG132" s="10" t="n">
        <v>4.679094806264953</v>
      </c>
      <c r="AH132" s="10" t="n">
        <v>4.697811543869974</v>
      </c>
      <c r="AI132" s="10" t="n">
        <v>4.714212136521409</v>
      </c>
      <c r="AJ132" s="10" t="n">
        <v>4.728234299941115</v>
      </c>
      <c r="AK132" s="10" t="n">
        <v>4.739849346794995</v>
      </c>
      <c r="AL132" s="10" t="n">
        <v>4.74905770416744</v>
      </c>
      <c r="AM132" s="10" t="n">
        <v>4.755884954396766</v>
      </c>
      <c r="AN132" s="10" t="n">
        <v>4.760378440075725</v>
      </c>
      <c r="AO132" s="10" t="n">
        <v>4.762604651615989</v>
      </c>
      <c r="AP132" s="10" t="n">
        <v>4.762647025196454</v>
      </c>
      <c r="AQ132" s="10" t="n">
        <v>4.760603661706529</v>
      </c>
      <c r="AR132" s="10" t="n">
        <v>4.756584416258307</v>
      </c>
      <c r="AS132" s="10" t="n">
        <v>4.750708449632976</v>
      </c>
      <c r="AT132" s="10" t="n">
        <v>4.743100755595085</v>
      </c>
      <c r="AU132" s="10" t="n">
        <v>4.733890031081184</v>
      </c>
      <c r="AV132" s="10" t="n">
        <v>4.723206052016335</v>
      </c>
      <c r="AW132" s="10" t="n">
        <v>4.711178185604417</v>
      </c>
      <c r="AX132" s="10" t="n">
        <v>4.697933783630653</v>
      </c>
      <c r="AY132" s="10" t="n">
        <v>4.683595387171172</v>
      </c>
      <c r="AZ132" s="10" t="n">
        <v>4.668280099019388</v>
      </c>
      <c r="BA132" s="10" t="n">
        <v>4.652099518299381</v>
      </c>
      <c r="BB132" s="10" t="n">
        <v>4.63515823658892</v>
      </c>
      <c r="BC132" s="10" t="n">
        <v>4.617553418561194</v>
      </c>
      <c r="BD132" s="10" t="n">
        <v>4.599374873081146</v>
      </c>
      <c r="BE132" s="10" t="n">
        <v>4.580704973058536</v>
      </c>
      <c r="BF132" s="10" t="n">
        <v>4.561618547901333</v>
      </c>
      <c r="BG132" s="10" t="n">
        <v>4.54218336957777</v>
      </c>
    </row>
    <row r="133">
      <c r="A133" s="9" t="n">
        <v>8</v>
      </c>
      <c r="B133" s="7" t="n">
        <v>44848</v>
      </c>
      <c r="C133" s="10" t="n">
        <v>3.953250028731124</v>
      </c>
      <c r="D133" s="10" t="n">
        <v>4.025931203686912</v>
      </c>
      <c r="E133" s="10" t="n">
        <v>4.079875452293778</v>
      </c>
      <c r="F133" s="10" t="n">
        <v>4.122007089078934</v>
      </c>
      <c r="G133" s="10" t="n">
        <v>4.155575715741938</v>
      </c>
      <c r="H133" s="10" t="n">
        <v>4.182529923948333</v>
      </c>
      <c r="I133" s="10" t="n">
        <v>4.204378387338806</v>
      </c>
      <c r="J133" s="10" t="n">
        <v>4.222464072845201</v>
      </c>
      <c r="K133" s="10" t="n">
        <v>4.238059086338255</v>
      </c>
      <c r="L133" s="10" t="n">
        <v>4.252363867906483</v>
      </c>
      <c r="M133" s="10" t="n">
        <v>4.266482665970194</v>
      </c>
      <c r="N133" s="10" t="n">
        <v>4.28137935614444</v>
      </c>
      <c r="O133" s="10" t="n">
        <v>4.297819640840757</v>
      </c>
      <c r="P133" s="10" t="n">
        <v>4.316350135181031</v>
      </c>
      <c r="Q133" s="10" t="n">
        <v>4.3372996032128</v>
      </c>
      <c r="R133" s="10" t="n">
        <v>4.360797243394587</v>
      </c>
      <c r="S133" s="10" t="n">
        <v>4.386808501687532</v>
      </c>
      <c r="T133" s="10" t="n">
        <v>4.415162373121856</v>
      </c>
      <c r="U133" s="10" t="n">
        <v>4.44559530877248</v>
      </c>
      <c r="V133" s="10" t="n">
        <v>4.477775146955678</v>
      </c>
      <c r="W133" s="10" t="n">
        <v>4.511315420305965</v>
      </c>
      <c r="X133" s="10" t="n">
        <v>4.545789237244141</v>
      </c>
      <c r="Y133" s="10" t="n">
        <v>4.580755291179172</v>
      </c>
      <c r="Z133" s="10" t="n">
        <v>4.615770037824891</v>
      </c>
      <c r="AA133" s="10" t="n">
        <v>4.650388065346079</v>
      </c>
      <c r="AB133" s="10" t="n">
        <v>4.684195310843726</v>
      </c>
      <c r="AC133" s="10" t="n">
        <v>4.716825643606423</v>
      </c>
      <c r="AD133" s="10" t="n">
        <v>4.747954140280846</v>
      </c>
      <c r="AE133" s="10" t="n">
        <v>4.777290646222042</v>
      </c>
      <c r="AF133" s="10" t="n">
        <v>4.804575703819552</v>
      </c>
      <c r="AG133" s="10" t="n">
        <v>4.829598513334817</v>
      </c>
      <c r="AH133" s="10" t="n">
        <v>4.852204437486985</v>
      </c>
      <c r="AI133" s="10" t="n">
        <v>4.87228437431742</v>
      </c>
      <c r="AJ133" s="10" t="n">
        <v>4.889772218273022</v>
      </c>
      <c r="AK133" s="10" t="n">
        <v>4.904639541233076</v>
      </c>
      <c r="AL133" s="10" t="n">
        <v>4.916891000853875</v>
      </c>
      <c r="AM133" s="10" t="n">
        <v>4.926559804067901</v>
      </c>
      <c r="AN133" s="10" t="n">
        <v>4.933703718657238</v>
      </c>
      <c r="AO133" s="10" t="n">
        <v>4.938401942359469</v>
      </c>
      <c r="AP133" s="10" t="n">
        <v>4.940752306702467</v>
      </c>
      <c r="AQ133" s="10" t="n">
        <v>4.940868599595535</v>
      </c>
      <c r="AR133" s="10" t="n">
        <v>4.93887709289722</v>
      </c>
      <c r="AS133" s="10" t="n">
        <v>4.934913739873864</v>
      </c>
      <c r="AT133" s="10" t="n">
        <v>4.929120271240584</v>
      </c>
      <c r="AU133" s="10" t="n">
        <v>4.921641859885487</v>
      </c>
      <c r="AV133" s="10" t="n">
        <v>4.912624220406045</v>
      </c>
      <c r="AW133" s="10" t="n">
        <v>4.902211993071217</v>
      </c>
      <c r="AX133" s="10" t="n">
        <v>4.890546974133568</v>
      </c>
      <c r="AY133" s="10" t="n">
        <v>4.877765205776834</v>
      </c>
      <c r="AZ133" s="10" t="n">
        <v>4.863996412540671</v>
      </c>
      <c r="BA133" s="10" t="n">
        <v>4.849363934682019</v>
      </c>
      <c r="BB133" s="10" t="n">
        <v>4.833983085132089</v>
      </c>
      <c r="BC133" s="10" t="n">
        <v>4.817960709008235</v>
      </c>
      <c r="BD133" s="10" t="n">
        <v>4.801395235090316</v>
      </c>
      <c r="BE133" s="10" t="n">
        <v>4.784376500426269</v>
      </c>
      <c r="BF133" s="10" t="n">
        <v>4.766985547054913</v>
      </c>
      <c r="BG133" s="10" t="n">
        <v>4.749295119277833</v>
      </c>
    </row>
    <row r="134">
      <c r="A134" s="9" t="n">
        <v>9</v>
      </c>
      <c r="B134" s="7" t="n">
        <v>44851</v>
      </c>
      <c r="C134" s="10" t="n">
        <v>3.622647485287243</v>
      </c>
      <c r="D134" s="10" t="n">
        <v>3.692564489892722</v>
      </c>
      <c r="E134" s="10" t="n">
        <v>3.746260999011892</v>
      </c>
      <c r="F134" s="10" t="n">
        <v>3.789657481587075</v>
      </c>
      <c r="G134" s="10" t="n">
        <v>3.825263688894267</v>
      </c>
      <c r="H134" s="10" t="n">
        <v>3.854538291617731</v>
      </c>
      <c r="I134" s="10" t="n">
        <v>3.878677340535657</v>
      </c>
      <c r="J134" s="10" t="n">
        <v>3.89883041630491</v>
      </c>
      <c r="K134" s="10" t="n">
        <v>3.916160038305653</v>
      </c>
      <c r="L134" s="10" t="n">
        <v>3.931817949788006</v>
      </c>
      <c r="M134" s="10" t="n">
        <v>3.946900692659788</v>
      </c>
      <c r="N134" s="10" t="n">
        <v>3.962389006977384</v>
      </c>
      <c r="O134" s="10" t="n">
        <v>3.979074585965586</v>
      </c>
      <c r="P134" s="10" t="n">
        <v>3.997530997689045</v>
      </c>
      <c r="Q134" s="10" t="n">
        <v>4.018112289388994</v>
      </c>
      <c r="R134" s="10" t="n">
        <v>4.040967644351589</v>
      </c>
      <c r="S134" s="10" t="n">
        <v>4.066077816691732</v>
      </c>
      <c r="T134" s="10" t="n">
        <v>4.093283617921172</v>
      </c>
      <c r="U134" s="10" t="n">
        <v>4.122332966138842</v>
      </c>
      <c r="V134" s="10" t="n">
        <v>4.152905416296472</v>
      </c>
      <c r="W134" s="10" t="n">
        <v>4.184626416536537</v>
      </c>
      <c r="X134" s="10" t="n">
        <v>4.217081496668843</v>
      </c>
      <c r="Y134" s="10" t="n">
        <v>4.249843984846801</v>
      </c>
      <c r="Z134" s="10" t="n">
        <v>4.282487783476785</v>
      </c>
      <c r="AA134" s="10" t="n">
        <v>4.314587393094384</v>
      </c>
      <c r="AB134" s="10" t="n">
        <v>4.34574971315442</v>
      </c>
      <c r="AC134" s="10" t="n">
        <v>4.375629517584819</v>
      </c>
      <c r="AD134" s="10" t="n">
        <v>4.403922677958075</v>
      </c>
      <c r="AE134" s="10" t="n">
        <v>4.430359741984279</v>
      </c>
      <c r="AF134" s="10" t="n">
        <v>4.454701834663252</v>
      </c>
      <c r="AG134" s="10" t="n">
        <v>4.476757500726234</v>
      </c>
      <c r="AH134" s="10" t="n">
        <v>4.496389752919607</v>
      </c>
      <c r="AI134" s="10" t="n">
        <v>4.513505909904261</v>
      </c>
      <c r="AJ134" s="10" t="n">
        <v>4.528054847789874</v>
      </c>
      <c r="AK134" s="10" t="n">
        <v>4.540021679839922</v>
      </c>
      <c r="AL134" s="10" t="n">
        <v>4.549423003171793</v>
      </c>
      <c r="AM134" s="10" t="n">
        <v>4.556302164164363</v>
      </c>
      <c r="AN134" s="10" t="n">
        <v>4.560725127577119</v>
      </c>
      <c r="AO134" s="10" t="n">
        <v>4.562777394752255</v>
      </c>
      <c r="AP134" s="10" t="n">
        <v>4.562561150711067</v>
      </c>
      <c r="AQ134" s="10" t="n">
        <v>4.560192715868377</v>
      </c>
      <c r="AR134" s="10" t="n">
        <v>4.555799172742692</v>
      </c>
      <c r="AS134" s="10" t="n">
        <v>4.549515741435338</v>
      </c>
      <c r="AT134" s="10" t="n">
        <v>4.54148214804002</v>
      </c>
      <c r="AU134" s="10" t="n">
        <v>4.531840513504372</v>
      </c>
      <c r="AV134" s="10" t="n">
        <v>4.520732739565198</v>
      </c>
      <c r="AW134" s="10" t="n">
        <v>4.508299091772272</v>
      </c>
      <c r="AX134" s="10" t="n">
        <v>4.494676652327558</v>
      </c>
      <c r="AY134" s="10" t="n">
        <v>4.479996780625367</v>
      </c>
      <c r="AZ134" s="10" t="n">
        <v>4.464384677109786</v>
      </c>
      <c r="BA134" s="10" t="n">
        <v>4.447959387143206</v>
      </c>
      <c r="BB134" s="10" t="n">
        <v>4.430832452955905</v>
      </c>
      <c r="BC134" s="10" t="n">
        <v>4.413107632932825</v>
      </c>
      <c r="BD134" s="10" t="n">
        <v>4.394881061634838</v>
      </c>
      <c r="BE134" s="10" t="n">
        <v>4.376241135404276</v>
      </c>
      <c r="BF134" s="10" t="n">
        <v>4.357268384504252</v>
      </c>
      <c r="BG134" s="10" t="n">
        <v>4.338036018801139</v>
      </c>
    </row>
    <row r="135">
      <c r="A135" s="9" t="n">
        <v>10</v>
      </c>
      <c r="B135" s="7" t="n">
        <v>44852</v>
      </c>
      <c r="C135" s="10" t="n">
        <v>3.549808191410908</v>
      </c>
      <c r="D135" s="10" t="n">
        <v>3.615852054920334</v>
      </c>
      <c r="E135" s="10" t="n">
        <v>3.668681374445423</v>
      </c>
      <c r="F135" s="10" t="n">
        <v>3.712712767368515</v>
      </c>
      <c r="G135" s="10" t="n">
        <v>3.749667551337307</v>
      </c>
      <c r="H135" s="10" t="n">
        <v>3.780573639276731</v>
      </c>
      <c r="I135" s="10" t="n">
        <v>3.806376351739064</v>
      </c>
      <c r="J135" s="10" t="n">
        <v>3.828071095386366</v>
      </c>
      <c r="K135" s="10" t="n">
        <v>3.846724878347306</v>
      </c>
      <c r="L135" s="10" t="n">
        <v>3.863435744709764</v>
      </c>
      <c r="M135" s="10" t="n">
        <v>3.87927439158235</v>
      </c>
      <c r="N135" s="10" t="n">
        <v>3.89521212920097</v>
      </c>
      <c r="O135" s="10" t="n">
        <v>3.912039715509611</v>
      </c>
      <c r="P135" s="10" t="n">
        <v>3.930334807729086</v>
      </c>
      <c r="Q135" s="10" t="n">
        <v>3.950460295284294</v>
      </c>
      <c r="R135" s="10" t="n">
        <v>3.972576587558837</v>
      </c>
      <c r="S135" s="10" t="n">
        <v>3.996677629894849</v>
      </c>
      <c r="T135" s="10" t="n">
        <v>4.022619207503855</v>
      </c>
      <c r="U135" s="10" t="n">
        <v>4.050167991040893</v>
      </c>
      <c r="V135" s="10" t="n">
        <v>4.079025768552254</v>
      </c>
      <c r="W135" s="10" t="n">
        <v>4.108842977815901</v>
      </c>
      <c r="X135" s="10" t="n">
        <v>4.139232600981256</v>
      </c>
      <c r="Y135" s="10" t="n">
        <v>4.169798630129072</v>
      </c>
      <c r="Z135" s="10" t="n">
        <v>4.200148460751517</v>
      </c>
      <c r="AA135" s="10" t="n">
        <v>4.22989083589274</v>
      </c>
      <c r="AB135" s="10" t="n">
        <v>4.258664641772178</v>
      </c>
      <c r="AC135" s="10" t="n">
        <v>4.286153040803003</v>
      </c>
      <c r="AD135" s="10" t="n">
        <v>4.31207718135017</v>
      </c>
      <c r="AE135" s="10" t="n">
        <v>4.336190262425439</v>
      </c>
      <c r="AF135" s="10" t="n">
        <v>4.35827376861109</v>
      </c>
      <c r="AG135" s="10" t="n">
        <v>4.37815312605296</v>
      </c>
      <c r="AH135" s="10" t="n">
        <v>4.395704286617681</v>
      </c>
      <c r="AI135" s="10" t="n">
        <v>4.41084416179158</v>
      </c>
      <c r="AJ135" s="10" t="n">
        <v>4.423527798167375</v>
      </c>
      <c r="AK135" s="10" t="n">
        <v>4.433743253979295</v>
      </c>
      <c r="AL135" s="10" t="n">
        <v>4.44150684261077</v>
      </c>
      <c r="AM135" s="10" t="n">
        <v>4.44685872896212</v>
      </c>
      <c r="AN135" s="10" t="n">
        <v>4.449859175434392</v>
      </c>
      <c r="AO135" s="10" t="n">
        <v>4.45058587176744</v>
      </c>
      <c r="AP135" s="10" t="n">
        <v>4.449131539520606</v>
      </c>
      <c r="AQ135" s="10" t="n">
        <v>4.445601730497006</v>
      </c>
      <c r="AR135" s="10" t="n">
        <v>4.440112003261651</v>
      </c>
      <c r="AS135" s="10" t="n">
        <v>4.432785632471764</v>
      </c>
      <c r="AT135" s="10" t="n">
        <v>4.423750393281945</v>
      </c>
      <c r="AU135" s="10" t="n">
        <v>4.413136682281332</v>
      </c>
      <c r="AV135" s="10" t="n">
        <v>4.401075228058191</v>
      </c>
      <c r="AW135" s="10" t="n">
        <v>4.387695854808821</v>
      </c>
      <c r="AX135" s="10" t="n">
        <v>4.373126142676011</v>
      </c>
      <c r="AY135" s="10" t="n">
        <v>4.357489222641502</v>
      </c>
      <c r="AZ135" s="10" t="n">
        <v>4.340903372929107</v>
      </c>
      <c r="BA135" s="10" t="n">
        <v>4.323482007795366</v>
      </c>
      <c r="BB135" s="10" t="n">
        <v>4.30533258821522</v>
      </c>
      <c r="BC135" s="10" t="n">
        <v>4.286556377099644</v>
      </c>
      <c r="BD135" s="10" t="n">
        <v>4.267248518565602</v>
      </c>
      <c r="BE135" s="10" t="n">
        <v>4.247497816007284</v>
      </c>
      <c r="BF135" s="10" t="n">
        <v>4.227386509276059</v>
      </c>
      <c r="BG135" s="10" t="n">
        <v>4.206990727429203</v>
      </c>
    </row>
    <row r="138">
      <c r="A138" s="3" t="inlineStr">
        <is>
          <t>k</t>
        </is>
      </c>
      <c r="B138" s="3" t="inlineStr">
        <is>
          <t>Date</t>
        </is>
      </c>
      <c r="C138" s="3" t="inlineStr">
        <is>
          <t>Δz 2y (bp)</t>
        </is>
      </c>
      <c r="D138" s="3" t="inlineStr">
        <is>
          <t>Δz 2.5y (bp)</t>
        </is>
      </c>
      <c r="E138" s="3" t="inlineStr">
        <is>
          <t>Δz 3y (bp)</t>
        </is>
      </c>
      <c r="F138" s="3" t="inlineStr">
        <is>
          <t>Δz 3.5y (bp)</t>
        </is>
      </c>
      <c r="G138" s="3" t="inlineStr">
        <is>
          <t>Δz 4y (bp)</t>
        </is>
      </c>
      <c r="H138" s="3" t="inlineStr">
        <is>
          <t>Δz 4.5y (bp)</t>
        </is>
      </c>
      <c r="I138" s="3" t="inlineStr">
        <is>
          <t>Δz 5y (bp)</t>
        </is>
      </c>
      <c r="J138" s="3" t="inlineStr">
        <is>
          <t>Δz 5.5y (bp)</t>
        </is>
      </c>
      <c r="K138" s="3" t="inlineStr">
        <is>
          <t>Δz 6y (bp)</t>
        </is>
      </c>
      <c r="L138" s="3" t="inlineStr">
        <is>
          <t>Δz 6.5y (bp)</t>
        </is>
      </c>
      <c r="M138" s="3" t="inlineStr">
        <is>
          <t>Δz 7y (bp)</t>
        </is>
      </c>
      <c r="N138" s="3" t="inlineStr">
        <is>
          <t>Δz 7.5y (bp)</t>
        </is>
      </c>
      <c r="O138" s="3" t="inlineStr">
        <is>
          <t>Δz 8y (bp)</t>
        </is>
      </c>
      <c r="P138" s="3" t="inlineStr">
        <is>
          <t>Δz 8.5y (bp)</t>
        </is>
      </c>
      <c r="Q138" s="3" t="inlineStr">
        <is>
          <t>Δz 9y (bp)</t>
        </is>
      </c>
      <c r="R138" s="3" t="inlineStr">
        <is>
          <t>Δz 9.5y (bp)</t>
        </is>
      </c>
      <c r="S138" s="3" t="inlineStr">
        <is>
          <t>Δz 10y (bp)</t>
        </is>
      </c>
      <c r="T138" s="3" t="inlineStr">
        <is>
          <t>Δz 10.5y (bp)</t>
        </is>
      </c>
      <c r="U138" s="3" t="inlineStr">
        <is>
          <t>Δz 11y (bp)</t>
        </is>
      </c>
      <c r="V138" s="3" t="inlineStr">
        <is>
          <t>Δz 11.5y (bp)</t>
        </is>
      </c>
      <c r="W138" s="3" t="inlineStr">
        <is>
          <t>Δz 12y (bp)</t>
        </is>
      </c>
      <c r="X138" s="3" t="inlineStr">
        <is>
          <t>Δz 12.5y (bp)</t>
        </is>
      </c>
      <c r="Y138" s="3" t="inlineStr">
        <is>
          <t>Δz 13y (bp)</t>
        </is>
      </c>
      <c r="Z138" s="3" t="inlineStr">
        <is>
          <t>Δz 13.5y (bp)</t>
        </is>
      </c>
      <c r="AA138" s="3" t="inlineStr">
        <is>
          <t>Δz 14y (bp)</t>
        </is>
      </c>
      <c r="AB138" s="3" t="inlineStr">
        <is>
          <t>Δz 14.5y (bp)</t>
        </is>
      </c>
      <c r="AC138" s="3" t="inlineStr">
        <is>
          <t>Δz 15y (bp)</t>
        </is>
      </c>
      <c r="AD138" s="3" t="inlineStr">
        <is>
          <t>Δz 15.5y (bp)</t>
        </is>
      </c>
      <c r="AE138" s="3" t="inlineStr">
        <is>
          <t>Δz 16y (bp)</t>
        </is>
      </c>
      <c r="AF138" s="3" t="inlineStr">
        <is>
          <t>Δz 16.5y (bp)</t>
        </is>
      </c>
      <c r="AG138" s="3" t="inlineStr">
        <is>
          <t>Δz 17y (bp)</t>
        </is>
      </c>
      <c r="AH138" s="3" t="inlineStr">
        <is>
          <t>Δz 17.5y (bp)</t>
        </is>
      </c>
      <c r="AI138" s="3" t="inlineStr">
        <is>
          <t>Δz 18y (bp)</t>
        </is>
      </c>
      <c r="AJ138" s="3" t="inlineStr">
        <is>
          <t>Δz 18.5y (bp)</t>
        </is>
      </c>
      <c r="AK138" s="3" t="inlineStr">
        <is>
          <t>Δz 19y (bp)</t>
        </is>
      </c>
      <c r="AL138" s="3" t="inlineStr">
        <is>
          <t>Δz 19.5y (bp)</t>
        </is>
      </c>
      <c r="AM138" s="3" t="inlineStr">
        <is>
          <t>Δz 20y (bp)</t>
        </is>
      </c>
      <c r="AN138" s="3" t="inlineStr">
        <is>
          <t>Δz 20.5y (bp)</t>
        </is>
      </c>
      <c r="AO138" s="3" t="inlineStr">
        <is>
          <t>Δz 21y (bp)</t>
        </is>
      </c>
      <c r="AP138" s="3" t="inlineStr">
        <is>
          <t>Δz 21.5y (bp)</t>
        </is>
      </c>
      <c r="AQ138" s="3" t="inlineStr">
        <is>
          <t>Δz 22y (bp)</t>
        </is>
      </c>
      <c r="AR138" s="3" t="inlineStr">
        <is>
          <t>Δz 22.5y (bp)</t>
        </is>
      </c>
      <c r="AS138" s="3" t="inlineStr">
        <is>
          <t>Δz 23y (bp)</t>
        </is>
      </c>
      <c r="AT138" s="3" t="inlineStr">
        <is>
          <t>Δz 23.5y (bp)</t>
        </is>
      </c>
      <c r="AU138" s="3" t="inlineStr">
        <is>
          <t>Δz 24y (bp)</t>
        </is>
      </c>
      <c r="AV138" s="3" t="inlineStr">
        <is>
          <t>Δz 24.5y (bp)</t>
        </is>
      </c>
      <c r="AW138" s="3" t="inlineStr">
        <is>
          <t>Δz 25y (bp)</t>
        </is>
      </c>
      <c r="AX138" s="3" t="inlineStr">
        <is>
          <t>Δz 25.5y (bp)</t>
        </is>
      </c>
      <c r="AY138" s="3" t="inlineStr">
        <is>
          <t>Δz 26y (bp)</t>
        </is>
      </c>
      <c r="AZ138" s="3" t="inlineStr">
        <is>
          <t>Δz 26.5y (bp)</t>
        </is>
      </c>
      <c r="BA138" s="3" t="inlineStr">
        <is>
          <t>Δz 27y (bp)</t>
        </is>
      </c>
      <c r="BB138" s="3" t="inlineStr">
        <is>
          <t>Δz 27.5y (bp)</t>
        </is>
      </c>
      <c r="BC138" s="3" t="inlineStr">
        <is>
          <t>Δz 28y (bp)</t>
        </is>
      </c>
      <c r="BD138" s="3" t="inlineStr">
        <is>
          <t>Δz 28.5y (bp)</t>
        </is>
      </c>
      <c r="BE138" s="3" t="inlineStr">
        <is>
          <t>Δz 29y (bp)</t>
        </is>
      </c>
      <c r="BF138" s="3" t="inlineStr">
        <is>
          <t>Δz 29.5y (bp)</t>
        </is>
      </c>
      <c r="BG138" s="3" t="inlineStr">
        <is>
          <t>Δz 30y (bp)</t>
        </is>
      </c>
      <c r="BH138" s="3" t="inlineStr">
        <is>
          <t>Control Δc = average (bp)</t>
        </is>
      </c>
    </row>
    <row r="139">
      <c r="A139" s="19">
        <f>A5</f>
        <v/>
      </c>
      <c r="B139" s="20">
        <f>B5</f>
        <v/>
      </c>
      <c r="C139" s="21">
        <f>100*(C5-C4)</f>
        <v/>
      </c>
      <c r="D139" s="21">
        <f>100*(D5-D4)</f>
        <v/>
      </c>
      <c r="E139" s="21">
        <f>100*(E5-E4)</f>
        <v/>
      </c>
      <c r="F139" s="21">
        <f>100*(F5-F4)</f>
        <v/>
      </c>
      <c r="G139" s="21">
        <f>100*(G5-G4)</f>
        <v/>
      </c>
      <c r="H139" s="21">
        <f>100*(H5-H4)</f>
        <v/>
      </c>
      <c r="I139" s="21">
        <f>100*(I5-I4)</f>
        <v/>
      </c>
      <c r="J139" s="21">
        <f>100*(J5-J4)</f>
        <v/>
      </c>
      <c r="K139" s="21">
        <f>100*(K5-K4)</f>
        <v/>
      </c>
      <c r="L139" s="21">
        <f>100*(L5-L4)</f>
        <v/>
      </c>
      <c r="M139" s="21">
        <f>100*(M5-M4)</f>
        <v/>
      </c>
      <c r="N139" s="21">
        <f>100*(N5-N4)</f>
        <v/>
      </c>
      <c r="O139" s="21">
        <f>100*(O5-O4)</f>
        <v/>
      </c>
      <c r="P139" s="21">
        <f>100*(P5-P4)</f>
        <v/>
      </c>
      <c r="Q139" s="21">
        <f>100*(Q5-Q4)</f>
        <v/>
      </c>
      <c r="R139" s="21">
        <f>100*(R5-R4)</f>
        <v/>
      </c>
      <c r="S139" s="21">
        <f>100*(S5-S4)</f>
        <v/>
      </c>
      <c r="T139" s="21">
        <f>100*(T5-T4)</f>
        <v/>
      </c>
      <c r="U139" s="21">
        <f>100*(U5-U4)</f>
        <v/>
      </c>
      <c r="V139" s="21">
        <f>100*(V5-V4)</f>
        <v/>
      </c>
      <c r="W139" s="21">
        <f>100*(W5-W4)</f>
        <v/>
      </c>
      <c r="X139" s="21">
        <f>100*(X5-X4)</f>
        <v/>
      </c>
      <c r="Y139" s="21">
        <f>100*(Y5-Y4)</f>
        <v/>
      </c>
      <c r="Z139" s="21">
        <f>100*(Z5-Z4)</f>
        <v/>
      </c>
      <c r="AA139" s="21">
        <f>100*(AA5-AA4)</f>
        <v/>
      </c>
      <c r="AB139" s="21">
        <f>100*(AB5-AB4)</f>
        <v/>
      </c>
      <c r="AC139" s="21">
        <f>100*(AC5-AC4)</f>
        <v/>
      </c>
      <c r="AD139" s="21">
        <f>100*(AD5-AD4)</f>
        <v/>
      </c>
      <c r="AE139" s="21">
        <f>100*(AE5-AE4)</f>
        <v/>
      </c>
      <c r="AF139" s="21">
        <f>100*(AF5-AF4)</f>
        <v/>
      </c>
      <c r="AG139" s="21">
        <f>100*(AG5-AG4)</f>
        <v/>
      </c>
      <c r="AH139" s="21">
        <f>100*(AH5-AH4)</f>
        <v/>
      </c>
      <c r="AI139" s="21">
        <f>100*(AI5-AI4)</f>
        <v/>
      </c>
      <c r="AJ139" s="21">
        <f>100*(AJ5-AJ4)</f>
        <v/>
      </c>
      <c r="AK139" s="21">
        <f>100*(AK5-AK4)</f>
        <v/>
      </c>
      <c r="AL139" s="21">
        <f>100*(AL5-AL4)</f>
        <v/>
      </c>
      <c r="AM139" s="21">
        <f>100*(AM5-AM4)</f>
        <v/>
      </c>
      <c r="AN139" s="21">
        <f>100*(AN5-AN4)</f>
        <v/>
      </c>
      <c r="AO139" s="21">
        <f>100*(AO5-AO4)</f>
        <v/>
      </c>
      <c r="AP139" s="21">
        <f>100*(AP5-AP4)</f>
        <v/>
      </c>
      <c r="AQ139" s="21">
        <f>100*(AQ5-AQ4)</f>
        <v/>
      </c>
      <c r="AR139" s="21">
        <f>100*(AR5-AR4)</f>
        <v/>
      </c>
      <c r="AS139" s="21">
        <f>100*(AS5-AS4)</f>
        <v/>
      </c>
      <c r="AT139" s="21">
        <f>100*(AT5-AT4)</f>
        <v/>
      </c>
      <c r="AU139" s="21">
        <f>100*(AU5-AU4)</f>
        <v/>
      </c>
      <c r="AV139" s="21">
        <f>100*(AV5-AV4)</f>
        <v/>
      </c>
      <c r="AW139" s="21">
        <f>100*(AW5-AW4)</f>
        <v/>
      </c>
      <c r="AX139" s="21">
        <f>100*(AX5-AX4)</f>
        <v/>
      </c>
      <c r="AY139" s="21">
        <f>100*(AY5-AY4)</f>
        <v/>
      </c>
      <c r="AZ139" s="21">
        <f>100*(AZ5-AZ4)</f>
        <v/>
      </c>
      <c r="BA139" s="21">
        <f>100*(BA5-BA4)</f>
        <v/>
      </c>
      <c r="BB139" s="21">
        <f>100*(BB5-BB4)</f>
        <v/>
      </c>
      <c r="BC139" s="21">
        <f>100*(BC5-BC4)</f>
        <v/>
      </c>
      <c r="BD139" s="21">
        <f>100*(BD5-BD4)</f>
        <v/>
      </c>
      <c r="BE139" s="21">
        <f>100*(BE5-BE4)</f>
        <v/>
      </c>
      <c r="BF139" s="21">
        <f>100*(BF5-BF4)</f>
        <v/>
      </c>
      <c r="BG139" s="21">
        <f>100*(BG5-BG4)</f>
        <v/>
      </c>
      <c r="BH139" s="21">
        <f>AVERAGE(C139:BG139)</f>
        <v/>
      </c>
    </row>
    <row r="140">
      <c r="A140" s="19">
        <f>A6</f>
        <v/>
      </c>
      <c r="B140" s="20">
        <f>B6</f>
        <v/>
      </c>
      <c r="C140" s="21">
        <f>100*(C6-C5)</f>
        <v/>
      </c>
      <c r="D140" s="21">
        <f>100*(D6-D5)</f>
        <v/>
      </c>
      <c r="E140" s="21">
        <f>100*(E6-E5)</f>
        <v/>
      </c>
      <c r="F140" s="21">
        <f>100*(F6-F5)</f>
        <v/>
      </c>
      <c r="G140" s="21">
        <f>100*(G6-G5)</f>
        <v/>
      </c>
      <c r="H140" s="21">
        <f>100*(H6-H5)</f>
        <v/>
      </c>
      <c r="I140" s="21">
        <f>100*(I6-I5)</f>
        <v/>
      </c>
      <c r="J140" s="21">
        <f>100*(J6-J5)</f>
        <v/>
      </c>
      <c r="K140" s="21">
        <f>100*(K6-K5)</f>
        <v/>
      </c>
      <c r="L140" s="21">
        <f>100*(L6-L5)</f>
        <v/>
      </c>
      <c r="M140" s="21">
        <f>100*(M6-M5)</f>
        <v/>
      </c>
      <c r="N140" s="21">
        <f>100*(N6-N5)</f>
        <v/>
      </c>
      <c r="O140" s="21">
        <f>100*(O6-O5)</f>
        <v/>
      </c>
      <c r="P140" s="21">
        <f>100*(P6-P5)</f>
        <v/>
      </c>
      <c r="Q140" s="21">
        <f>100*(Q6-Q5)</f>
        <v/>
      </c>
      <c r="R140" s="21">
        <f>100*(R6-R5)</f>
        <v/>
      </c>
      <c r="S140" s="21">
        <f>100*(S6-S5)</f>
        <v/>
      </c>
      <c r="T140" s="21">
        <f>100*(T6-T5)</f>
        <v/>
      </c>
      <c r="U140" s="21">
        <f>100*(U6-U5)</f>
        <v/>
      </c>
      <c r="V140" s="21">
        <f>100*(V6-V5)</f>
        <v/>
      </c>
      <c r="W140" s="21">
        <f>100*(W6-W5)</f>
        <v/>
      </c>
      <c r="X140" s="21">
        <f>100*(X6-X5)</f>
        <v/>
      </c>
      <c r="Y140" s="21">
        <f>100*(Y6-Y5)</f>
        <v/>
      </c>
      <c r="Z140" s="21">
        <f>100*(Z6-Z5)</f>
        <v/>
      </c>
      <c r="AA140" s="21">
        <f>100*(AA6-AA5)</f>
        <v/>
      </c>
      <c r="AB140" s="21">
        <f>100*(AB6-AB5)</f>
        <v/>
      </c>
      <c r="AC140" s="21">
        <f>100*(AC6-AC5)</f>
        <v/>
      </c>
      <c r="AD140" s="21">
        <f>100*(AD6-AD5)</f>
        <v/>
      </c>
      <c r="AE140" s="21">
        <f>100*(AE6-AE5)</f>
        <v/>
      </c>
      <c r="AF140" s="21">
        <f>100*(AF6-AF5)</f>
        <v/>
      </c>
      <c r="AG140" s="21">
        <f>100*(AG6-AG5)</f>
        <v/>
      </c>
      <c r="AH140" s="21">
        <f>100*(AH6-AH5)</f>
        <v/>
      </c>
      <c r="AI140" s="21">
        <f>100*(AI6-AI5)</f>
        <v/>
      </c>
      <c r="AJ140" s="21">
        <f>100*(AJ6-AJ5)</f>
        <v/>
      </c>
      <c r="AK140" s="21">
        <f>100*(AK6-AK5)</f>
        <v/>
      </c>
      <c r="AL140" s="21">
        <f>100*(AL6-AL5)</f>
        <v/>
      </c>
      <c r="AM140" s="21">
        <f>100*(AM6-AM5)</f>
        <v/>
      </c>
      <c r="AN140" s="21">
        <f>100*(AN6-AN5)</f>
        <v/>
      </c>
      <c r="AO140" s="21">
        <f>100*(AO6-AO5)</f>
        <v/>
      </c>
      <c r="AP140" s="21">
        <f>100*(AP6-AP5)</f>
        <v/>
      </c>
      <c r="AQ140" s="21">
        <f>100*(AQ6-AQ5)</f>
        <v/>
      </c>
      <c r="AR140" s="21">
        <f>100*(AR6-AR5)</f>
        <v/>
      </c>
      <c r="AS140" s="21">
        <f>100*(AS6-AS5)</f>
        <v/>
      </c>
      <c r="AT140" s="21">
        <f>100*(AT6-AT5)</f>
        <v/>
      </c>
      <c r="AU140" s="21">
        <f>100*(AU6-AU5)</f>
        <v/>
      </c>
      <c r="AV140" s="21">
        <f>100*(AV6-AV5)</f>
        <v/>
      </c>
      <c r="AW140" s="21">
        <f>100*(AW6-AW5)</f>
        <v/>
      </c>
      <c r="AX140" s="21">
        <f>100*(AX6-AX5)</f>
        <v/>
      </c>
      <c r="AY140" s="21">
        <f>100*(AY6-AY5)</f>
        <v/>
      </c>
      <c r="AZ140" s="21">
        <f>100*(AZ6-AZ5)</f>
        <v/>
      </c>
      <c r="BA140" s="21">
        <f>100*(BA6-BA5)</f>
        <v/>
      </c>
      <c r="BB140" s="21">
        <f>100*(BB6-BB5)</f>
        <v/>
      </c>
      <c r="BC140" s="21">
        <f>100*(BC6-BC5)</f>
        <v/>
      </c>
      <c r="BD140" s="21">
        <f>100*(BD6-BD5)</f>
        <v/>
      </c>
      <c r="BE140" s="21">
        <f>100*(BE6-BE5)</f>
        <v/>
      </c>
      <c r="BF140" s="21">
        <f>100*(BF6-BF5)</f>
        <v/>
      </c>
      <c r="BG140" s="21">
        <f>100*(BG6-BG5)</f>
        <v/>
      </c>
      <c r="BH140" s="21">
        <f>AVERAGE(C140:BG140)</f>
        <v/>
      </c>
    </row>
    <row r="141">
      <c r="A141" s="19">
        <f>A7</f>
        <v/>
      </c>
      <c r="B141" s="20">
        <f>B7</f>
        <v/>
      </c>
      <c r="C141" s="21">
        <f>100*(C7-C6)</f>
        <v/>
      </c>
      <c r="D141" s="21">
        <f>100*(D7-D6)</f>
        <v/>
      </c>
      <c r="E141" s="21">
        <f>100*(E7-E6)</f>
        <v/>
      </c>
      <c r="F141" s="21">
        <f>100*(F7-F6)</f>
        <v/>
      </c>
      <c r="G141" s="21">
        <f>100*(G7-G6)</f>
        <v/>
      </c>
      <c r="H141" s="21">
        <f>100*(H7-H6)</f>
        <v/>
      </c>
      <c r="I141" s="21">
        <f>100*(I7-I6)</f>
        <v/>
      </c>
      <c r="J141" s="21">
        <f>100*(J7-J6)</f>
        <v/>
      </c>
      <c r="K141" s="21">
        <f>100*(K7-K6)</f>
        <v/>
      </c>
      <c r="L141" s="21">
        <f>100*(L7-L6)</f>
        <v/>
      </c>
      <c r="M141" s="21">
        <f>100*(M7-M6)</f>
        <v/>
      </c>
      <c r="N141" s="21">
        <f>100*(N7-N6)</f>
        <v/>
      </c>
      <c r="O141" s="21">
        <f>100*(O7-O6)</f>
        <v/>
      </c>
      <c r="P141" s="21">
        <f>100*(P7-P6)</f>
        <v/>
      </c>
      <c r="Q141" s="21">
        <f>100*(Q7-Q6)</f>
        <v/>
      </c>
      <c r="R141" s="21">
        <f>100*(R7-R6)</f>
        <v/>
      </c>
      <c r="S141" s="21">
        <f>100*(S7-S6)</f>
        <v/>
      </c>
      <c r="T141" s="21">
        <f>100*(T7-T6)</f>
        <v/>
      </c>
      <c r="U141" s="21">
        <f>100*(U7-U6)</f>
        <v/>
      </c>
      <c r="V141" s="21">
        <f>100*(V7-V6)</f>
        <v/>
      </c>
      <c r="W141" s="21">
        <f>100*(W7-W6)</f>
        <v/>
      </c>
      <c r="X141" s="21">
        <f>100*(X7-X6)</f>
        <v/>
      </c>
      <c r="Y141" s="21">
        <f>100*(Y7-Y6)</f>
        <v/>
      </c>
      <c r="Z141" s="21">
        <f>100*(Z7-Z6)</f>
        <v/>
      </c>
      <c r="AA141" s="21">
        <f>100*(AA7-AA6)</f>
        <v/>
      </c>
      <c r="AB141" s="21">
        <f>100*(AB7-AB6)</f>
        <v/>
      </c>
      <c r="AC141" s="21">
        <f>100*(AC7-AC6)</f>
        <v/>
      </c>
      <c r="AD141" s="21">
        <f>100*(AD7-AD6)</f>
        <v/>
      </c>
      <c r="AE141" s="21">
        <f>100*(AE7-AE6)</f>
        <v/>
      </c>
      <c r="AF141" s="21">
        <f>100*(AF7-AF6)</f>
        <v/>
      </c>
      <c r="AG141" s="21">
        <f>100*(AG7-AG6)</f>
        <v/>
      </c>
      <c r="AH141" s="21">
        <f>100*(AH7-AH6)</f>
        <v/>
      </c>
      <c r="AI141" s="21">
        <f>100*(AI7-AI6)</f>
        <v/>
      </c>
      <c r="AJ141" s="21">
        <f>100*(AJ7-AJ6)</f>
        <v/>
      </c>
      <c r="AK141" s="21">
        <f>100*(AK7-AK6)</f>
        <v/>
      </c>
      <c r="AL141" s="21">
        <f>100*(AL7-AL6)</f>
        <v/>
      </c>
      <c r="AM141" s="21">
        <f>100*(AM7-AM6)</f>
        <v/>
      </c>
      <c r="AN141" s="21">
        <f>100*(AN7-AN6)</f>
        <v/>
      </c>
      <c r="AO141" s="21">
        <f>100*(AO7-AO6)</f>
        <v/>
      </c>
      <c r="AP141" s="21">
        <f>100*(AP7-AP6)</f>
        <v/>
      </c>
      <c r="AQ141" s="21">
        <f>100*(AQ7-AQ6)</f>
        <v/>
      </c>
      <c r="AR141" s="21">
        <f>100*(AR7-AR6)</f>
        <v/>
      </c>
      <c r="AS141" s="21">
        <f>100*(AS7-AS6)</f>
        <v/>
      </c>
      <c r="AT141" s="21">
        <f>100*(AT7-AT6)</f>
        <v/>
      </c>
      <c r="AU141" s="21">
        <f>100*(AU7-AU6)</f>
        <v/>
      </c>
      <c r="AV141" s="21">
        <f>100*(AV7-AV6)</f>
        <v/>
      </c>
      <c r="AW141" s="21">
        <f>100*(AW7-AW6)</f>
        <v/>
      </c>
      <c r="AX141" s="21">
        <f>100*(AX7-AX6)</f>
        <v/>
      </c>
      <c r="AY141" s="21">
        <f>100*(AY7-AY6)</f>
        <v/>
      </c>
      <c r="AZ141" s="21">
        <f>100*(AZ7-AZ6)</f>
        <v/>
      </c>
      <c r="BA141" s="21">
        <f>100*(BA7-BA6)</f>
        <v/>
      </c>
      <c r="BB141" s="21">
        <f>100*(BB7-BB6)</f>
        <v/>
      </c>
      <c r="BC141" s="21">
        <f>100*(BC7-BC6)</f>
        <v/>
      </c>
      <c r="BD141" s="21">
        <f>100*(BD7-BD6)</f>
        <v/>
      </c>
      <c r="BE141" s="21">
        <f>100*(BE7-BE6)</f>
        <v/>
      </c>
      <c r="BF141" s="21">
        <f>100*(BF7-BF6)</f>
        <v/>
      </c>
      <c r="BG141" s="21">
        <f>100*(BG7-BG6)</f>
        <v/>
      </c>
      <c r="BH141" s="21">
        <f>AVERAGE(C141:BG141)</f>
        <v/>
      </c>
    </row>
    <row r="142">
      <c r="A142" s="19">
        <f>A8</f>
        <v/>
      </c>
      <c r="B142" s="20">
        <f>B8</f>
        <v/>
      </c>
      <c r="C142" s="21">
        <f>100*(C8-C7)</f>
        <v/>
      </c>
      <c r="D142" s="21">
        <f>100*(D8-D7)</f>
        <v/>
      </c>
      <c r="E142" s="21">
        <f>100*(E8-E7)</f>
        <v/>
      </c>
      <c r="F142" s="21">
        <f>100*(F8-F7)</f>
        <v/>
      </c>
      <c r="G142" s="21">
        <f>100*(G8-G7)</f>
        <v/>
      </c>
      <c r="H142" s="21">
        <f>100*(H8-H7)</f>
        <v/>
      </c>
      <c r="I142" s="21">
        <f>100*(I8-I7)</f>
        <v/>
      </c>
      <c r="J142" s="21">
        <f>100*(J8-J7)</f>
        <v/>
      </c>
      <c r="K142" s="21">
        <f>100*(K8-K7)</f>
        <v/>
      </c>
      <c r="L142" s="21">
        <f>100*(L8-L7)</f>
        <v/>
      </c>
      <c r="M142" s="21">
        <f>100*(M8-M7)</f>
        <v/>
      </c>
      <c r="N142" s="21">
        <f>100*(N8-N7)</f>
        <v/>
      </c>
      <c r="O142" s="21">
        <f>100*(O8-O7)</f>
        <v/>
      </c>
      <c r="P142" s="21">
        <f>100*(P8-P7)</f>
        <v/>
      </c>
      <c r="Q142" s="21">
        <f>100*(Q8-Q7)</f>
        <v/>
      </c>
      <c r="R142" s="21">
        <f>100*(R8-R7)</f>
        <v/>
      </c>
      <c r="S142" s="21">
        <f>100*(S8-S7)</f>
        <v/>
      </c>
      <c r="T142" s="21">
        <f>100*(T8-T7)</f>
        <v/>
      </c>
      <c r="U142" s="21">
        <f>100*(U8-U7)</f>
        <v/>
      </c>
      <c r="V142" s="21">
        <f>100*(V8-V7)</f>
        <v/>
      </c>
      <c r="W142" s="21">
        <f>100*(W8-W7)</f>
        <v/>
      </c>
      <c r="X142" s="21">
        <f>100*(X8-X7)</f>
        <v/>
      </c>
      <c r="Y142" s="21">
        <f>100*(Y8-Y7)</f>
        <v/>
      </c>
      <c r="Z142" s="21">
        <f>100*(Z8-Z7)</f>
        <v/>
      </c>
      <c r="AA142" s="21">
        <f>100*(AA8-AA7)</f>
        <v/>
      </c>
      <c r="AB142" s="21">
        <f>100*(AB8-AB7)</f>
        <v/>
      </c>
      <c r="AC142" s="21">
        <f>100*(AC8-AC7)</f>
        <v/>
      </c>
      <c r="AD142" s="21">
        <f>100*(AD8-AD7)</f>
        <v/>
      </c>
      <c r="AE142" s="21">
        <f>100*(AE8-AE7)</f>
        <v/>
      </c>
      <c r="AF142" s="21">
        <f>100*(AF8-AF7)</f>
        <v/>
      </c>
      <c r="AG142" s="21">
        <f>100*(AG8-AG7)</f>
        <v/>
      </c>
      <c r="AH142" s="21">
        <f>100*(AH8-AH7)</f>
        <v/>
      </c>
      <c r="AI142" s="21">
        <f>100*(AI8-AI7)</f>
        <v/>
      </c>
      <c r="AJ142" s="21">
        <f>100*(AJ8-AJ7)</f>
        <v/>
      </c>
      <c r="AK142" s="21">
        <f>100*(AK8-AK7)</f>
        <v/>
      </c>
      <c r="AL142" s="21">
        <f>100*(AL8-AL7)</f>
        <v/>
      </c>
      <c r="AM142" s="21">
        <f>100*(AM8-AM7)</f>
        <v/>
      </c>
      <c r="AN142" s="21">
        <f>100*(AN8-AN7)</f>
        <v/>
      </c>
      <c r="AO142" s="21">
        <f>100*(AO8-AO7)</f>
        <v/>
      </c>
      <c r="AP142" s="21">
        <f>100*(AP8-AP7)</f>
        <v/>
      </c>
      <c r="AQ142" s="21">
        <f>100*(AQ8-AQ7)</f>
        <v/>
      </c>
      <c r="AR142" s="21">
        <f>100*(AR8-AR7)</f>
        <v/>
      </c>
      <c r="AS142" s="21">
        <f>100*(AS8-AS7)</f>
        <v/>
      </c>
      <c r="AT142" s="21">
        <f>100*(AT8-AT7)</f>
        <v/>
      </c>
      <c r="AU142" s="21">
        <f>100*(AU8-AU7)</f>
        <v/>
      </c>
      <c r="AV142" s="21">
        <f>100*(AV8-AV7)</f>
        <v/>
      </c>
      <c r="AW142" s="21">
        <f>100*(AW8-AW7)</f>
        <v/>
      </c>
      <c r="AX142" s="21">
        <f>100*(AX8-AX7)</f>
        <v/>
      </c>
      <c r="AY142" s="21">
        <f>100*(AY8-AY7)</f>
        <v/>
      </c>
      <c r="AZ142" s="21">
        <f>100*(AZ8-AZ7)</f>
        <v/>
      </c>
      <c r="BA142" s="21">
        <f>100*(BA8-BA7)</f>
        <v/>
      </c>
      <c r="BB142" s="21">
        <f>100*(BB8-BB7)</f>
        <v/>
      </c>
      <c r="BC142" s="21">
        <f>100*(BC8-BC7)</f>
        <v/>
      </c>
      <c r="BD142" s="21">
        <f>100*(BD8-BD7)</f>
        <v/>
      </c>
      <c r="BE142" s="21">
        <f>100*(BE8-BE7)</f>
        <v/>
      </c>
      <c r="BF142" s="21">
        <f>100*(BF8-BF7)</f>
        <v/>
      </c>
      <c r="BG142" s="21">
        <f>100*(BG8-BG7)</f>
        <v/>
      </c>
      <c r="BH142" s="21">
        <f>AVERAGE(C142:BG142)</f>
        <v/>
      </c>
    </row>
    <row r="143">
      <c r="A143" s="19">
        <f>A9</f>
        <v/>
      </c>
      <c r="B143" s="20">
        <f>B9</f>
        <v/>
      </c>
      <c r="C143" s="21">
        <f>100*(C9-C8)</f>
        <v/>
      </c>
      <c r="D143" s="21">
        <f>100*(D9-D8)</f>
        <v/>
      </c>
      <c r="E143" s="21">
        <f>100*(E9-E8)</f>
        <v/>
      </c>
      <c r="F143" s="21">
        <f>100*(F9-F8)</f>
        <v/>
      </c>
      <c r="G143" s="21">
        <f>100*(G9-G8)</f>
        <v/>
      </c>
      <c r="H143" s="21">
        <f>100*(H9-H8)</f>
        <v/>
      </c>
      <c r="I143" s="21">
        <f>100*(I9-I8)</f>
        <v/>
      </c>
      <c r="J143" s="21">
        <f>100*(J9-J8)</f>
        <v/>
      </c>
      <c r="K143" s="21">
        <f>100*(K9-K8)</f>
        <v/>
      </c>
      <c r="L143" s="21">
        <f>100*(L9-L8)</f>
        <v/>
      </c>
      <c r="M143" s="21">
        <f>100*(M9-M8)</f>
        <v/>
      </c>
      <c r="N143" s="21">
        <f>100*(N9-N8)</f>
        <v/>
      </c>
      <c r="O143" s="21">
        <f>100*(O9-O8)</f>
        <v/>
      </c>
      <c r="P143" s="21">
        <f>100*(P9-P8)</f>
        <v/>
      </c>
      <c r="Q143" s="21">
        <f>100*(Q9-Q8)</f>
        <v/>
      </c>
      <c r="R143" s="21">
        <f>100*(R9-R8)</f>
        <v/>
      </c>
      <c r="S143" s="21">
        <f>100*(S9-S8)</f>
        <v/>
      </c>
      <c r="T143" s="21">
        <f>100*(T9-T8)</f>
        <v/>
      </c>
      <c r="U143" s="21">
        <f>100*(U9-U8)</f>
        <v/>
      </c>
      <c r="V143" s="21">
        <f>100*(V9-V8)</f>
        <v/>
      </c>
      <c r="W143" s="21">
        <f>100*(W9-W8)</f>
        <v/>
      </c>
      <c r="X143" s="21">
        <f>100*(X9-X8)</f>
        <v/>
      </c>
      <c r="Y143" s="21">
        <f>100*(Y9-Y8)</f>
        <v/>
      </c>
      <c r="Z143" s="21">
        <f>100*(Z9-Z8)</f>
        <v/>
      </c>
      <c r="AA143" s="21">
        <f>100*(AA9-AA8)</f>
        <v/>
      </c>
      <c r="AB143" s="21">
        <f>100*(AB9-AB8)</f>
        <v/>
      </c>
      <c r="AC143" s="21">
        <f>100*(AC9-AC8)</f>
        <v/>
      </c>
      <c r="AD143" s="21">
        <f>100*(AD9-AD8)</f>
        <v/>
      </c>
      <c r="AE143" s="21">
        <f>100*(AE9-AE8)</f>
        <v/>
      </c>
      <c r="AF143" s="21">
        <f>100*(AF9-AF8)</f>
        <v/>
      </c>
      <c r="AG143" s="21">
        <f>100*(AG9-AG8)</f>
        <v/>
      </c>
      <c r="AH143" s="21">
        <f>100*(AH9-AH8)</f>
        <v/>
      </c>
      <c r="AI143" s="21">
        <f>100*(AI9-AI8)</f>
        <v/>
      </c>
      <c r="AJ143" s="21">
        <f>100*(AJ9-AJ8)</f>
        <v/>
      </c>
      <c r="AK143" s="21">
        <f>100*(AK9-AK8)</f>
        <v/>
      </c>
      <c r="AL143" s="21">
        <f>100*(AL9-AL8)</f>
        <v/>
      </c>
      <c r="AM143" s="21">
        <f>100*(AM9-AM8)</f>
        <v/>
      </c>
      <c r="AN143" s="21">
        <f>100*(AN9-AN8)</f>
        <v/>
      </c>
      <c r="AO143" s="21">
        <f>100*(AO9-AO8)</f>
        <v/>
      </c>
      <c r="AP143" s="21">
        <f>100*(AP9-AP8)</f>
        <v/>
      </c>
      <c r="AQ143" s="21">
        <f>100*(AQ9-AQ8)</f>
        <v/>
      </c>
      <c r="AR143" s="21">
        <f>100*(AR9-AR8)</f>
        <v/>
      </c>
      <c r="AS143" s="21">
        <f>100*(AS9-AS8)</f>
        <v/>
      </c>
      <c r="AT143" s="21">
        <f>100*(AT9-AT8)</f>
        <v/>
      </c>
      <c r="AU143" s="21">
        <f>100*(AU9-AU8)</f>
        <v/>
      </c>
      <c r="AV143" s="21">
        <f>100*(AV9-AV8)</f>
        <v/>
      </c>
      <c r="AW143" s="21">
        <f>100*(AW9-AW8)</f>
        <v/>
      </c>
      <c r="AX143" s="21">
        <f>100*(AX9-AX8)</f>
        <v/>
      </c>
      <c r="AY143" s="21">
        <f>100*(AY9-AY8)</f>
        <v/>
      </c>
      <c r="AZ143" s="21">
        <f>100*(AZ9-AZ8)</f>
        <v/>
      </c>
      <c r="BA143" s="21">
        <f>100*(BA9-BA8)</f>
        <v/>
      </c>
      <c r="BB143" s="21">
        <f>100*(BB9-BB8)</f>
        <v/>
      </c>
      <c r="BC143" s="21">
        <f>100*(BC9-BC8)</f>
        <v/>
      </c>
      <c r="BD143" s="21">
        <f>100*(BD9-BD8)</f>
        <v/>
      </c>
      <c r="BE143" s="21">
        <f>100*(BE9-BE8)</f>
        <v/>
      </c>
      <c r="BF143" s="21">
        <f>100*(BF9-BF8)</f>
        <v/>
      </c>
      <c r="BG143" s="21">
        <f>100*(BG9-BG8)</f>
        <v/>
      </c>
      <c r="BH143" s="21">
        <f>AVERAGE(C143:BG143)</f>
        <v/>
      </c>
    </row>
    <row r="144">
      <c r="A144" s="19">
        <f>A10</f>
        <v/>
      </c>
      <c r="B144" s="20">
        <f>B10</f>
        <v/>
      </c>
      <c r="C144" s="21">
        <f>100*(C10-C9)</f>
        <v/>
      </c>
      <c r="D144" s="21">
        <f>100*(D10-D9)</f>
        <v/>
      </c>
      <c r="E144" s="21">
        <f>100*(E10-E9)</f>
        <v/>
      </c>
      <c r="F144" s="21">
        <f>100*(F10-F9)</f>
        <v/>
      </c>
      <c r="G144" s="21">
        <f>100*(G10-G9)</f>
        <v/>
      </c>
      <c r="H144" s="21">
        <f>100*(H10-H9)</f>
        <v/>
      </c>
      <c r="I144" s="21">
        <f>100*(I10-I9)</f>
        <v/>
      </c>
      <c r="J144" s="21">
        <f>100*(J10-J9)</f>
        <v/>
      </c>
      <c r="K144" s="21">
        <f>100*(K10-K9)</f>
        <v/>
      </c>
      <c r="L144" s="21">
        <f>100*(L10-L9)</f>
        <v/>
      </c>
      <c r="M144" s="21">
        <f>100*(M10-M9)</f>
        <v/>
      </c>
      <c r="N144" s="21">
        <f>100*(N10-N9)</f>
        <v/>
      </c>
      <c r="O144" s="21">
        <f>100*(O10-O9)</f>
        <v/>
      </c>
      <c r="P144" s="21">
        <f>100*(P10-P9)</f>
        <v/>
      </c>
      <c r="Q144" s="21">
        <f>100*(Q10-Q9)</f>
        <v/>
      </c>
      <c r="R144" s="21">
        <f>100*(R10-R9)</f>
        <v/>
      </c>
      <c r="S144" s="21">
        <f>100*(S10-S9)</f>
        <v/>
      </c>
      <c r="T144" s="21">
        <f>100*(T10-T9)</f>
        <v/>
      </c>
      <c r="U144" s="21">
        <f>100*(U10-U9)</f>
        <v/>
      </c>
      <c r="V144" s="21">
        <f>100*(V10-V9)</f>
        <v/>
      </c>
      <c r="W144" s="21">
        <f>100*(W10-W9)</f>
        <v/>
      </c>
      <c r="X144" s="21">
        <f>100*(X10-X9)</f>
        <v/>
      </c>
      <c r="Y144" s="21">
        <f>100*(Y10-Y9)</f>
        <v/>
      </c>
      <c r="Z144" s="21">
        <f>100*(Z10-Z9)</f>
        <v/>
      </c>
      <c r="AA144" s="21">
        <f>100*(AA10-AA9)</f>
        <v/>
      </c>
      <c r="AB144" s="21">
        <f>100*(AB10-AB9)</f>
        <v/>
      </c>
      <c r="AC144" s="21">
        <f>100*(AC10-AC9)</f>
        <v/>
      </c>
      <c r="AD144" s="21">
        <f>100*(AD10-AD9)</f>
        <v/>
      </c>
      <c r="AE144" s="21">
        <f>100*(AE10-AE9)</f>
        <v/>
      </c>
      <c r="AF144" s="21">
        <f>100*(AF10-AF9)</f>
        <v/>
      </c>
      <c r="AG144" s="21">
        <f>100*(AG10-AG9)</f>
        <v/>
      </c>
      <c r="AH144" s="21">
        <f>100*(AH10-AH9)</f>
        <v/>
      </c>
      <c r="AI144" s="21">
        <f>100*(AI10-AI9)</f>
        <v/>
      </c>
      <c r="AJ144" s="21">
        <f>100*(AJ10-AJ9)</f>
        <v/>
      </c>
      <c r="AK144" s="21">
        <f>100*(AK10-AK9)</f>
        <v/>
      </c>
      <c r="AL144" s="21">
        <f>100*(AL10-AL9)</f>
        <v/>
      </c>
      <c r="AM144" s="21">
        <f>100*(AM10-AM9)</f>
        <v/>
      </c>
      <c r="AN144" s="21">
        <f>100*(AN10-AN9)</f>
        <v/>
      </c>
      <c r="AO144" s="21">
        <f>100*(AO10-AO9)</f>
        <v/>
      </c>
      <c r="AP144" s="21">
        <f>100*(AP10-AP9)</f>
        <v/>
      </c>
      <c r="AQ144" s="21">
        <f>100*(AQ10-AQ9)</f>
        <v/>
      </c>
      <c r="AR144" s="21">
        <f>100*(AR10-AR9)</f>
        <v/>
      </c>
      <c r="AS144" s="21">
        <f>100*(AS10-AS9)</f>
        <v/>
      </c>
      <c r="AT144" s="21">
        <f>100*(AT10-AT9)</f>
        <v/>
      </c>
      <c r="AU144" s="21">
        <f>100*(AU10-AU9)</f>
        <v/>
      </c>
      <c r="AV144" s="21">
        <f>100*(AV10-AV9)</f>
        <v/>
      </c>
      <c r="AW144" s="21">
        <f>100*(AW10-AW9)</f>
        <v/>
      </c>
      <c r="AX144" s="21">
        <f>100*(AX10-AX9)</f>
        <v/>
      </c>
      <c r="AY144" s="21">
        <f>100*(AY10-AY9)</f>
        <v/>
      </c>
      <c r="AZ144" s="21">
        <f>100*(AZ10-AZ9)</f>
        <v/>
      </c>
      <c r="BA144" s="21">
        <f>100*(BA10-BA9)</f>
        <v/>
      </c>
      <c r="BB144" s="21">
        <f>100*(BB10-BB9)</f>
        <v/>
      </c>
      <c r="BC144" s="21">
        <f>100*(BC10-BC9)</f>
        <v/>
      </c>
      <c r="BD144" s="21">
        <f>100*(BD10-BD9)</f>
        <v/>
      </c>
      <c r="BE144" s="21">
        <f>100*(BE10-BE9)</f>
        <v/>
      </c>
      <c r="BF144" s="21">
        <f>100*(BF10-BF9)</f>
        <v/>
      </c>
      <c r="BG144" s="21">
        <f>100*(BG10-BG9)</f>
        <v/>
      </c>
      <c r="BH144" s="21">
        <f>AVERAGE(C144:BG144)</f>
        <v/>
      </c>
    </row>
    <row r="145">
      <c r="A145" s="19">
        <f>A11</f>
        <v/>
      </c>
      <c r="B145" s="20">
        <f>B11</f>
        <v/>
      </c>
      <c r="C145" s="21">
        <f>100*(C11-C10)</f>
        <v/>
      </c>
      <c r="D145" s="21">
        <f>100*(D11-D10)</f>
        <v/>
      </c>
      <c r="E145" s="21">
        <f>100*(E11-E10)</f>
        <v/>
      </c>
      <c r="F145" s="21">
        <f>100*(F11-F10)</f>
        <v/>
      </c>
      <c r="G145" s="21">
        <f>100*(G11-G10)</f>
        <v/>
      </c>
      <c r="H145" s="21">
        <f>100*(H11-H10)</f>
        <v/>
      </c>
      <c r="I145" s="21">
        <f>100*(I11-I10)</f>
        <v/>
      </c>
      <c r="J145" s="21">
        <f>100*(J11-J10)</f>
        <v/>
      </c>
      <c r="K145" s="21">
        <f>100*(K11-K10)</f>
        <v/>
      </c>
      <c r="L145" s="21">
        <f>100*(L11-L10)</f>
        <v/>
      </c>
      <c r="M145" s="21">
        <f>100*(M11-M10)</f>
        <v/>
      </c>
      <c r="N145" s="21">
        <f>100*(N11-N10)</f>
        <v/>
      </c>
      <c r="O145" s="21">
        <f>100*(O11-O10)</f>
        <v/>
      </c>
      <c r="P145" s="21">
        <f>100*(P11-P10)</f>
        <v/>
      </c>
      <c r="Q145" s="21">
        <f>100*(Q11-Q10)</f>
        <v/>
      </c>
      <c r="R145" s="21">
        <f>100*(R11-R10)</f>
        <v/>
      </c>
      <c r="S145" s="21">
        <f>100*(S11-S10)</f>
        <v/>
      </c>
      <c r="T145" s="21">
        <f>100*(T11-T10)</f>
        <v/>
      </c>
      <c r="U145" s="21">
        <f>100*(U11-U10)</f>
        <v/>
      </c>
      <c r="V145" s="21">
        <f>100*(V11-V10)</f>
        <v/>
      </c>
      <c r="W145" s="21">
        <f>100*(W11-W10)</f>
        <v/>
      </c>
      <c r="X145" s="21">
        <f>100*(X11-X10)</f>
        <v/>
      </c>
      <c r="Y145" s="21">
        <f>100*(Y11-Y10)</f>
        <v/>
      </c>
      <c r="Z145" s="21">
        <f>100*(Z11-Z10)</f>
        <v/>
      </c>
      <c r="AA145" s="21">
        <f>100*(AA11-AA10)</f>
        <v/>
      </c>
      <c r="AB145" s="21">
        <f>100*(AB11-AB10)</f>
        <v/>
      </c>
      <c r="AC145" s="21">
        <f>100*(AC11-AC10)</f>
        <v/>
      </c>
      <c r="AD145" s="21">
        <f>100*(AD11-AD10)</f>
        <v/>
      </c>
      <c r="AE145" s="21">
        <f>100*(AE11-AE10)</f>
        <v/>
      </c>
      <c r="AF145" s="21">
        <f>100*(AF11-AF10)</f>
        <v/>
      </c>
      <c r="AG145" s="21">
        <f>100*(AG11-AG10)</f>
        <v/>
      </c>
      <c r="AH145" s="21">
        <f>100*(AH11-AH10)</f>
        <v/>
      </c>
      <c r="AI145" s="21">
        <f>100*(AI11-AI10)</f>
        <v/>
      </c>
      <c r="AJ145" s="21">
        <f>100*(AJ11-AJ10)</f>
        <v/>
      </c>
      <c r="AK145" s="21">
        <f>100*(AK11-AK10)</f>
        <v/>
      </c>
      <c r="AL145" s="21">
        <f>100*(AL11-AL10)</f>
        <v/>
      </c>
      <c r="AM145" s="21">
        <f>100*(AM11-AM10)</f>
        <v/>
      </c>
      <c r="AN145" s="21">
        <f>100*(AN11-AN10)</f>
        <v/>
      </c>
      <c r="AO145" s="21">
        <f>100*(AO11-AO10)</f>
        <v/>
      </c>
      <c r="AP145" s="21">
        <f>100*(AP11-AP10)</f>
        <v/>
      </c>
      <c r="AQ145" s="21">
        <f>100*(AQ11-AQ10)</f>
        <v/>
      </c>
      <c r="AR145" s="21">
        <f>100*(AR11-AR10)</f>
        <v/>
      </c>
      <c r="AS145" s="21">
        <f>100*(AS11-AS10)</f>
        <v/>
      </c>
      <c r="AT145" s="21">
        <f>100*(AT11-AT10)</f>
        <v/>
      </c>
      <c r="AU145" s="21">
        <f>100*(AU11-AU10)</f>
        <v/>
      </c>
      <c r="AV145" s="21">
        <f>100*(AV11-AV10)</f>
        <v/>
      </c>
      <c r="AW145" s="21">
        <f>100*(AW11-AW10)</f>
        <v/>
      </c>
      <c r="AX145" s="21">
        <f>100*(AX11-AX10)</f>
        <v/>
      </c>
      <c r="AY145" s="21">
        <f>100*(AY11-AY10)</f>
        <v/>
      </c>
      <c r="AZ145" s="21">
        <f>100*(AZ11-AZ10)</f>
        <v/>
      </c>
      <c r="BA145" s="21">
        <f>100*(BA11-BA10)</f>
        <v/>
      </c>
      <c r="BB145" s="21">
        <f>100*(BB11-BB10)</f>
        <v/>
      </c>
      <c r="BC145" s="21">
        <f>100*(BC11-BC10)</f>
        <v/>
      </c>
      <c r="BD145" s="21">
        <f>100*(BD11-BD10)</f>
        <v/>
      </c>
      <c r="BE145" s="21">
        <f>100*(BE11-BE10)</f>
        <v/>
      </c>
      <c r="BF145" s="21">
        <f>100*(BF11-BF10)</f>
        <v/>
      </c>
      <c r="BG145" s="21">
        <f>100*(BG11-BG10)</f>
        <v/>
      </c>
      <c r="BH145" s="21">
        <f>AVERAGE(C145:BG145)</f>
        <v/>
      </c>
    </row>
    <row r="146">
      <c r="A146" s="19">
        <f>A12</f>
        <v/>
      </c>
      <c r="B146" s="20">
        <f>B12</f>
        <v/>
      </c>
      <c r="C146" s="21">
        <f>100*(C12-C11)</f>
        <v/>
      </c>
      <c r="D146" s="21">
        <f>100*(D12-D11)</f>
        <v/>
      </c>
      <c r="E146" s="21">
        <f>100*(E12-E11)</f>
        <v/>
      </c>
      <c r="F146" s="21">
        <f>100*(F12-F11)</f>
        <v/>
      </c>
      <c r="G146" s="21">
        <f>100*(G12-G11)</f>
        <v/>
      </c>
      <c r="H146" s="21">
        <f>100*(H12-H11)</f>
        <v/>
      </c>
      <c r="I146" s="21">
        <f>100*(I12-I11)</f>
        <v/>
      </c>
      <c r="J146" s="21">
        <f>100*(J12-J11)</f>
        <v/>
      </c>
      <c r="K146" s="21">
        <f>100*(K12-K11)</f>
        <v/>
      </c>
      <c r="L146" s="21">
        <f>100*(L12-L11)</f>
        <v/>
      </c>
      <c r="M146" s="21">
        <f>100*(M12-M11)</f>
        <v/>
      </c>
      <c r="N146" s="21">
        <f>100*(N12-N11)</f>
        <v/>
      </c>
      <c r="O146" s="21">
        <f>100*(O12-O11)</f>
        <v/>
      </c>
      <c r="P146" s="21">
        <f>100*(P12-P11)</f>
        <v/>
      </c>
      <c r="Q146" s="21">
        <f>100*(Q12-Q11)</f>
        <v/>
      </c>
      <c r="R146" s="21">
        <f>100*(R12-R11)</f>
        <v/>
      </c>
      <c r="S146" s="21">
        <f>100*(S12-S11)</f>
        <v/>
      </c>
      <c r="T146" s="21">
        <f>100*(T12-T11)</f>
        <v/>
      </c>
      <c r="U146" s="21">
        <f>100*(U12-U11)</f>
        <v/>
      </c>
      <c r="V146" s="21">
        <f>100*(V12-V11)</f>
        <v/>
      </c>
      <c r="W146" s="21">
        <f>100*(W12-W11)</f>
        <v/>
      </c>
      <c r="X146" s="21">
        <f>100*(X12-X11)</f>
        <v/>
      </c>
      <c r="Y146" s="21">
        <f>100*(Y12-Y11)</f>
        <v/>
      </c>
      <c r="Z146" s="21">
        <f>100*(Z12-Z11)</f>
        <v/>
      </c>
      <c r="AA146" s="21">
        <f>100*(AA12-AA11)</f>
        <v/>
      </c>
      <c r="AB146" s="21">
        <f>100*(AB12-AB11)</f>
        <v/>
      </c>
      <c r="AC146" s="21">
        <f>100*(AC12-AC11)</f>
        <v/>
      </c>
      <c r="AD146" s="21">
        <f>100*(AD12-AD11)</f>
        <v/>
      </c>
      <c r="AE146" s="21">
        <f>100*(AE12-AE11)</f>
        <v/>
      </c>
      <c r="AF146" s="21">
        <f>100*(AF12-AF11)</f>
        <v/>
      </c>
      <c r="AG146" s="21">
        <f>100*(AG12-AG11)</f>
        <v/>
      </c>
      <c r="AH146" s="21">
        <f>100*(AH12-AH11)</f>
        <v/>
      </c>
      <c r="AI146" s="21">
        <f>100*(AI12-AI11)</f>
        <v/>
      </c>
      <c r="AJ146" s="21">
        <f>100*(AJ12-AJ11)</f>
        <v/>
      </c>
      <c r="AK146" s="21">
        <f>100*(AK12-AK11)</f>
        <v/>
      </c>
      <c r="AL146" s="21">
        <f>100*(AL12-AL11)</f>
        <v/>
      </c>
      <c r="AM146" s="21">
        <f>100*(AM12-AM11)</f>
        <v/>
      </c>
      <c r="AN146" s="21">
        <f>100*(AN12-AN11)</f>
        <v/>
      </c>
      <c r="AO146" s="21">
        <f>100*(AO12-AO11)</f>
        <v/>
      </c>
      <c r="AP146" s="21">
        <f>100*(AP12-AP11)</f>
        <v/>
      </c>
      <c r="AQ146" s="21">
        <f>100*(AQ12-AQ11)</f>
        <v/>
      </c>
      <c r="AR146" s="21">
        <f>100*(AR12-AR11)</f>
        <v/>
      </c>
      <c r="AS146" s="21">
        <f>100*(AS12-AS11)</f>
        <v/>
      </c>
      <c r="AT146" s="21">
        <f>100*(AT12-AT11)</f>
        <v/>
      </c>
      <c r="AU146" s="21">
        <f>100*(AU12-AU11)</f>
        <v/>
      </c>
      <c r="AV146" s="21">
        <f>100*(AV12-AV11)</f>
        <v/>
      </c>
      <c r="AW146" s="21">
        <f>100*(AW12-AW11)</f>
        <v/>
      </c>
      <c r="AX146" s="21">
        <f>100*(AX12-AX11)</f>
        <v/>
      </c>
      <c r="AY146" s="21">
        <f>100*(AY12-AY11)</f>
        <v/>
      </c>
      <c r="AZ146" s="21">
        <f>100*(AZ12-AZ11)</f>
        <v/>
      </c>
      <c r="BA146" s="21">
        <f>100*(BA12-BA11)</f>
        <v/>
      </c>
      <c r="BB146" s="21">
        <f>100*(BB12-BB11)</f>
        <v/>
      </c>
      <c r="BC146" s="21">
        <f>100*(BC12-BC11)</f>
        <v/>
      </c>
      <c r="BD146" s="21">
        <f>100*(BD12-BD11)</f>
        <v/>
      </c>
      <c r="BE146" s="21">
        <f>100*(BE12-BE11)</f>
        <v/>
      </c>
      <c r="BF146" s="21">
        <f>100*(BF12-BF11)</f>
        <v/>
      </c>
      <c r="BG146" s="21">
        <f>100*(BG12-BG11)</f>
        <v/>
      </c>
      <c r="BH146" s="21">
        <f>AVERAGE(C146:BG146)</f>
        <v/>
      </c>
    </row>
    <row r="147">
      <c r="A147" s="19">
        <f>A13</f>
        <v/>
      </c>
      <c r="B147" s="20">
        <f>B13</f>
        <v/>
      </c>
      <c r="C147" s="21">
        <f>100*(C13-C12)</f>
        <v/>
      </c>
      <c r="D147" s="21">
        <f>100*(D13-D12)</f>
        <v/>
      </c>
      <c r="E147" s="21">
        <f>100*(E13-E12)</f>
        <v/>
      </c>
      <c r="F147" s="21">
        <f>100*(F13-F12)</f>
        <v/>
      </c>
      <c r="G147" s="21">
        <f>100*(G13-G12)</f>
        <v/>
      </c>
      <c r="H147" s="21">
        <f>100*(H13-H12)</f>
        <v/>
      </c>
      <c r="I147" s="21">
        <f>100*(I13-I12)</f>
        <v/>
      </c>
      <c r="J147" s="21">
        <f>100*(J13-J12)</f>
        <v/>
      </c>
      <c r="K147" s="21">
        <f>100*(K13-K12)</f>
        <v/>
      </c>
      <c r="L147" s="21">
        <f>100*(L13-L12)</f>
        <v/>
      </c>
      <c r="M147" s="21">
        <f>100*(M13-M12)</f>
        <v/>
      </c>
      <c r="N147" s="21">
        <f>100*(N13-N12)</f>
        <v/>
      </c>
      <c r="O147" s="21">
        <f>100*(O13-O12)</f>
        <v/>
      </c>
      <c r="P147" s="21">
        <f>100*(P13-P12)</f>
        <v/>
      </c>
      <c r="Q147" s="21">
        <f>100*(Q13-Q12)</f>
        <v/>
      </c>
      <c r="R147" s="21">
        <f>100*(R13-R12)</f>
        <v/>
      </c>
      <c r="S147" s="21">
        <f>100*(S13-S12)</f>
        <v/>
      </c>
      <c r="T147" s="21">
        <f>100*(T13-T12)</f>
        <v/>
      </c>
      <c r="U147" s="21">
        <f>100*(U13-U12)</f>
        <v/>
      </c>
      <c r="V147" s="21">
        <f>100*(V13-V12)</f>
        <v/>
      </c>
      <c r="W147" s="21">
        <f>100*(W13-W12)</f>
        <v/>
      </c>
      <c r="X147" s="21">
        <f>100*(X13-X12)</f>
        <v/>
      </c>
      <c r="Y147" s="21">
        <f>100*(Y13-Y12)</f>
        <v/>
      </c>
      <c r="Z147" s="21">
        <f>100*(Z13-Z12)</f>
        <v/>
      </c>
      <c r="AA147" s="21">
        <f>100*(AA13-AA12)</f>
        <v/>
      </c>
      <c r="AB147" s="21">
        <f>100*(AB13-AB12)</f>
        <v/>
      </c>
      <c r="AC147" s="21">
        <f>100*(AC13-AC12)</f>
        <v/>
      </c>
      <c r="AD147" s="21">
        <f>100*(AD13-AD12)</f>
        <v/>
      </c>
      <c r="AE147" s="21">
        <f>100*(AE13-AE12)</f>
        <v/>
      </c>
      <c r="AF147" s="21">
        <f>100*(AF13-AF12)</f>
        <v/>
      </c>
      <c r="AG147" s="21">
        <f>100*(AG13-AG12)</f>
        <v/>
      </c>
      <c r="AH147" s="21">
        <f>100*(AH13-AH12)</f>
        <v/>
      </c>
      <c r="AI147" s="21">
        <f>100*(AI13-AI12)</f>
        <v/>
      </c>
      <c r="AJ147" s="21">
        <f>100*(AJ13-AJ12)</f>
        <v/>
      </c>
      <c r="AK147" s="21">
        <f>100*(AK13-AK12)</f>
        <v/>
      </c>
      <c r="AL147" s="21">
        <f>100*(AL13-AL12)</f>
        <v/>
      </c>
      <c r="AM147" s="21">
        <f>100*(AM13-AM12)</f>
        <v/>
      </c>
      <c r="AN147" s="21">
        <f>100*(AN13-AN12)</f>
        <v/>
      </c>
      <c r="AO147" s="21">
        <f>100*(AO13-AO12)</f>
        <v/>
      </c>
      <c r="AP147" s="21">
        <f>100*(AP13-AP12)</f>
        <v/>
      </c>
      <c r="AQ147" s="21">
        <f>100*(AQ13-AQ12)</f>
        <v/>
      </c>
      <c r="AR147" s="21">
        <f>100*(AR13-AR12)</f>
        <v/>
      </c>
      <c r="AS147" s="21">
        <f>100*(AS13-AS12)</f>
        <v/>
      </c>
      <c r="AT147" s="21">
        <f>100*(AT13-AT12)</f>
        <v/>
      </c>
      <c r="AU147" s="21">
        <f>100*(AU13-AU12)</f>
        <v/>
      </c>
      <c r="AV147" s="21">
        <f>100*(AV13-AV12)</f>
        <v/>
      </c>
      <c r="AW147" s="21">
        <f>100*(AW13-AW12)</f>
        <v/>
      </c>
      <c r="AX147" s="21">
        <f>100*(AX13-AX12)</f>
        <v/>
      </c>
      <c r="AY147" s="21">
        <f>100*(AY13-AY12)</f>
        <v/>
      </c>
      <c r="AZ147" s="21">
        <f>100*(AZ13-AZ12)</f>
        <v/>
      </c>
      <c r="BA147" s="21">
        <f>100*(BA13-BA12)</f>
        <v/>
      </c>
      <c r="BB147" s="21">
        <f>100*(BB13-BB12)</f>
        <v/>
      </c>
      <c r="BC147" s="21">
        <f>100*(BC13-BC12)</f>
        <v/>
      </c>
      <c r="BD147" s="21">
        <f>100*(BD13-BD12)</f>
        <v/>
      </c>
      <c r="BE147" s="21">
        <f>100*(BE13-BE12)</f>
        <v/>
      </c>
      <c r="BF147" s="21">
        <f>100*(BF13-BF12)</f>
        <v/>
      </c>
      <c r="BG147" s="21">
        <f>100*(BG13-BG12)</f>
        <v/>
      </c>
      <c r="BH147" s="21">
        <f>AVERAGE(C147:BG147)</f>
        <v/>
      </c>
    </row>
    <row r="148">
      <c r="A148" s="19">
        <f>A14</f>
        <v/>
      </c>
      <c r="B148" s="20">
        <f>B14</f>
        <v/>
      </c>
      <c r="C148" s="21">
        <f>100*(C14-C13)</f>
        <v/>
      </c>
      <c r="D148" s="21">
        <f>100*(D14-D13)</f>
        <v/>
      </c>
      <c r="E148" s="21">
        <f>100*(E14-E13)</f>
        <v/>
      </c>
      <c r="F148" s="21">
        <f>100*(F14-F13)</f>
        <v/>
      </c>
      <c r="G148" s="21">
        <f>100*(G14-G13)</f>
        <v/>
      </c>
      <c r="H148" s="21">
        <f>100*(H14-H13)</f>
        <v/>
      </c>
      <c r="I148" s="21">
        <f>100*(I14-I13)</f>
        <v/>
      </c>
      <c r="J148" s="21">
        <f>100*(J14-J13)</f>
        <v/>
      </c>
      <c r="K148" s="21">
        <f>100*(K14-K13)</f>
        <v/>
      </c>
      <c r="L148" s="21">
        <f>100*(L14-L13)</f>
        <v/>
      </c>
      <c r="M148" s="21">
        <f>100*(M14-M13)</f>
        <v/>
      </c>
      <c r="N148" s="21">
        <f>100*(N14-N13)</f>
        <v/>
      </c>
      <c r="O148" s="21">
        <f>100*(O14-O13)</f>
        <v/>
      </c>
      <c r="P148" s="21">
        <f>100*(P14-P13)</f>
        <v/>
      </c>
      <c r="Q148" s="21">
        <f>100*(Q14-Q13)</f>
        <v/>
      </c>
      <c r="R148" s="21">
        <f>100*(R14-R13)</f>
        <v/>
      </c>
      <c r="S148" s="21">
        <f>100*(S14-S13)</f>
        <v/>
      </c>
      <c r="T148" s="21">
        <f>100*(T14-T13)</f>
        <v/>
      </c>
      <c r="U148" s="21">
        <f>100*(U14-U13)</f>
        <v/>
      </c>
      <c r="V148" s="21">
        <f>100*(V14-V13)</f>
        <v/>
      </c>
      <c r="W148" s="21">
        <f>100*(W14-W13)</f>
        <v/>
      </c>
      <c r="X148" s="21">
        <f>100*(X14-X13)</f>
        <v/>
      </c>
      <c r="Y148" s="21">
        <f>100*(Y14-Y13)</f>
        <v/>
      </c>
      <c r="Z148" s="21">
        <f>100*(Z14-Z13)</f>
        <v/>
      </c>
      <c r="AA148" s="21">
        <f>100*(AA14-AA13)</f>
        <v/>
      </c>
      <c r="AB148" s="21">
        <f>100*(AB14-AB13)</f>
        <v/>
      </c>
      <c r="AC148" s="21">
        <f>100*(AC14-AC13)</f>
        <v/>
      </c>
      <c r="AD148" s="21">
        <f>100*(AD14-AD13)</f>
        <v/>
      </c>
      <c r="AE148" s="21">
        <f>100*(AE14-AE13)</f>
        <v/>
      </c>
      <c r="AF148" s="21">
        <f>100*(AF14-AF13)</f>
        <v/>
      </c>
      <c r="AG148" s="21">
        <f>100*(AG14-AG13)</f>
        <v/>
      </c>
      <c r="AH148" s="21">
        <f>100*(AH14-AH13)</f>
        <v/>
      </c>
      <c r="AI148" s="21">
        <f>100*(AI14-AI13)</f>
        <v/>
      </c>
      <c r="AJ148" s="21">
        <f>100*(AJ14-AJ13)</f>
        <v/>
      </c>
      <c r="AK148" s="21">
        <f>100*(AK14-AK13)</f>
        <v/>
      </c>
      <c r="AL148" s="21">
        <f>100*(AL14-AL13)</f>
        <v/>
      </c>
      <c r="AM148" s="21">
        <f>100*(AM14-AM13)</f>
        <v/>
      </c>
      <c r="AN148" s="21">
        <f>100*(AN14-AN13)</f>
        <v/>
      </c>
      <c r="AO148" s="21">
        <f>100*(AO14-AO13)</f>
        <v/>
      </c>
      <c r="AP148" s="21">
        <f>100*(AP14-AP13)</f>
        <v/>
      </c>
      <c r="AQ148" s="21">
        <f>100*(AQ14-AQ13)</f>
        <v/>
      </c>
      <c r="AR148" s="21">
        <f>100*(AR14-AR13)</f>
        <v/>
      </c>
      <c r="AS148" s="21">
        <f>100*(AS14-AS13)</f>
        <v/>
      </c>
      <c r="AT148" s="21">
        <f>100*(AT14-AT13)</f>
        <v/>
      </c>
      <c r="AU148" s="21">
        <f>100*(AU14-AU13)</f>
        <v/>
      </c>
      <c r="AV148" s="21">
        <f>100*(AV14-AV13)</f>
        <v/>
      </c>
      <c r="AW148" s="21">
        <f>100*(AW14-AW13)</f>
        <v/>
      </c>
      <c r="AX148" s="21">
        <f>100*(AX14-AX13)</f>
        <v/>
      </c>
      <c r="AY148" s="21">
        <f>100*(AY14-AY13)</f>
        <v/>
      </c>
      <c r="AZ148" s="21">
        <f>100*(AZ14-AZ13)</f>
        <v/>
      </c>
      <c r="BA148" s="21">
        <f>100*(BA14-BA13)</f>
        <v/>
      </c>
      <c r="BB148" s="21">
        <f>100*(BB14-BB13)</f>
        <v/>
      </c>
      <c r="BC148" s="21">
        <f>100*(BC14-BC13)</f>
        <v/>
      </c>
      <c r="BD148" s="21">
        <f>100*(BD14-BD13)</f>
        <v/>
      </c>
      <c r="BE148" s="21">
        <f>100*(BE14-BE13)</f>
        <v/>
      </c>
      <c r="BF148" s="21">
        <f>100*(BF14-BF13)</f>
        <v/>
      </c>
      <c r="BG148" s="21">
        <f>100*(BG14-BG13)</f>
        <v/>
      </c>
      <c r="BH148" s="21">
        <f>AVERAGE(C148:BG148)</f>
        <v/>
      </c>
    </row>
    <row r="149">
      <c r="A149" s="19">
        <f>A15</f>
        <v/>
      </c>
      <c r="B149" s="20">
        <f>B15</f>
        <v/>
      </c>
      <c r="C149" s="21">
        <f>100*(C15-C14)</f>
        <v/>
      </c>
      <c r="D149" s="21">
        <f>100*(D15-D14)</f>
        <v/>
      </c>
      <c r="E149" s="21">
        <f>100*(E15-E14)</f>
        <v/>
      </c>
      <c r="F149" s="21">
        <f>100*(F15-F14)</f>
        <v/>
      </c>
      <c r="G149" s="21">
        <f>100*(G15-G14)</f>
        <v/>
      </c>
      <c r="H149" s="21">
        <f>100*(H15-H14)</f>
        <v/>
      </c>
      <c r="I149" s="21">
        <f>100*(I15-I14)</f>
        <v/>
      </c>
      <c r="J149" s="21">
        <f>100*(J15-J14)</f>
        <v/>
      </c>
      <c r="K149" s="21">
        <f>100*(K15-K14)</f>
        <v/>
      </c>
      <c r="L149" s="21">
        <f>100*(L15-L14)</f>
        <v/>
      </c>
      <c r="M149" s="21">
        <f>100*(M15-M14)</f>
        <v/>
      </c>
      <c r="N149" s="21">
        <f>100*(N15-N14)</f>
        <v/>
      </c>
      <c r="O149" s="21">
        <f>100*(O15-O14)</f>
        <v/>
      </c>
      <c r="P149" s="21">
        <f>100*(P15-P14)</f>
        <v/>
      </c>
      <c r="Q149" s="21">
        <f>100*(Q15-Q14)</f>
        <v/>
      </c>
      <c r="R149" s="21">
        <f>100*(R15-R14)</f>
        <v/>
      </c>
      <c r="S149" s="21">
        <f>100*(S15-S14)</f>
        <v/>
      </c>
      <c r="T149" s="21">
        <f>100*(T15-T14)</f>
        <v/>
      </c>
      <c r="U149" s="21">
        <f>100*(U15-U14)</f>
        <v/>
      </c>
      <c r="V149" s="21">
        <f>100*(V15-V14)</f>
        <v/>
      </c>
      <c r="W149" s="21">
        <f>100*(W15-W14)</f>
        <v/>
      </c>
      <c r="X149" s="21">
        <f>100*(X15-X14)</f>
        <v/>
      </c>
      <c r="Y149" s="21">
        <f>100*(Y15-Y14)</f>
        <v/>
      </c>
      <c r="Z149" s="21">
        <f>100*(Z15-Z14)</f>
        <v/>
      </c>
      <c r="AA149" s="21">
        <f>100*(AA15-AA14)</f>
        <v/>
      </c>
      <c r="AB149" s="21">
        <f>100*(AB15-AB14)</f>
        <v/>
      </c>
      <c r="AC149" s="21">
        <f>100*(AC15-AC14)</f>
        <v/>
      </c>
      <c r="AD149" s="21">
        <f>100*(AD15-AD14)</f>
        <v/>
      </c>
      <c r="AE149" s="21">
        <f>100*(AE15-AE14)</f>
        <v/>
      </c>
      <c r="AF149" s="21">
        <f>100*(AF15-AF14)</f>
        <v/>
      </c>
      <c r="AG149" s="21">
        <f>100*(AG15-AG14)</f>
        <v/>
      </c>
      <c r="AH149" s="21">
        <f>100*(AH15-AH14)</f>
        <v/>
      </c>
      <c r="AI149" s="21">
        <f>100*(AI15-AI14)</f>
        <v/>
      </c>
      <c r="AJ149" s="21">
        <f>100*(AJ15-AJ14)</f>
        <v/>
      </c>
      <c r="AK149" s="21">
        <f>100*(AK15-AK14)</f>
        <v/>
      </c>
      <c r="AL149" s="21">
        <f>100*(AL15-AL14)</f>
        <v/>
      </c>
      <c r="AM149" s="21">
        <f>100*(AM15-AM14)</f>
        <v/>
      </c>
      <c r="AN149" s="21">
        <f>100*(AN15-AN14)</f>
        <v/>
      </c>
      <c r="AO149" s="21">
        <f>100*(AO15-AO14)</f>
        <v/>
      </c>
      <c r="AP149" s="21">
        <f>100*(AP15-AP14)</f>
        <v/>
      </c>
      <c r="AQ149" s="21">
        <f>100*(AQ15-AQ14)</f>
        <v/>
      </c>
      <c r="AR149" s="21">
        <f>100*(AR15-AR14)</f>
        <v/>
      </c>
      <c r="AS149" s="21">
        <f>100*(AS15-AS14)</f>
        <v/>
      </c>
      <c r="AT149" s="21">
        <f>100*(AT15-AT14)</f>
        <v/>
      </c>
      <c r="AU149" s="21">
        <f>100*(AU15-AU14)</f>
        <v/>
      </c>
      <c r="AV149" s="21">
        <f>100*(AV15-AV14)</f>
        <v/>
      </c>
      <c r="AW149" s="21">
        <f>100*(AW15-AW14)</f>
        <v/>
      </c>
      <c r="AX149" s="21">
        <f>100*(AX15-AX14)</f>
        <v/>
      </c>
      <c r="AY149" s="21">
        <f>100*(AY15-AY14)</f>
        <v/>
      </c>
      <c r="AZ149" s="21">
        <f>100*(AZ15-AZ14)</f>
        <v/>
      </c>
      <c r="BA149" s="21">
        <f>100*(BA15-BA14)</f>
        <v/>
      </c>
      <c r="BB149" s="21">
        <f>100*(BB15-BB14)</f>
        <v/>
      </c>
      <c r="BC149" s="21">
        <f>100*(BC15-BC14)</f>
        <v/>
      </c>
      <c r="BD149" s="21">
        <f>100*(BD15-BD14)</f>
        <v/>
      </c>
      <c r="BE149" s="21">
        <f>100*(BE15-BE14)</f>
        <v/>
      </c>
      <c r="BF149" s="21">
        <f>100*(BF15-BF14)</f>
        <v/>
      </c>
      <c r="BG149" s="21">
        <f>100*(BG15-BG14)</f>
        <v/>
      </c>
      <c r="BH149" s="21">
        <f>AVERAGE(C149:BG149)</f>
        <v/>
      </c>
    </row>
    <row r="150">
      <c r="A150" s="19">
        <f>A16</f>
        <v/>
      </c>
      <c r="B150" s="20">
        <f>B16</f>
        <v/>
      </c>
      <c r="C150" s="21">
        <f>100*(C16-C15)</f>
        <v/>
      </c>
      <c r="D150" s="21">
        <f>100*(D16-D15)</f>
        <v/>
      </c>
      <c r="E150" s="21">
        <f>100*(E16-E15)</f>
        <v/>
      </c>
      <c r="F150" s="21">
        <f>100*(F16-F15)</f>
        <v/>
      </c>
      <c r="G150" s="21">
        <f>100*(G16-G15)</f>
        <v/>
      </c>
      <c r="H150" s="21">
        <f>100*(H16-H15)</f>
        <v/>
      </c>
      <c r="I150" s="21">
        <f>100*(I16-I15)</f>
        <v/>
      </c>
      <c r="J150" s="21">
        <f>100*(J16-J15)</f>
        <v/>
      </c>
      <c r="K150" s="21">
        <f>100*(K16-K15)</f>
        <v/>
      </c>
      <c r="L150" s="21">
        <f>100*(L16-L15)</f>
        <v/>
      </c>
      <c r="M150" s="21">
        <f>100*(M16-M15)</f>
        <v/>
      </c>
      <c r="N150" s="21">
        <f>100*(N16-N15)</f>
        <v/>
      </c>
      <c r="O150" s="21">
        <f>100*(O16-O15)</f>
        <v/>
      </c>
      <c r="P150" s="21">
        <f>100*(P16-P15)</f>
        <v/>
      </c>
      <c r="Q150" s="21">
        <f>100*(Q16-Q15)</f>
        <v/>
      </c>
      <c r="R150" s="21">
        <f>100*(R16-R15)</f>
        <v/>
      </c>
      <c r="S150" s="21">
        <f>100*(S16-S15)</f>
        <v/>
      </c>
      <c r="T150" s="21">
        <f>100*(T16-T15)</f>
        <v/>
      </c>
      <c r="U150" s="21">
        <f>100*(U16-U15)</f>
        <v/>
      </c>
      <c r="V150" s="21">
        <f>100*(V16-V15)</f>
        <v/>
      </c>
      <c r="W150" s="21">
        <f>100*(W16-W15)</f>
        <v/>
      </c>
      <c r="X150" s="21">
        <f>100*(X16-X15)</f>
        <v/>
      </c>
      <c r="Y150" s="21">
        <f>100*(Y16-Y15)</f>
        <v/>
      </c>
      <c r="Z150" s="21">
        <f>100*(Z16-Z15)</f>
        <v/>
      </c>
      <c r="AA150" s="21">
        <f>100*(AA16-AA15)</f>
        <v/>
      </c>
      <c r="AB150" s="21">
        <f>100*(AB16-AB15)</f>
        <v/>
      </c>
      <c r="AC150" s="21">
        <f>100*(AC16-AC15)</f>
        <v/>
      </c>
      <c r="AD150" s="21">
        <f>100*(AD16-AD15)</f>
        <v/>
      </c>
      <c r="AE150" s="21">
        <f>100*(AE16-AE15)</f>
        <v/>
      </c>
      <c r="AF150" s="21">
        <f>100*(AF16-AF15)</f>
        <v/>
      </c>
      <c r="AG150" s="21">
        <f>100*(AG16-AG15)</f>
        <v/>
      </c>
      <c r="AH150" s="21">
        <f>100*(AH16-AH15)</f>
        <v/>
      </c>
      <c r="AI150" s="21">
        <f>100*(AI16-AI15)</f>
        <v/>
      </c>
      <c r="AJ150" s="21">
        <f>100*(AJ16-AJ15)</f>
        <v/>
      </c>
      <c r="AK150" s="21">
        <f>100*(AK16-AK15)</f>
        <v/>
      </c>
      <c r="AL150" s="21">
        <f>100*(AL16-AL15)</f>
        <v/>
      </c>
      <c r="AM150" s="21">
        <f>100*(AM16-AM15)</f>
        <v/>
      </c>
      <c r="AN150" s="21">
        <f>100*(AN16-AN15)</f>
        <v/>
      </c>
      <c r="AO150" s="21">
        <f>100*(AO16-AO15)</f>
        <v/>
      </c>
      <c r="AP150" s="21">
        <f>100*(AP16-AP15)</f>
        <v/>
      </c>
      <c r="AQ150" s="21">
        <f>100*(AQ16-AQ15)</f>
        <v/>
      </c>
      <c r="AR150" s="21">
        <f>100*(AR16-AR15)</f>
        <v/>
      </c>
      <c r="AS150" s="21">
        <f>100*(AS16-AS15)</f>
        <v/>
      </c>
      <c r="AT150" s="21">
        <f>100*(AT16-AT15)</f>
        <v/>
      </c>
      <c r="AU150" s="21">
        <f>100*(AU16-AU15)</f>
        <v/>
      </c>
      <c r="AV150" s="21">
        <f>100*(AV16-AV15)</f>
        <v/>
      </c>
      <c r="AW150" s="21">
        <f>100*(AW16-AW15)</f>
        <v/>
      </c>
      <c r="AX150" s="21">
        <f>100*(AX16-AX15)</f>
        <v/>
      </c>
      <c r="AY150" s="21">
        <f>100*(AY16-AY15)</f>
        <v/>
      </c>
      <c r="AZ150" s="21">
        <f>100*(AZ16-AZ15)</f>
        <v/>
      </c>
      <c r="BA150" s="21">
        <f>100*(BA16-BA15)</f>
        <v/>
      </c>
      <c r="BB150" s="21">
        <f>100*(BB16-BB15)</f>
        <v/>
      </c>
      <c r="BC150" s="21">
        <f>100*(BC16-BC15)</f>
        <v/>
      </c>
      <c r="BD150" s="21">
        <f>100*(BD16-BD15)</f>
        <v/>
      </c>
      <c r="BE150" s="21">
        <f>100*(BE16-BE15)</f>
        <v/>
      </c>
      <c r="BF150" s="21">
        <f>100*(BF16-BF15)</f>
        <v/>
      </c>
      <c r="BG150" s="21">
        <f>100*(BG16-BG15)</f>
        <v/>
      </c>
      <c r="BH150" s="21">
        <f>AVERAGE(C150:BG150)</f>
        <v/>
      </c>
    </row>
    <row r="151">
      <c r="A151" s="19">
        <f>A17</f>
        <v/>
      </c>
      <c r="B151" s="20">
        <f>B17</f>
        <v/>
      </c>
      <c r="C151" s="21">
        <f>100*(C17-C16)</f>
        <v/>
      </c>
      <c r="D151" s="21">
        <f>100*(D17-D16)</f>
        <v/>
      </c>
      <c r="E151" s="21">
        <f>100*(E17-E16)</f>
        <v/>
      </c>
      <c r="F151" s="21">
        <f>100*(F17-F16)</f>
        <v/>
      </c>
      <c r="G151" s="21">
        <f>100*(G17-G16)</f>
        <v/>
      </c>
      <c r="H151" s="21">
        <f>100*(H17-H16)</f>
        <v/>
      </c>
      <c r="I151" s="21">
        <f>100*(I17-I16)</f>
        <v/>
      </c>
      <c r="J151" s="21">
        <f>100*(J17-J16)</f>
        <v/>
      </c>
      <c r="K151" s="21">
        <f>100*(K17-K16)</f>
        <v/>
      </c>
      <c r="L151" s="21">
        <f>100*(L17-L16)</f>
        <v/>
      </c>
      <c r="M151" s="21">
        <f>100*(M17-M16)</f>
        <v/>
      </c>
      <c r="N151" s="21">
        <f>100*(N17-N16)</f>
        <v/>
      </c>
      <c r="O151" s="21">
        <f>100*(O17-O16)</f>
        <v/>
      </c>
      <c r="P151" s="21">
        <f>100*(P17-P16)</f>
        <v/>
      </c>
      <c r="Q151" s="21">
        <f>100*(Q17-Q16)</f>
        <v/>
      </c>
      <c r="R151" s="21">
        <f>100*(R17-R16)</f>
        <v/>
      </c>
      <c r="S151" s="21">
        <f>100*(S17-S16)</f>
        <v/>
      </c>
      <c r="T151" s="21">
        <f>100*(T17-T16)</f>
        <v/>
      </c>
      <c r="U151" s="21">
        <f>100*(U17-U16)</f>
        <v/>
      </c>
      <c r="V151" s="21">
        <f>100*(V17-V16)</f>
        <v/>
      </c>
      <c r="W151" s="21">
        <f>100*(W17-W16)</f>
        <v/>
      </c>
      <c r="X151" s="21">
        <f>100*(X17-X16)</f>
        <v/>
      </c>
      <c r="Y151" s="21">
        <f>100*(Y17-Y16)</f>
        <v/>
      </c>
      <c r="Z151" s="21">
        <f>100*(Z17-Z16)</f>
        <v/>
      </c>
      <c r="AA151" s="21">
        <f>100*(AA17-AA16)</f>
        <v/>
      </c>
      <c r="AB151" s="21">
        <f>100*(AB17-AB16)</f>
        <v/>
      </c>
      <c r="AC151" s="21">
        <f>100*(AC17-AC16)</f>
        <v/>
      </c>
      <c r="AD151" s="21">
        <f>100*(AD17-AD16)</f>
        <v/>
      </c>
      <c r="AE151" s="21">
        <f>100*(AE17-AE16)</f>
        <v/>
      </c>
      <c r="AF151" s="21">
        <f>100*(AF17-AF16)</f>
        <v/>
      </c>
      <c r="AG151" s="21">
        <f>100*(AG17-AG16)</f>
        <v/>
      </c>
      <c r="AH151" s="21">
        <f>100*(AH17-AH16)</f>
        <v/>
      </c>
      <c r="AI151" s="21">
        <f>100*(AI17-AI16)</f>
        <v/>
      </c>
      <c r="AJ151" s="21">
        <f>100*(AJ17-AJ16)</f>
        <v/>
      </c>
      <c r="AK151" s="21">
        <f>100*(AK17-AK16)</f>
        <v/>
      </c>
      <c r="AL151" s="21">
        <f>100*(AL17-AL16)</f>
        <v/>
      </c>
      <c r="AM151" s="21">
        <f>100*(AM17-AM16)</f>
        <v/>
      </c>
      <c r="AN151" s="21">
        <f>100*(AN17-AN16)</f>
        <v/>
      </c>
      <c r="AO151" s="21">
        <f>100*(AO17-AO16)</f>
        <v/>
      </c>
      <c r="AP151" s="21">
        <f>100*(AP17-AP16)</f>
        <v/>
      </c>
      <c r="AQ151" s="21">
        <f>100*(AQ17-AQ16)</f>
        <v/>
      </c>
      <c r="AR151" s="21">
        <f>100*(AR17-AR16)</f>
        <v/>
      </c>
      <c r="AS151" s="21">
        <f>100*(AS17-AS16)</f>
        <v/>
      </c>
      <c r="AT151" s="21">
        <f>100*(AT17-AT16)</f>
        <v/>
      </c>
      <c r="AU151" s="21">
        <f>100*(AU17-AU16)</f>
        <v/>
      </c>
      <c r="AV151" s="21">
        <f>100*(AV17-AV16)</f>
        <v/>
      </c>
      <c r="AW151" s="21">
        <f>100*(AW17-AW16)</f>
        <v/>
      </c>
      <c r="AX151" s="21">
        <f>100*(AX17-AX16)</f>
        <v/>
      </c>
      <c r="AY151" s="21">
        <f>100*(AY17-AY16)</f>
        <v/>
      </c>
      <c r="AZ151" s="21">
        <f>100*(AZ17-AZ16)</f>
        <v/>
      </c>
      <c r="BA151" s="21">
        <f>100*(BA17-BA16)</f>
        <v/>
      </c>
      <c r="BB151" s="21">
        <f>100*(BB17-BB16)</f>
        <v/>
      </c>
      <c r="BC151" s="21">
        <f>100*(BC17-BC16)</f>
        <v/>
      </c>
      <c r="BD151" s="21">
        <f>100*(BD17-BD16)</f>
        <v/>
      </c>
      <c r="BE151" s="21">
        <f>100*(BE17-BE16)</f>
        <v/>
      </c>
      <c r="BF151" s="21">
        <f>100*(BF17-BF16)</f>
        <v/>
      </c>
      <c r="BG151" s="21">
        <f>100*(BG17-BG16)</f>
        <v/>
      </c>
      <c r="BH151" s="21">
        <f>AVERAGE(C151:BG151)</f>
        <v/>
      </c>
    </row>
    <row r="152">
      <c r="A152" s="19">
        <f>A18</f>
        <v/>
      </c>
      <c r="B152" s="20">
        <f>B18</f>
        <v/>
      </c>
      <c r="C152" s="21">
        <f>100*(C18-C17)</f>
        <v/>
      </c>
      <c r="D152" s="21">
        <f>100*(D18-D17)</f>
        <v/>
      </c>
      <c r="E152" s="21">
        <f>100*(E18-E17)</f>
        <v/>
      </c>
      <c r="F152" s="21">
        <f>100*(F18-F17)</f>
        <v/>
      </c>
      <c r="G152" s="21">
        <f>100*(G18-G17)</f>
        <v/>
      </c>
      <c r="H152" s="21">
        <f>100*(H18-H17)</f>
        <v/>
      </c>
      <c r="I152" s="21">
        <f>100*(I18-I17)</f>
        <v/>
      </c>
      <c r="J152" s="21">
        <f>100*(J18-J17)</f>
        <v/>
      </c>
      <c r="K152" s="21">
        <f>100*(K18-K17)</f>
        <v/>
      </c>
      <c r="L152" s="21">
        <f>100*(L18-L17)</f>
        <v/>
      </c>
      <c r="M152" s="21">
        <f>100*(M18-M17)</f>
        <v/>
      </c>
      <c r="N152" s="21">
        <f>100*(N18-N17)</f>
        <v/>
      </c>
      <c r="O152" s="21">
        <f>100*(O18-O17)</f>
        <v/>
      </c>
      <c r="P152" s="21">
        <f>100*(P18-P17)</f>
        <v/>
      </c>
      <c r="Q152" s="21">
        <f>100*(Q18-Q17)</f>
        <v/>
      </c>
      <c r="R152" s="21">
        <f>100*(R18-R17)</f>
        <v/>
      </c>
      <c r="S152" s="21">
        <f>100*(S18-S17)</f>
        <v/>
      </c>
      <c r="T152" s="21">
        <f>100*(T18-T17)</f>
        <v/>
      </c>
      <c r="U152" s="21">
        <f>100*(U18-U17)</f>
        <v/>
      </c>
      <c r="V152" s="21">
        <f>100*(V18-V17)</f>
        <v/>
      </c>
      <c r="W152" s="21">
        <f>100*(W18-W17)</f>
        <v/>
      </c>
      <c r="X152" s="21">
        <f>100*(X18-X17)</f>
        <v/>
      </c>
      <c r="Y152" s="21">
        <f>100*(Y18-Y17)</f>
        <v/>
      </c>
      <c r="Z152" s="21">
        <f>100*(Z18-Z17)</f>
        <v/>
      </c>
      <c r="AA152" s="21">
        <f>100*(AA18-AA17)</f>
        <v/>
      </c>
      <c r="AB152" s="21">
        <f>100*(AB18-AB17)</f>
        <v/>
      </c>
      <c r="AC152" s="21">
        <f>100*(AC18-AC17)</f>
        <v/>
      </c>
      <c r="AD152" s="21">
        <f>100*(AD18-AD17)</f>
        <v/>
      </c>
      <c r="AE152" s="21">
        <f>100*(AE18-AE17)</f>
        <v/>
      </c>
      <c r="AF152" s="21">
        <f>100*(AF18-AF17)</f>
        <v/>
      </c>
      <c r="AG152" s="21">
        <f>100*(AG18-AG17)</f>
        <v/>
      </c>
      <c r="AH152" s="21">
        <f>100*(AH18-AH17)</f>
        <v/>
      </c>
      <c r="AI152" s="21">
        <f>100*(AI18-AI17)</f>
        <v/>
      </c>
      <c r="AJ152" s="21">
        <f>100*(AJ18-AJ17)</f>
        <v/>
      </c>
      <c r="AK152" s="21">
        <f>100*(AK18-AK17)</f>
        <v/>
      </c>
      <c r="AL152" s="21">
        <f>100*(AL18-AL17)</f>
        <v/>
      </c>
      <c r="AM152" s="21">
        <f>100*(AM18-AM17)</f>
        <v/>
      </c>
      <c r="AN152" s="21">
        <f>100*(AN18-AN17)</f>
        <v/>
      </c>
      <c r="AO152" s="21">
        <f>100*(AO18-AO17)</f>
        <v/>
      </c>
      <c r="AP152" s="21">
        <f>100*(AP18-AP17)</f>
        <v/>
      </c>
      <c r="AQ152" s="21">
        <f>100*(AQ18-AQ17)</f>
        <v/>
      </c>
      <c r="AR152" s="21">
        <f>100*(AR18-AR17)</f>
        <v/>
      </c>
      <c r="AS152" s="21">
        <f>100*(AS18-AS17)</f>
        <v/>
      </c>
      <c r="AT152" s="21">
        <f>100*(AT18-AT17)</f>
        <v/>
      </c>
      <c r="AU152" s="21">
        <f>100*(AU18-AU17)</f>
        <v/>
      </c>
      <c r="AV152" s="21">
        <f>100*(AV18-AV17)</f>
        <v/>
      </c>
      <c r="AW152" s="21">
        <f>100*(AW18-AW17)</f>
        <v/>
      </c>
      <c r="AX152" s="21">
        <f>100*(AX18-AX17)</f>
        <v/>
      </c>
      <c r="AY152" s="21">
        <f>100*(AY18-AY17)</f>
        <v/>
      </c>
      <c r="AZ152" s="21">
        <f>100*(AZ18-AZ17)</f>
        <v/>
      </c>
      <c r="BA152" s="21">
        <f>100*(BA18-BA17)</f>
        <v/>
      </c>
      <c r="BB152" s="21">
        <f>100*(BB18-BB17)</f>
        <v/>
      </c>
      <c r="BC152" s="21">
        <f>100*(BC18-BC17)</f>
        <v/>
      </c>
      <c r="BD152" s="21">
        <f>100*(BD18-BD17)</f>
        <v/>
      </c>
      <c r="BE152" s="21">
        <f>100*(BE18-BE17)</f>
        <v/>
      </c>
      <c r="BF152" s="21">
        <f>100*(BF18-BF17)</f>
        <v/>
      </c>
      <c r="BG152" s="21">
        <f>100*(BG18-BG17)</f>
        <v/>
      </c>
      <c r="BH152" s="21">
        <f>AVERAGE(C152:BG152)</f>
        <v/>
      </c>
    </row>
    <row r="153">
      <c r="A153" s="19">
        <f>A19</f>
        <v/>
      </c>
      <c r="B153" s="20">
        <f>B19</f>
        <v/>
      </c>
      <c r="C153" s="21">
        <f>100*(C19-C18)</f>
        <v/>
      </c>
      <c r="D153" s="21">
        <f>100*(D19-D18)</f>
        <v/>
      </c>
      <c r="E153" s="21">
        <f>100*(E19-E18)</f>
        <v/>
      </c>
      <c r="F153" s="21">
        <f>100*(F19-F18)</f>
        <v/>
      </c>
      <c r="G153" s="21">
        <f>100*(G19-G18)</f>
        <v/>
      </c>
      <c r="H153" s="21">
        <f>100*(H19-H18)</f>
        <v/>
      </c>
      <c r="I153" s="21">
        <f>100*(I19-I18)</f>
        <v/>
      </c>
      <c r="J153" s="21">
        <f>100*(J19-J18)</f>
        <v/>
      </c>
      <c r="K153" s="21">
        <f>100*(K19-K18)</f>
        <v/>
      </c>
      <c r="L153" s="21">
        <f>100*(L19-L18)</f>
        <v/>
      </c>
      <c r="M153" s="21">
        <f>100*(M19-M18)</f>
        <v/>
      </c>
      <c r="N153" s="21">
        <f>100*(N19-N18)</f>
        <v/>
      </c>
      <c r="O153" s="21">
        <f>100*(O19-O18)</f>
        <v/>
      </c>
      <c r="P153" s="21">
        <f>100*(P19-P18)</f>
        <v/>
      </c>
      <c r="Q153" s="21">
        <f>100*(Q19-Q18)</f>
        <v/>
      </c>
      <c r="R153" s="21">
        <f>100*(R19-R18)</f>
        <v/>
      </c>
      <c r="S153" s="21">
        <f>100*(S19-S18)</f>
        <v/>
      </c>
      <c r="T153" s="21">
        <f>100*(T19-T18)</f>
        <v/>
      </c>
      <c r="U153" s="21">
        <f>100*(U19-U18)</f>
        <v/>
      </c>
      <c r="V153" s="21">
        <f>100*(V19-V18)</f>
        <v/>
      </c>
      <c r="W153" s="21">
        <f>100*(W19-W18)</f>
        <v/>
      </c>
      <c r="X153" s="21">
        <f>100*(X19-X18)</f>
        <v/>
      </c>
      <c r="Y153" s="21">
        <f>100*(Y19-Y18)</f>
        <v/>
      </c>
      <c r="Z153" s="21">
        <f>100*(Z19-Z18)</f>
        <v/>
      </c>
      <c r="AA153" s="21">
        <f>100*(AA19-AA18)</f>
        <v/>
      </c>
      <c r="AB153" s="21">
        <f>100*(AB19-AB18)</f>
        <v/>
      </c>
      <c r="AC153" s="21">
        <f>100*(AC19-AC18)</f>
        <v/>
      </c>
      <c r="AD153" s="21">
        <f>100*(AD19-AD18)</f>
        <v/>
      </c>
      <c r="AE153" s="21">
        <f>100*(AE19-AE18)</f>
        <v/>
      </c>
      <c r="AF153" s="21">
        <f>100*(AF19-AF18)</f>
        <v/>
      </c>
      <c r="AG153" s="21">
        <f>100*(AG19-AG18)</f>
        <v/>
      </c>
      <c r="AH153" s="21">
        <f>100*(AH19-AH18)</f>
        <v/>
      </c>
      <c r="AI153" s="21">
        <f>100*(AI19-AI18)</f>
        <v/>
      </c>
      <c r="AJ153" s="21">
        <f>100*(AJ19-AJ18)</f>
        <v/>
      </c>
      <c r="AK153" s="21">
        <f>100*(AK19-AK18)</f>
        <v/>
      </c>
      <c r="AL153" s="21">
        <f>100*(AL19-AL18)</f>
        <v/>
      </c>
      <c r="AM153" s="21">
        <f>100*(AM19-AM18)</f>
        <v/>
      </c>
      <c r="AN153" s="21">
        <f>100*(AN19-AN18)</f>
        <v/>
      </c>
      <c r="AO153" s="21">
        <f>100*(AO19-AO18)</f>
        <v/>
      </c>
      <c r="AP153" s="21">
        <f>100*(AP19-AP18)</f>
        <v/>
      </c>
      <c r="AQ153" s="21">
        <f>100*(AQ19-AQ18)</f>
        <v/>
      </c>
      <c r="AR153" s="21">
        <f>100*(AR19-AR18)</f>
        <v/>
      </c>
      <c r="AS153" s="21">
        <f>100*(AS19-AS18)</f>
        <v/>
      </c>
      <c r="AT153" s="21">
        <f>100*(AT19-AT18)</f>
        <v/>
      </c>
      <c r="AU153" s="21">
        <f>100*(AU19-AU18)</f>
        <v/>
      </c>
      <c r="AV153" s="21">
        <f>100*(AV19-AV18)</f>
        <v/>
      </c>
      <c r="AW153" s="21">
        <f>100*(AW19-AW18)</f>
        <v/>
      </c>
      <c r="AX153" s="21">
        <f>100*(AX19-AX18)</f>
        <v/>
      </c>
      <c r="AY153" s="21">
        <f>100*(AY19-AY18)</f>
        <v/>
      </c>
      <c r="AZ153" s="21">
        <f>100*(AZ19-AZ18)</f>
        <v/>
      </c>
      <c r="BA153" s="21">
        <f>100*(BA19-BA18)</f>
        <v/>
      </c>
      <c r="BB153" s="21">
        <f>100*(BB19-BB18)</f>
        <v/>
      </c>
      <c r="BC153" s="21">
        <f>100*(BC19-BC18)</f>
        <v/>
      </c>
      <c r="BD153" s="21">
        <f>100*(BD19-BD18)</f>
        <v/>
      </c>
      <c r="BE153" s="21">
        <f>100*(BE19-BE18)</f>
        <v/>
      </c>
      <c r="BF153" s="21">
        <f>100*(BF19-BF18)</f>
        <v/>
      </c>
      <c r="BG153" s="21">
        <f>100*(BG19-BG18)</f>
        <v/>
      </c>
      <c r="BH153" s="21">
        <f>AVERAGE(C153:BG153)</f>
        <v/>
      </c>
    </row>
    <row r="154">
      <c r="A154" s="19">
        <f>A20</f>
        <v/>
      </c>
      <c r="B154" s="20">
        <f>B20</f>
        <v/>
      </c>
      <c r="C154" s="21">
        <f>100*(C20-C19)</f>
        <v/>
      </c>
      <c r="D154" s="21">
        <f>100*(D20-D19)</f>
        <v/>
      </c>
      <c r="E154" s="21">
        <f>100*(E20-E19)</f>
        <v/>
      </c>
      <c r="F154" s="21">
        <f>100*(F20-F19)</f>
        <v/>
      </c>
      <c r="G154" s="21">
        <f>100*(G20-G19)</f>
        <v/>
      </c>
      <c r="H154" s="21">
        <f>100*(H20-H19)</f>
        <v/>
      </c>
      <c r="I154" s="21">
        <f>100*(I20-I19)</f>
        <v/>
      </c>
      <c r="J154" s="21">
        <f>100*(J20-J19)</f>
        <v/>
      </c>
      <c r="K154" s="21">
        <f>100*(K20-K19)</f>
        <v/>
      </c>
      <c r="L154" s="21">
        <f>100*(L20-L19)</f>
        <v/>
      </c>
      <c r="M154" s="21">
        <f>100*(M20-M19)</f>
        <v/>
      </c>
      <c r="N154" s="21">
        <f>100*(N20-N19)</f>
        <v/>
      </c>
      <c r="O154" s="21">
        <f>100*(O20-O19)</f>
        <v/>
      </c>
      <c r="P154" s="21">
        <f>100*(P20-P19)</f>
        <v/>
      </c>
      <c r="Q154" s="21">
        <f>100*(Q20-Q19)</f>
        <v/>
      </c>
      <c r="R154" s="21">
        <f>100*(R20-R19)</f>
        <v/>
      </c>
      <c r="S154" s="21">
        <f>100*(S20-S19)</f>
        <v/>
      </c>
      <c r="T154" s="21">
        <f>100*(T20-T19)</f>
        <v/>
      </c>
      <c r="U154" s="21">
        <f>100*(U20-U19)</f>
        <v/>
      </c>
      <c r="V154" s="21">
        <f>100*(V20-V19)</f>
        <v/>
      </c>
      <c r="W154" s="21">
        <f>100*(W20-W19)</f>
        <v/>
      </c>
      <c r="X154" s="21">
        <f>100*(X20-X19)</f>
        <v/>
      </c>
      <c r="Y154" s="21">
        <f>100*(Y20-Y19)</f>
        <v/>
      </c>
      <c r="Z154" s="21">
        <f>100*(Z20-Z19)</f>
        <v/>
      </c>
      <c r="AA154" s="21">
        <f>100*(AA20-AA19)</f>
        <v/>
      </c>
      <c r="AB154" s="21">
        <f>100*(AB20-AB19)</f>
        <v/>
      </c>
      <c r="AC154" s="21">
        <f>100*(AC20-AC19)</f>
        <v/>
      </c>
      <c r="AD154" s="21">
        <f>100*(AD20-AD19)</f>
        <v/>
      </c>
      <c r="AE154" s="21">
        <f>100*(AE20-AE19)</f>
        <v/>
      </c>
      <c r="AF154" s="21">
        <f>100*(AF20-AF19)</f>
        <v/>
      </c>
      <c r="AG154" s="21">
        <f>100*(AG20-AG19)</f>
        <v/>
      </c>
      <c r="AH154" s="21">
        <f>100*(AH20-AH19)</f>
        <v/>
      </c>
      <c r="AI154" s="21">
        <f>100*(AI20-AI19)</f>
        <v/>
      </c>
      <c r="AJ154" s="21">
        <f>100*(AJ20-AJ19)</f>
        <v/>
      </c>
      <c r="AK154" s="21">
        <f>100*(AK20-AK19)</f>
        <v/>
      </c>
      <c r="AL154" s="21">
        <f>100*(AL20-AL19)</f>
        <v/>
      </c>
      <c r="AM154" s="21">
        <f>100*(AM20-AM19)</f>
        <v/>
      </c>
      <c r="AN154" s="21">
        <f>100*(AN20-AN19)</f>
        <v/>
      </c>
      <c r="AO154" s="21">
        <f>100*(AO20-AO19)</f>
        <v/>
      </c>
      <c r="AP154" s="21">
        <f>100*(AP20-AP19)</f>
        <v/>
      </c>
      <c r="AQ154" s="21">
        <f>100*(AQ20-AQ19)</f>
        <v/>
      </c>
      <c r="AR154" s="21">
        <f>100*(AR20-AR19)</f>
        <v/>
      </c>
      <c r="AS154" s="21">
        <f>100*(AS20-AS19)</f>
        <v/>
      </c>
      <c r="AT154" s="21">
        <f>100*(AT20-AT19)</f>
        <v/>
      </c>
      <c r="AU154" s="21">
        <f>100*(AU20-AU19)</f>
        <v/>
      </c>
      <c r="AV154" s="21">
        <f>100*(AV20-AV19)</f>
        <v/>
      </c>
      <c r="AW154" s="21">
        <f>100*(AW20-AW19)</f>
        <v/>
      </c>
      <c r="AX154" s="21">
        <f>100*(AX20-AX19)</f>
        <v/>
      </c>
      <c r="AY154" s="21">
        <f>100*(AY20-AY19)</f>
        <v/>
      </c>
      <c r="AZ154" s="21">
        <f>100*(AZ20-AZ19)</f>
        <v/>
      </c>
      <c r="BA154" s="21">
        <f>100*(BA20-BA19)</f>
        <v/>
      </c>
      <c r="BB154" s="21">
        <f>100*(BB20-BB19)</f>
        <v/>
      </c>
      <c r="BC154" s="21">
        <f>100*(BC20-BC19)</f>
        <v/>
      </c>
      <c r="BD154" s="21">
        <f>100*(BD20-BD19)</f>
        <v/>
      </c>
      <c r="BE154" s="21">
        <f>100*(BE20-BE19)</f>
        <v/>
      </c>
      <c r="BF154" s="21">
        <f>100*(BF20-BF19)</f>
        <v/>
      </c>
      <c r="BG154" s="21">
        <f>100*(BG20-BG19)</f>
        <v/>
      </c>
      <c r="BH154" s="21">
        <f>AVERAGE(C154:BG154)</f>
        <v/>
      </c>
    </row>
    <row r="155">
      <c r="A155" s="19">
        <f>A21</f>
        <v/>
      </c>
      <c r="B155" s="20">
        <f>B21</f>
        <v/>
      </c>
      <c r="C155" s="21">
        <f>100*(C21-C20)</f>
        <v/>
      </c>
      <c r="D155" s="21">
        <f>100*(D21-D20)</f>
        <v/>
      </c>
      <c r="E155" s="21">
        <f>100*(E21-E20)</f>
        <v/>
      </c>
      <c r="F155" s="21">
        <f>100*(F21-F20)</f>
        <v/>
      </c>
      <c r="G155" s="21">
        <f>100*(G21-G20)</f>
        <v/>
      </c>
      <c r="H155" s="21">
        <f>100*(H21-H20)</f>
        <v/>
      </c>
      <c r="I155" s="21">
        <f>100*(I21-I20)</f>
        <v/>
      </c>
      <c r="J155" s="21">
        <f>100*(J21-J20)</f>
        <v/>
      </c>
      <c r="K155" s="21">
        <f>100*(K21-K20)</f>
        <v/>
      </c>
      <c r="L155" s="21">
        <f>100*(L21-L20)</f>
        <v/>
      </c>
      <c r="M155" s="21">
        <f>100*(M21-M20)</f>
        <v/>
      </c>
      <c r="N155" s="21">
        <f>100*(N21-N20)</f>
        <v/>
      </c>
      <c r="O155" s="21">
        <f>100*(O21-O20)</f>
        <v/>
      </c>
      <c r="P155" s="21">
        <f>100*(P21-P20)</f>
        <v/>
      </c>
      <c r="Q155" s="21">
        <f>100*(Q21-Q20)</f>
        <v/>
      </c>
      <c r="R155" s="21">
        <f>100*(R21-R20)</f>
        <v/>
      </c>
      <c r="S155" s="21">
        <f>100*(S21-S20)</f>
        <v/>
      </c>
      <c r="T155" s="21">
        <f>100*(T21-T20)</f>
        <v/>
      </c>
      <c r="U155" s="21">
        <f>100*(U21-U20)</f>
        <v/>
      </c>
      <c r="V155" s="21">
        <f>100*(V21-V20)</f>
        <v/>
      </c>
      <c r="W155" s="21">
        <f>100*(W21-W20)</f>
        <v/>
      </c>
      <c r="X155" s="21">
        <f>100*(X21-X20)</f>
        <v/>
      </c>
      <c r="Y155" s="21">
        <f>100*(Y21-Y20)</f>
        <v/>
      </c>
      <c r="Z155" s="21">
        <f>100*(Z21-Z20)</f>
        <v/>
      </c>
      <c r="AA155" s="21">
        <f>100*(AA21-AA20)</f>
        <v/>
      </c>
      <c r="AB155" s="21">
        <f>100*(AB21-AB20)</f>
        <v/>
      </c>
      <c r="AC155" s="21">
        <f>100*(AC21-AC20)</f>
        <v/>
      </c>
      <c r="AD155" s="21">
        <f>100*(AD21-AD20)</f>
        <v/>
      </c>
      <c r="AE155" s="21">
        <f>100*(AE21-AE20)</f>
        <v/>
      </c>
      <c r="AF155" s="21">
        <f>100*(AF21-AF20)</f>
        <v/>
      </c>
      <c r="AG155" s="21">
        <f>100*(AG21-AG20)</f>
        <v/>
      </c>
      <c r="AH155" s="21">
        <f>100*(AH21-AH20)</f>
        <v/>
      </c>
      <c r="AI155" s="21">
        <f>100*(AI21-AI20)</f>
        <v/>
      </c>
      <c r="AJ155" s="21">
        <f>100*(AJ21-AJ20)</f>
        <v/>
      </c>
      <c r="AK155" s="21">
        <f>100*(AK21-AK20)</f>
        <v/>
      </c>
      <c r="AL155" s="21">
        <f>100*(AL21-AL20)</f>
        <v/>
      </c>
      <c r="AM155" s="21">
        <f>100*(AM21-AM20)</f>
        <v/>
      </c>
      <c r="AN155" s="21">
        <f>100*(AN21-AN20)</f>
        <v/>
      </c>
      <c r="AO155" s="21">
        <f>100*(AO21-AO20)</f>
        <v/>
      </c>
      <c r="AP155" s="21">
        <f>100*(AP21-AP20)</f>
        <v/>
      </c>
      <c r="AQ155" s="21">
        <f>100*(AQ21-AQ20)</f>
        <v/>
      </c>
      <c r="AR155" s="21">
        <f>100*(AR21-AR20)</f>
        <v/>
      </c>
      <c r="AS155" s="21">
        <f>100*(AS21-AS20)</f>
        <v/>
      </c>
      <c r="AT155" s="21">
        <f>100*(AT21-AT20)</f>
        <v/>
      </c>
      <c r="AU155" s="21">
        <f>100*(AU21-AU20)</f>
        <v/>
      </c>
      <c r="AV155" s="21">
        <f>100*(AV21-AV20)</f>
        <v/>
      </c>
      <c r="AW155" s="21">
        <f>100*(AW21-AW20)</f>
        <v/>
      </c>
      <c r="AX155" s="21">
        <f>100*(AX21-AX20)</f>
        <v/>
      </c>
      <c r="AY155" s="21">
        <f>100*(AY21-AY20)</f>
        <v/>
      </c>
      <c r="AZ155" s="21">
        <f>100*(AZ21-AZ20)</f>
        <v/>
      </c>
      <c r="BA155" s="21">
        <f>100*(BA21-BA20)</f>
        <v/>
      </c>
      <c r="BB155" s="21">
        <f>100*(BB21-BB20)</f>
        <v/>
      </c>
      <c r="BC155" s="21">
        <f>100*(BC21-BC20)</f>
        <v/>
      </c>
      <c r="BD155" s="21">
        <f>100*(BD21-BD20)</f>
        <v/>
      </c>
      <c r="BE155" s="21">
        <f>100*(BE21-BE20)</f>
        <v/>
      </c>
      <c r="BF155" s="21">
        <f>100*(BF21-BF20)</f>
        <v/>
      </c>
      <c r="BG155" s="21">
        <f>100*(BG21-BG20)</f>
        <v/>
      </c>
      <c r="BH155" s="21">
        <f>AVERAGE(C155:BG155)</f>
        <v/>
      </c>
    </row>
    <row r="156">
      <c r="A156" s="19">
        <f>A22</f>
        <v/>
      </c>
      <c r="B156" s="20">
        <f>B22</f>
        <v/>
      </c>
      <c r="C156" s="21">
        <f>100*(C22-C21)</f>
        <v/>
      </c>
      <c r="D156" s="21">
        <f>100*(D22-D21)</f>
        <v/>
      </c>
      <c r="E156" s="21">
        <f>100*(E22-E21)</f>
        <v/>
      </c>
      <c r="F156" s="21">
        <f>100*(F22-F21)</f>
        <v/>
      </c>
      <c r="G156" s="21">
        <f>100*(G22-G21)</f>
        <v/>
      </c>
      <c r="H156" s="21">
        <f>100*(H22-H21)</f>
        <v/>
      </c>
      <c r="I156" s="21">
        <f>100*(I22-I21)</f>
        <v/>
      </c>
      <c r="J156" s="21">
        <f>100*(J22-J21)</f>
        <v/>
      </c>
      <c r="K156" s="21">
        <f>100*(K22-K21)</f>
        <v/>
      </c>
      <c r="L156" s="21">
        <f>100*(L22-L21)</f>
        <v/>
      </c>
      <c r="M156" s="21">
        <f>100*(M22-M21)</f>
        <v/>
      </c>
      <c r="N156" s="21">
        <f>100*(N22-N21)</f>
        <v/>
      </c>
      <c r="O156" s="21">
        <f>100*(O22-O21)</f>
        <v/>
      </c>
      <c r="P156" s="21">
        <f>100*(P22-P21)</f>
        <v/>
      </c>
      <c r="Q156" s="21">
        <f>100*(Q22-Q21)</f>
        <v/>
      </c>
      <c r="R156" s="21">
        <f>100*(R22-R21)</f>
        <v/>
      </c>
      <c r="S156" s="21">
        <f>100*(S22-S21)</f>
        <v/>
      </c>
      <c r="T156" s="21">
        <f>100*(T22-T21)</f>
        <v/>
      </c>
      <c r="U156" s="21">
        <f>100*(U22-U21)</f>
        <v/>
      </c>
      <c r="V156" s="21">
        <f>100*(V22-V21)</f>
        <v/>
      </c>
      <c r="W156" s="21">
        <f>100*(W22-W21)</f>
        <v/>
      </c>
      <c r="X156" s="21">
        <f>100*(X22-X21)</f>
        <v/>
      </c>
      <c r="Y156" s="21">
        <f>100*(Y22-Y21)</f>
        <v/>
      </c>
      <c r="Z156" s="21">
        <f>100*(Z22-Z21)</f>
        <v/>
      </c>
      <c r="AA156" s="21">
        <f>100*(AA22-AA21)</f>
        <v/>
      </c>
      <c r="AB156" s="21">
        <f>100*(AB22-AB21)</f>
        <v/>
      </c>
      <c r="AC156" s="21">
        <f>100*(AC22-AC21)</f>
        <v/>
      </c>
      <c r="AD156" s="21">
        <f>100*(AD22-AD21)</f>
        <v/>
      </c>
      <c r="AE156" s="21">
        <f>100*(AE22-AE21)</f>
        <v/>
      </c>
      <c r="AF156" s="21">
        <f>100*(AF22-AF21)</f>
        <v/>
      </c>
      <c r="AG156" s="21">
        <f>100*(AG22-AG21)</f>
        <v/>
      </c>
      <c r="AH156" s="21">
        <f>100*(AH22-AH21)</f>
        <v/>
      </c>
      <c r="AI156" s="21">
        <f>100*(AI22-AI21)</f>
        <v/>
      </c>
      <c r="AJ156" s="21">
        <f>100*(AJ22-AJ21)</f>
        <v/>
      </c>
      <c r="AK156" s="21">
        <f>100*(AK22-AK21)</f>
        <v/>
      </c>
      <c r="AL156" s="21">
        <f>100*(AL22-AL21)</f>
        <v/>
      </c>
      <c r="AM156" s="21">
        <f>100*(AM22-AM21)</f>
        <v/>
      </c>
      <c r="AN156" s="21">
        <f>100*(AN22-AN21)</f>
        <v/>
      </c>
      <c r="AO156" s="21">
        <f>100*(AO22-AO21)</f>
        <v/>
      </c>
      <c r="AP156" s="21">
        <f>100*(AP22-AP21)</f>
        <v/>
      </c>
      <c r="AQ156" s="21">
        <f>100*(AQ22-AQ21)</f>
        <v/>
      </c>
      <c r="AR156" s="21">
        <f>100*(AR22-AR21)</f>
        <v/>
      </c>
      <c r="AS156" s="21">
        <f>100*(AS22-AS21)</f>
        <v/>
      </c>
      <c r="AT156" s="21">
        <f>100*(AT22-AT21)</f>
        <v/>
      </c>
      <c r="AU156" s="21">
        <f>100*(AU22-AU21)</f>
        <v/>
      </c>
      <c r="AV156" s="21">
        <f>100*(AV22-AV21)</f>
        <v/>
      </c>
      <c r="AW156" s="21">
        <f>100*(AW22-AW21)</f>
        <v/>
      </c>
      <c r="AX156" s="21">
        <f>100*(AX22-AX21)</f>
        <v/>
      </c>
      <c r="AY156" s="21">
        <f>100*(AY22-AY21)</f>
        <v/>
      </c>
      <c r="AZ156" s="21">
        <f>100*(AZ22-AZ21)</f>
        <v/>
      </c>
      <c r="BA156" s="21">
        <f>100*(BA22-BA21)</f>
        <v/>
      </c>
      <c r="BB156" s="21">
        <f>100*(BB22-BB21)</f>
        <v/>
      </c>
      <c r="BC156" s="21">
        <f>100*(BC22-BC21)</f>
        <v/>
      </c>
      <c r="BD156" s="21">
        <f>100*(BD22-BD21)</f>
        <v/>
      </c>
      <c r="BE156" s="21">
        <f>100*(BE22-BE21)</f>
        <v/>
      </c>
      <c r="BF156" s="21">
        <f>100*(BF22-BF21)</f>
        <v/>
      </c>
      <c r="BG156" s="21">
        <f>100*(BG22-BG21)</f>
        <v/>
      </c>
      <c r="BH156" s="21">
        <f>AVERAGE(C156:BG156)</f>
        <v/>
      </c>
    </row>
    <row r="157">
      <c r="A157" s="19">
        <f>A23</f>
        <v/>
      </c>
      <c r="B157" s="20">
        <f>B23</f>
        <v/>
      </c>
      <c r="C157" s="21">
        <f>100*(C23-C22)</f>
        <v/>
      </c>
      <c r="D157" s="21">
        <f>100*(D23-D22)</f>
        <v/>
      </c>
      <c r="E157" s="21">
        <f>100*(E23-E22)</f>
        <v/>
      </c>
      <c r="F157" s="21">
        <f>100*(F23-F22)</f>
        <v/>
      </c>
      <c r="G157" s="21">
        <f>100*(G23-G22)</f>
        <v/>
      </c>
      <c r="H157" s="21">
        <f>100*(H23-H22)</f>
        <v/>
      </c>
      <c r="I157" s="21">
        <f>100*(I23-I22)</f>
        <v/>
      </c>
      <c r="J157" s="21">
        <f>100*(J23-J22)</f>
        <v/>
      </c>
      <c r="K157" s="21">
        <f>100*(K23-K22)</f>
        <v/>
      </c>
      <c r="L157" s="21">
        <f>100*(L23-L22)</f>
        <v/>
      </c>
      <c r="M157" s="21">
        <f>100*(M23-M22)</f>
        <v/>
      </c>
      <c r="N157" s="21">
        <f>100*(N23-N22)</f>
        <v/>
      </c>
      <c r="O157" s="21">
        <f>100*(O23-O22)</f>
        <v/>
      </c>
      <c r="P157" s="21">
        <f>100*(P23-P22)</f>
        <v/>
      </c>
      <c r="Q157" s="21">
        <f>100*(Q23-Q22)</f>
        <v/>
      </c>
      <c r="R157" s="21">
        <f>100*(R23-R22)</f>
        <v/>
      </c>
      <c r="S157" s="21">
        <f>100*(S23-S22)</f>
        <v/>
      </c>
      <c r="T157" s="21">
        <f>100*(T23-T22)</f>
        <v/>
      </c>
      <c r="U157" s="21">
        <f>100*(U23-U22)</f>
        <v/>
      </c>
      <c r="V157" s="21">
        <f>100*(V23-V22)</f>
        <v/>
      </c>
      <c r="W157" s="21">
        <f>100*(W23-W22)</f>
        <v/>
      </c>
      <c r="X157" s="21">
        <f>100*(X23-X22)</f>
        <v/>
      </c>
      <c r="Y157" s="21">
        <f>100*(Y23-Y22)</f>
        <v/>
      </c>
      <c r="Z157" s="21">
        <f>100*(Z23-Z22)</f>
        <v/>
      </c>
      <c r="AA157" s="21">
        <f>100*(AA23-AA22)</f>
        <v/>
      </c>
      <c r="AB157" s="21">
        <f>100*(AB23-AB22)</f>
        <v/>
      </c>
      <c r="AC157" s="21">
        <f>100*(AC23-AC22)</f>
        <v/>
      </c>
      <c r="AD157" s="21">
        <f>100*(AD23-AD22)</f>
        <v/>
      </c>
      <c r="AE157" s="21">
        <f>100*(AE23-AE22)</f>
        <v/>
      </c>
      <c r="AF157" s="21">
        <f>100*(AF23-AF22)</f>
        <v/>
      </c>
      <c r="AG157" s="21">
        <f>100*(AG23-AG22)</f>
        <v/>
      </c>
      <c r="AH157" s="21">
        <f>100*(AH23-AH22)</f>
        <v/>
      </c>
      <c r="AI157" s="21">
        <f>100*(AI23-AI22)</f>
        <v/>
      </c>
      <c r="AJ157" s="21">
        <f>100*(AJ23-AJ22)</f>
        <v/>
      </c>
      <c r="AK157" s="21">
        <f>100*(AK23-AK22)</f>
        <v/>
      </c>
      <c r="AL157" s="21">
        <f>100*(AL23-AL22)</f>
        <v/>
      </c>
      <c r="AM157" s="21">
        <f>100*(AM23-AM22)</f>
        <v/>
      </c>
      <c r="AN157" s="21">
        <f>100*(AN23-AN22)</f>
        <v/>
      </c>
      <c r="AO157" s="21">
        <f>100*(AO23-AO22)</f>
        <v/>
      </c>
      <c r="AP157" s="21">
        <f>100*(AP23-AP22)</f>
        <v/>
      </c>
      <c r="AQ157" s="21">
        <f>100*(AQ23-AQ22)</f>
        <v/>
      </c>
      <c r="AR157" s="21">
        <f>100*(AR23-AR22)</f>
        <v/>
      </c>
      <c r="AS157" s="21">
        <f>100*(AS23-AS22)</f>
        <v/>
      </c>
      <c r="AT157" s="21">
        <f>100*(AT23-AT22)</f>
        <v/>
      </c>
      <c r="AU157" s="21">
        <f>100*(AU23-AU22)</f>
        <v/>
      </c>
      <c r="AV157" s="21">
        <f>100*(AV23-AV22)</f>
        <v/>
      </c>
      <c r="AW157" s="21">
        <f>100*(AW23-AW22)</f>
        <v/>
      </c>
      <c r="AX157" s="21">
        <f>100*(AX23-AX22)</f>
        <v/>
      </c>
      <c r="AY157" s="21">
        <f>100*(AY23-AY22)</f>
        <v/>
      </c>
      <c r="AZ157" s="21">
        <f>100*(AZ23-AZ22)</f>
        <v/>
      </c>
      <c r="BA157" s="21">
        <f>100*(BA23-BA22)</f>
        <v/>
      </c>
      <c r="BB157" s="21">
        <f>100*(BB23-BB22)</f>
        <v/>
      </c>
      <c r="BC157" s="21">
        <f>100*(BC23-BC22)</f>
        <v/>
      </c>
      <c r="BD157" s="21">
        <f>100*(BD23-BD22)</f>
        <v/>
      </c>
      <c r="BE157" s="21">
        <f>100*(BE23-BE22)</f>
        <v/>
      </c>
      <c r="BF157" s="21">
        <f>100*(BF23-BF22)</f>
        <v/>
      </c>
      <c r="BG157" s="21">
        <f>100*(BG23-BG22)</f>
        <v/>
      </c>
      <c r="BH157" s="21">
        <f>AVERAGE(C157:BG157)</f>
        <v/>
      </c>
    </row>
    <row r="158">
      <c r="A158" s="19">
        <f>A24</f>
        <v/>
      </c>
      <c r="B158" s="20">
        <f>B24</f>
        <v/>
      </c>
      <c r="C158" s="21">
        <f>100*(C24-C23)</f>
        <v/>
      </c>
      <c r="D158" s="21">
        <f>100*(D24-D23)</f>
        <v/>
      </c>
      <c r="E158" s="21">
        <f>100*(E24-E23)</f>
        <v/>
      </c>
      <c r="F158" s="21">
        <f>100*(F24-F23)</f>
        <v/>
      </c>
      <c r="G158" s="21">
        <f>100*(G24-G23)</f>
        <v/>
      </c>
      <c r="H158" s="21">
        <f>100*(H24-H23)</f>
        <v/>
      </c>
      <c r="I158" s="21">
        <f>100*(I24-I23)</f>
        <v/>
      </c>
      <c r="J158" s="21">
        <f>100*(J24-J23)</f>
        <v/>
      </c>
      <c r="K158" s="21">
        <f>100*(K24-K23)</f>
        <v/>
      </c>
      <c r="L158" s="21">
        <f>100*(L24-L23)</f>
        <v/>
      </c>
      <c r="M158" s="21">
        <f>100*(M24-M23)</f>
        <v/>
      </c>
      <c r="N158" s="21">
        <f>100*(N24-N23)</f>
        <v/>
      </c>
      <c r="O158" s="21">
        <f>100*(O24-O23)</f>
        <v/>
      </c>
      <c r="P158" s="21">
        <f>100*(P24-P23)</f>
        <v/>
      </c>
      <c r="Q158" s="21">
        <f>100*(Q24-Q23)</f>
        <v/>
      </c>
      <c r="R158" s="21">
        <f>100*(R24-R23)</f>
        <v/>
      </c>
      <c r="S158" s="21">
        <f>100*(S24-S23)</f>
        <v/>
      </c>
      <c r="T158" s="21">
        <f>100*(T24-T23)</f>
        <v/>
      </c>
      <c r="U158" s="21">
        <f>100*(U24-U23)</f>
        <v/>
      </c>
      <c r="V158" s="21">
        <f>100*(V24-V23)</f>
        <v/>
      </c>
      <c r="W158" s="21">
        <f>100*(W24-W23)</f>
        <v/>
      </c>
      <c r="X158" s="21">
        <f>100*(X24-X23)</f>
        <v/>
      </c>
      <c r="Y158" s="21">
        <f>100*(Y24-Y23)</f>
        <v/>
      </c>
      <c r="Z158" s="21">
        <f>100*(Z24-Z23)</f>
        <v/>
      </c>
      <c r="AA158" s="21">
        <f>100*(AA24-AA23)</f>
        <v/>
      </c>
      <c r="AB158" s="21">
        <f>100*(AB24-AB23)</f>
        <v/>
      </c>
      <c r="AC158" s="21">
        <f>100*(AC24-AC23)</f>
        <v/>
      </c>
      <c r="AD158" s="21">
        <f>100*(AD24-AD23)</f>
        <v/>
      </c>
      <c r="AE158" s="21">
        <f>100*(AE24-AE23)</f>
        <v/>
      </c>
      <c r="AF158" s="21">
        <f>100*(AF24-AF23)</f>
        <v/>
      </c>
      <c r="AG158" s="21">
        <f>100*(AG24-AG23)</f>
        <v/>
      </c>
      <c r="AH158" s="21">
        <f>100*(AH24-AH23)</f>
        <v/>
      </c>
      <c r="AI158" s="21">
        <f>100*(AI24-AI23)</f>
        <v/>
      </c>
      <c r="AJ158" s="21">
        <f>100*(AJ24-AJ23)</f>
        <v/>
      </c>
      <c r="AK158" s="21">
        <f>100*(AK24-AK23)</f>
        <v/>
      </c>
      <c r="AL158" s="21">
        <f>100*(AL24-AL23)</f>
        <v/>
      </c>
      <c r="AM158" s="21">
        <f>100*(AM24-AM23)</f>
        <v/>
      </c>
      <c r="AN158" s="21">
        <f>100*(AN24-AN23)</f>
        <v/>
      </c>
      <c r="AO158" s="21">
        <f>100*(AO24-AO23)</f>
        <v/>
      </c>
      <c r="AP158" s="21">
        <f>100*(AP24-AP23)</f>
        <v/>
      </c>
      <c r="AQ158" s="21">
        <f>100*(AQ24-AQ23)</f>
        <v/>
      </c>
      <c r="AR158" s="21">
        <f>100*(AR24-AR23)</f>
        <v/>
      </c>
      <c r="AS158" s="21">
        <f>100*(AS24-AS23)</f>
        <v/>
      </c>
      <c r="AT158" s="21">
        <f>100*(AT24-AT23)</f>
        <v/>
      </c>
      <c r="AU158" s="21">
        <f>100*(AU24-AU23)</f>
        <v/>
      </c>
      <c r="AV158" s="21">
        <f>100*(AV24-AV23)</f>
        <v/>
      </c>
      <c r="AW158" s="21">
        <f>100*(AW24-AW23)</f>
        <v/>
      </c>
      <c r="AX158" s="21">
        <f>100*(AX24-AX23)</f>
        <v/>
      </c>
      <c r="AY158" s="21">
        <f>100*(AY24-AY23)</f>
        <v/>
      </c>
      <c r="AZ158" s="21">
        <f>100*(AZ24-AZ23)</f>
        <v/>
      </c>
      <c r="BA158" s="21">
        <f>100*(BA24-BA23)</f>
        <v/>
      </c>
      <c r="BB158" s="21">
        <f>100*(BB24-BB23)</f>
        <v/>
      </c>
      <c r="BC158" s="21">
        <f>100*(BC24-BC23)</f>
        <v/>
      </c>
      <c r="BD158" s="21">
        <f>100*(BD24-BD23)</f>
        <v/>
      </c>
      <c r="BE158" s="21">
        <f>100*(BE24-BE23)</f>
        <v/>
      </c>
      <c r="BF158" s="21">
        <f>100*(BF24-BF23)</f>
        <v/>
      </c>
      <c r="BG158" s="21">
        <f>100*(BG24-BG23)</f>
        <v/>
      </c>
      <c r="BH158" s="21">
        <f>AVERAGE(C158:BG158)</f>
        <v/>
      </c>
    </row>
    <row r="159">
      <c r="A159" s="19">
        <f>A25</f>
        <v/>
      </c>
      <c r="B159" s="20">
        <f>B25</f>
        <v/>
      </c>
      <c r="C159" s="21">
        <f>100*(C25-C24)</f>
        <v/>
      </c>
      <c r="D159" s="21">
        <f>100*(D25-D24)</f>
        <v/>
      </c>
      <c r="E159" s="21">
        <f>100*(E25-E24)</f>
        <v/>
      </c>
      <c r="F159" s="21">
        <f>100*(F25-F24)</f>
        <v/>
      </c>
      <c r="G159" s="21">
        <f>100*(G25-G24)</f>
        <v/>
      </c>
      <c r="H159" s="21">
        <f>100*(H25-H24)</f>
        <v/>
      </c>
      <c r="I159" s="21">
        <f>100*(I25-I24)</f>
        <v/>
      </c>
      <c r="J159" s="21">
        <f>100*(J25-J24)</f>
        <v/>
      </c>
      <c r="K159" s="21">
        <f>100*(K25-K24)</f>
        <v/>
      </c>
      <c r="L159" s="21">
        <f>100*(L25-L24)</f>
        <v/>
      </c>
      <c r="M159" s="21">
        <f>100*(M25-M24)</f>
        <v/>
      </c>
      <c r="N159" s="21">
        <f>100*(N25-N24)</f>
        <v/>
      </c>
      <c r="O159" s="21">
        <f>100*(O25-O24)</f>
        <v/>
      </c>
      <c r="P159" s="21">
        <f>100*(P25-P24)</f>
        <v/>
      </c>
      <c r="Q159" s="21">
        <f>100*(Q25-Q24)</f>
        <v/>
      </c>
      <c r="R159" s="21">
        <f>100*(R25-R24)</f>
        <v/>
      </c>
      <c r="S159" s="21">
        <f>100*(S25-S24)</f>
        <v/>
      </c>
      <c r="T159" s="21">
        <f>100*(T25-T24)</f>
        <v/>
      </c>
      <c r="U159" s="21">
        <f>100*(U25-U24)</f>
        <v/>
      </c>
      <c r="V159" s="21">
        <f>100*(V25-V24)</f>
        <v/>
      </c>
      <c r="W159" s="21">
        <f>100*(W25-W24)</f>
        <v/>
      </c>
      <c r="X159" s="21">
        <f>100*(X25-X24)</f>
        <v/>
      </c>
      <c r="Y159" s="21">
        <f>100*(Y25-Y24)</f>
        <v/>
      </c>
      <c r="Z159" s="21">
        <f>100*(Z25-Z24)</f>
        <v/>
      </c>
      <c r="AA159" s="21">
        <f>100*(AA25-AA24)</f>
        <v/>
      </c>
      <c r="AB159" s="21">
        <f>100*(AB25-AB24)</f>
        <v/>
      </c>
      <c r="AC159" s="21">
        <f>100*(AC25-AC24)</f>
        <v/>
      </c>
      <c r="AD159" s="21">
        <f>100*(AD25-AD24)</f>
        <v/>
      </c>
      <c r="AE159" s="21">
        <f>100*(AE25-AE24)</f>
        <v/>
      </c>
      <c r="AF159" s="21">
        <f>100*(AF25-AF24)</f>
        <v/>
      </c>
      <c r="AG159" s="21">
        <f>100*(AG25-AG24)</f>
        <v/>
      </c>
      <c r="AH159" s="21">
        <f>100*(AH25-AH24)</f>
        <v/>
      </c>
      <c r="AI159" s="21">
        <f>100*(AI25-AI24)</f>
        <v/>
      </c>
      <c r="AJ159" s="21">
        <f>100*(AJ25-AJ24)</f>
        <v/>
      </c>
      <c r="AK159" s="21">
        <f>100*(AK25-AK24)</f>
        <v/>
      </c>
      <c r="AL159" s="21">
        <f>100*(AL25-AL24)</f>
        <v/>
      </c>
      <c r="AM159" s="21">
        <f>100*(AM25-AM24)</f>
        <v/>
      </c>
      <c r="AN159" s="21">
        <f>100*(AN25-AN24)</f>
        <v/>
      </c>
      <c r="AO159" s="21">
        <f>100*(AO25-AO24)</f>
        <v/>
      </c>
      <c r="AP159" s="21">
        <f>100*(AP25-AP24)</f>
        <v/>
      </c>
      <c r="AQ159" s="21">
        <f>100*(AQ25-AQ24)</f>
        <v/>
      </c>
      <c r="AR159" s="21">
        <f>100*(AR25-AR24)</f>
        <v/>
      </c>
      <c r="AS159" s="21">
        <f>100*(AS25-AS24)</f>
        <v/>
      </c>
      <c r="AT159" s="21">
        <f>100*(AT25-AT24)</f>
        <v/>
      </c>
      <c r="AU159" s="21">
        <f>100*(AU25-AU24)</f>
        <v/>
      </c>
      <c r="AV159" s="21">
        <f>100*(AV25-AV24)</f>
        <v/>
      </c>
      <c r="AW159" s="21">
        <f>100*(AW25-AW24)</f>
        <v/>
      </c>
      <c r="AX159" s="21">
        <f>100*(AX25-AX24)</f>
        <v/>
      </c>
      <c r="AY159" s="21">
        <f>100*(AY25-AY24)</f>
        <v/>
      </c>
      <c r="AZ159" s="21">
        <f>100*(AZ25-AZ24)</f>
        <v/>
      </c>
      <c r="BA159" s="21">
        <f>100*(BA25-BA24)</f>
        <v/>
      </c>
      <c r="BB159" s="21">
        <f>100*(BB25-BB24)</f>
        <v/>
      </c>
      <c r="BC159" s="21">
        <f>100*(BC25-BC24)</f>
        <v/>
      </c>
      <c r="BD159" s="21">
        <f>100*(BD25-BD24)</f>
        <v/>
      </c>
      <c r="BE159" s="21">
        <f>100*(BE25-BE24)</f>
        <v/>
      </c>
      <c r="BF159" s="21">
        <f>100*(BF25-BF24)</f>
        <v/>
      </c>
      <c r="BG159" s="21">
        <f>100*(BG25-BG24)</f>
        <v/>
      </c>
      <c r="BH159" s="21">
        <f>AVERAGE(C159:BG159)</f>
        <v/>
      </c>
    </row>
    <row r="160">
      <c r="A160" s="19">
        <f>A26</f>
        <v/>
      </c>
      <c r="B160" s="20">
        <f>B26</f>
        <v/>
      </c>
      <c r="C160" s="21">
        <f>100*(C26-C25)</f>
        <v/>
      </c>
      <c r="D160" s="21">
        <f>100*(D26-D25)</f>
        <v/>
      </c>
      <c r="E160" s="21">
        <f>100*(E26-E25)</f>
        <v/>
      </c>
      <c r="F160" s="21">
        <f>100*(F26-F25)</f>
        <v/>
      </c>
      <c r="G160" s="21">
        <f>100*(G26-G25)</f>
        <v/>
      </c>
      <c r="H160" s="21">
        <f>100*(H26-H25)</f>
        <v/>
      </c>
      <c r="I160" s="21">
        <f>100*(I26-I25)</f>
        <v/>
      </c>
      <c r="J160" s="21">
        <f>100*(J26-J25)</f>
        <v/>
      </c>
      <c r="K160" s="21">
        <f>100*(K26-K25)</f>
        <v/>
      </c>
      <c r="L160" s="21">
        <f>100*(L26-L25)</f>
        <v/>
      </c>
      <c r="M160" s="21">
        <f>100*(M26-M25)</f>
        <v/>
      </c>
      <c r="N160" s="21">
        <f>100*(N26-N25)</f>
        <v/>
      </c>
      <c r="O160" s="21">
        <f>100*(O26-O25)</f>
        <v/>
      </c>
      <c r="P160" s="21">
        <f>100*(P26-P25)</f>
        <v/>
      </c>
      <c r="Q160" s="21">
        <f>100*(Q26-Q25)</f>
        <v/>
      </c>
      <c r="R160" s="21">
        <f>100*(R26-R25)</f>
        <v/>
      </c>
      <c r="S160" s="21">
        <f>100*(S26-S25)</f>
        <v/>
      </c>
      <c r="T160" s="21">
        <f>100*(T26-T25)</f>
        <v/>
      </c>
      <c r="U160" s="21">
        <f>100*(U26-U25)</f>
        <v/>
      </c>
      <c r="V160" s="21">
        <f>100*(V26-V25)</f>
        <v/>
      </c>
      <c r="W160" s="21">
        <f>100*(W26-W25)</f>
        <v/>
      </c>
      <c r="X160" s="21">
        <f>100*(X26-X25)</f>
        <v/>
      </c>
      <c r="Y160" s="21">
        <f>100*(Y26-Y25)</f>
        <v/>
      </c>
      <c r="Z160" s="21">
        <f>100*(Z26-Z25)</f>
        <v/>
      </c>
      <c r="AA160" s="21">
        <f>100*(AA26-AA25)</f>
        <v/>
      </c>
      <c r="AB160" s="21">
        <f>100*(AB26-AB25)</f>
        <v/>
      </c>
      <c r="AC160" s="21">
        <f>100*(AC26-AC25)</f>
        <v/>
      </c>
      <c r="AD160" s="21">
        <f>100*(AD26-AD25)</f>
        <v/>
      </c>
      <c r="AE160" s="21">
        <f>100*(AE26-AE25)</f>
        <v/>
      </c>
      <c r="AF160" s="21">
        <f>100*(AF26-AF25)</f>
        <v/>
      </c>
      <c r="AG160" s="21">
        <f>100*(AG26-AG25)</f>
        <v/>
      </c>
      <c r="AH160" s="21">
        <f>100*(AH26-AH25)</f>
        <v/>
      </c>
      <c r="AI160" s="21">
        <f>100*(AI26-AI25)</f>
        <v/>
      </c>
      <c r="AJ160" s="21">
        <f>100*(AJ26-AJ25)</f>
        <v/>
      </c>
      <c r="AK160" s="21">
        <f>100*(AK26-AK25)</f>
        <v/>
      </c>
      <c r="AL160" s="21">
        <f>100*(AL26-AL25)</f>
        <v/>
      </c>
      <c r="AM160" s="21">
        <f>100*(AM26-AM25)</f>
        <v/>
      </c>
      <c r="AN160" s="21">
        <f>100*(AN26-AN25)</f>
        <v/>
      </c>
      <c r="AO160" s="21">
        <f>100*(AO26-AO25)</f>
        <v/>
      </c>
      <c r="AP160" s="21">
        <f>100*(AP26-AP25)</f>
        <v/>
      </c>
      <c r="AQ160" s="21">
        <f>100*(AQ26-AQ25)</f>
        <v/>
      </c>
      <c r="AR160" s="21">
        <f>100*(AR26-AR25)</f>
        <v/>
      </c>
      <c r="AS160" s="21">
        <f>100*(AS26-AS25)</f>
        <v/>
      </c>
      <c r="AT160" s="21">
        <f>100*(AT26-AT25)</f>
        <v/>
      </c>
      <c r="AU160" s="21">
        <f>100*(AU26-AU25)</f>
        <v/>
      </c>
      <c r="AV160" s="21">
        <f>100*(AV26-AV25)</f>
        <v/>
      </c>
      <c r="AW160" s="21">
        <f>100*(AW26-AW25)</f>
        <v/>
      </c>
      <c r="AX160" s="21">
        <f>100*(AX26-AX25)</f>
        <v/>
      </c>
      <c r="AY160" s="21">
        <f>100*(AY26-AY25)</f>
        <v/>
      </c>
      <c r="AZ160" s="21">
        <f>100*(AZ26-AZ25)</f>
        <v/>
      </c>
      <c r="BA160" s="21">
        <f>100*(BA26-BA25)</f>
        <v/>
      </c>
      <c r="BB160" s="21">
        <f>100*(BB26-BB25)</f>
        <v/>
      </c>
      <c r="BC160" s="21">
        <f>100*(BC26-BC25)</f>
        <v/>
      </c>
      <c r="BD160" s="21">
        <f>100*(BD26-BD25)</f>
        <v/>
      </c>
      <c r="BE160" s="21">
        <f>100*(BE26-BE25)</f>
        <v/>
      </c>
      <c r="BF160" s="21">
        <f>100*(BF26-BF25)</f>
        <v/>
      </c>
      <c r="BG160" s="21">
        <f>100*(BG26-BG25)</f>
        <v/>
      </c>
      <c r="BH160" s="21">
        <f>AVERAGE(C160:BG160)</f>
        <v/>
      </c>
    </row>
    <row r="161">
      <c r="A161" s="19">
        <f>A27</f>
        <v/>
      </c>
      <c r="B161" s="20">
        <f>B27</f>
        <v/>
      </c>
      <c r="C161" s="21">
        <f>100*(C27-C26)</f>
        <v/>
      </c>
      <c r="D161" s="21">
        <f>100*(D27-D26)</f>
        <v/>
      </c>
      <c r="E161" s="21">
        <f>100*(E27-E26)</f>
        <v/>
      </c>
      <c r="F161" s="21">
        <f>100*(F27-F26)</f>
        <v/>
      </c>
      <c r="G161" s="21">
        <f>100*(G27-G26)</f>
        <v/>
      </c>
      <c r="H161" s="21">
        <f>100*(H27-H26)</f>
        <v/>
      </c>
      <c r="I161" s="21">
        <f>100*(I27-I26)</f>
        <v/>
      </c>
      <c r="J161" s="21">
        <f>100*(J27-J26)</f>
        <v/>
      </c>
      <c r="K161" s="21">
        <f>100*(K27-K26)</f>
        <v/>
      </c>
      <c r="L161" s="21">
        <f>100*(L27-L26)</f>
        <v/>
      </c>
      <c r="M161" s="21">
        <f>100*(M27-M26)</f>
        <v/>
      </c>
      <c r="N161" s="21">
        <f>100*(N27-N26)</f>
        <v/>
      </c>
      <c r="O161" s="21">
        <f>100*(O27-O26)</f>
        <v/>
      </c>
      <c r="P161" s="21">
        <f>100*(P27-P26)</f>
        <v/>
      </c>
      <c r="Q161" s="21">
        <f>100*(Q27-Q26)</f>
        <v/>
      </c>
      <c r="R161" s="21">
        <f>100*(R27-R26)</f>
        <v/>
      </c>
      <c r="S161" s="21">
        <f>100*(S27-S26)</f>
        <v/>
      </c>
      <c r="T161" s="21">
        <f>100*(T27-T26)</f>
        <v/>
      </c>
      <c r="U161" s="21">
        <f>100*(U27-U26)</f>
        <v/>
      </c>
      <c r="V161" s="21">
        <f>100*(V27-V26)</f>
        <v/>
      </c>
      <c r="W161" s="21">
        <f>100*(W27-W26)</f>
        <v/>
      </c>
      <c r="X161" s="21">
        <f>100*(X27-X26)</f>
        <v/>
      </c>
      <c r="Y161" s="21">
        <f>100*(Y27-Y26)</f>
        <v/>
      </c>
      <c r="Z161" s="21">
        <f>100*(Z27-Z26)</f>
        <v/>
      </c>
      <c r="AA161" s="21">
        <f>100*(AA27-AA26)</f>
        <v/>
      </c>
      <c r="AB161" s="21">
        <f>100*(AB27-AB26)</f>
        <v/>
      </c>
      <c r="AC161" s="21">
        <f>100*(AC27-AC26)</f>
        <v/>
      </c>
      <c r="AD161" s="21">
        <f>100*(AD27-AD26)</f>
        <v/>
      </c>
      <c r="AE161" s="21">
        <f>100*(AE27-AE26)</f>
        <v/>
      </c>
      <c r="AF161" s="21">
        <f>100*(AF27-AF26)</f>
        <v/>
      </c>
      <c r="AG161" s="21">
        <f>100*(AG27-AG26)</f>
        <v/>
      </c>
      <c r="AH161" s="21">
        <f>100*(AH27-AH26)</f>
        <v/>
      </c>
      <c r="AI161" s="21">
        <f>100*(AI27-AI26)</f>
        <v/>
      </c>
      <c r="AJ161" s="21">
        <f>100*(AJ27-AJ26)</f>
        <v/>
      </c>
      <c r="AK161" s="21">
        <f>100*(AK27-AK26)</f>
        <v/>
      </c>
      <c r="AL161" s="21">
        <f>100*(AL27-AL26)</f>
        <v/>
      </c>
      <c r="AM161" s="21">
        <f>100*(AM27-AM26)</f>
        <v/>
      </c>
      <c r="AN161" s="21">
        <f>100*(AN27-AN26)</f>
        <v/>
      </c>
      <c r="AO161" s="21">
        <f>100*(AO27-AO26)</f>
        <v/>
      </c>
      <c r="AP161" s="21">
        <f>100*(AP27-AP26)</f>
        <v/>
      </c>
      <c r="AQ161" s="21">
        <f>100*(AQ27-AQ26)</f>
        <v/>
      </c>
      <c r="AR161" s="21">
        <f>100*(AR27-AR26)</f>
        <v/>
      </c>
      <c r="AS161" s="21">
        <f>100*(AS27-AS26)</f>
        <v/>
      </c>
      <c r="AT161" s="21">
        <f>100*(AT27-AT26)</f>
        <v/>
      </c>
      <c r="AU161" s="21">
        <f>100*(AU27-AU26)</f>
        <v/>
      </c>
      <c r="AV161" s="21">
        <f>100*(AV27-AV26)</f>
        <v/>
      </c>
      <c r="AW161" s="21">
        <f>100*(AW27-AW26)</f>
        <v/>
      </c>
      <c r="AX161" s="21">
        <f>100*(AX27-AX26)</f>
        <v/>
      </c>
      <c r="AY161" s="21">
        <f>100*(AY27-AY26)</f>
        <v/>
      </c>
      <c r="AZ161" s="21">
        <f>100*(AZ27-AZ26)</f>
        <v/>
      </c>
      <c r="BA161" s="21">
        <f>100*(BA27-BA26)</f>
        <v/>
      </c>
      <c r="BB161" s="21">
        <f>100*(BB27-BB26)</f>
        <v/>
      </c>
      <c r="BC161" s="21">
        <f>100*(BC27-BC26)</f>
        <v/>
      </c>
      <c r="BD161" s="21">
        <f>100*(BD27-BD26)</f>
        <v/>
      </c>
      <c r="BE161" s="21">
        <f>100*(BE27-BE26)</f>
        <v/>
      </c>
      <c r="BF161" s="21">
        <f>100*(BF27-BF26)</f>
        <v/>
      </c>
      <c r="BG161" s="21">
        <f>100*(BG27-BG26)</f>
        <v/>
      </c>
      <c r="BH161" s="21">
        <f>AVERAGE(C161:BG161)</f>
        <v/>
      </c>
    </row>
    <row r="162">
      <c r="A162" s="19">
        <f>A28</f>
        <v/>
      </c>
      <c r="B162" s="20">
        <f>B28</f>
        <v/>
      </c>
      <c r="C162" s="21">
        <f>100*(C28-C27)</f>
        <v/>
      </c>
      <c r="D162" s="21">
        <f>100*(D28-D27)</f>
        <v/>
      </c>
      <c r="E162" s="21">
        <f>100*(E28-E27)</f>
        <v/>
      </c>
      <c r="F162" s="21">
        <f>100*(F28-F27)</f>
        <v/>
      </c>
      <c r="G162" s="21">
        <f>100*(G28-G27)</f>
        <v/>
      </c>
      <c r="H162" s="21">
        <f>100*(H28-H27)</f>
        <v/>
      </c>
      <c r="I162" s="21">
        <f>100*(I28-I27)</f>
        <v/>
      </c>
      <c r="J162" s="21">
        <f>100*(J28-J27)</f>
        <v/>
      </c>
      <c r="K162" s="21">
        <f>100*(K28-K27)</f>
        <v/>
      </c>
      <c r="L162" s="21">
        <f>100*(L28-L27)</f>
        <v/>
      </c>
      <c r="M162" s="21">
        <f>100*(M28-M27)</f>
        <v/>
      </c>
      <c r="N162" s="21">
        <f>100*(N28-N27)</f>
        <v/>
      </c>
      <c r="O162" s="21">
        <f>100*(O28-O27)</f>
        <v/>
      </c>
      <c r="P162" s="21">
        <f>100*(P28-P27)</f>
        <v/>
      </c>
      <c r="Q162" s="21">
        <f>100*(Q28-Q27)</f>
        <v/>
      </c>
      <c r="R162" s="21">
        <f>100*(R28-R27)</f>
        <v/>
      </c>
      <c r="S162" s="21">
        <f>100*(S28-S27)</f>
        <v/>
      </c>
      <c r="T162" s="21">
        <f>100*(T28-T27)</f>
        <v/>
      </c>
      <c r="U162" s="21">
        <f>100*(U28-U27)</f>
        <v/>
      </c>
      <c r="V162" s="21">
        <f>100*(V28-V27)</f>
        <v/>
      </c>
      <c r="W162" s="21">
        <f>100*(W28-W27)</f>
        <v/>
      </c>
      <c r="X162" s="21">
        <f>100*(X28-X27)</f>
        <v/>
      </c>
      <c r="Y162" s="21">
        <f>100*(Y28-Y27)</f>
        <v/>
      </c>
      <c r="Z162" s="21">
        <f>100*(Z28-Z27)</f>
        <v/>
      </c>
      <c r="AA162" s="21">
        <f>100*(AA28-AA27)</f>
        <v/>
      </c>
      <c r="AB162" s="21">
        <f>100*(AB28-AB27)</f>
        <v/>
      </c>
      <c r="AC162" s="21">
        <f>100*(AC28-AC27)</f>
        <v/>
      </c>
      <c r="AD162" s="21">
        <f>100*(AD28-AD27)</f>
        <v/>
      </c>
      <c r="AE162" s="21">
        <f>100*(AE28-AE27)</f>
        <v/>
      </c>
      <c r="AF162" s="21">
        <f>100*(AF28-AF27)</f>
        <v/>
      </c>
      <c r="AG162" s="21">
        <f>100*(AG28-AG27)</f>
        <v/>
      </c>
      <c r="AH162" s="21">
        <f>100*(AH28-AH27)</f>
        <v/>
      </c>
      <c r="AI162" s="21">
        <f>100*(AI28-AI27)</f>
        <v/>
      </c>
      <c r="AJ162" s="21">
        <f>100*(AJ28-AJ27)</f>
        <v/>
      </c>
      <c r="AK162" s="21">
        <f>100*(AK28-AK27)</f>
        <v/>
      </c>
      <c r="AL162" s="21">
        <f>100*(AL28-AL27)</f>
        <v/>
      </c>
      <c r="AM162" s="21">
        <f>100*(AM28-AM27)</f>
        <v/>
      </c>
      <c r="AN162" s="21">
        <f>100*(AN28-AN27)</f>
        <v/>
      </c>
      <c r="AO162" s="21">
        <f>100*(AO28-AO27)</f>
        <v/>
      </c>
      <c r="AP162" s="21">
        <f>100*(AP28-AP27)</f>
        <v/>
      </c>
      <c r="AQ162" s="21">
        <f>100*(AQ28-AQ27)</f>
        <v/>
      </c>
      <c r="AR162" s="21">
        <f>100*(AR28-AR27)</f>
        <v/>
      </c>
      <c r="AS162" s="21">
        <f>100*(AS28-AS27)</f>
        <v/>
      </c>
      <c r="AT162" s="21">
        <f>100*(AT28-AT27)</f>
        <v/>
      </c>
      <c r="AU162" s="21">
        <f>100*(AU28-AU27)</f>
        <v/>
      </c>
      <c r="AV162" s="21">
        <f>100*(AV28-AV27)</f>
        <v/>
      </c>
      <c r="AW162" s="21">
        <f>100*(AW28-AW27)</f>
        <v/>
      </c>
      <c r="AX162" s="21">
        <f>100*(AX28-AX27)</f>
        <v/>
      </c>
      <c r="AY162" s="21">
        <f>100*(AY28-AY27)</f>
        <v/>
      </c>
      <c r="AZ162" s="21">
        <f>100*(AZ28-AZ27)</f>
        <v/>
      </c>
      <c r="BA162" s="21">
        <f>100*(BA28-BA27)</f>
        <v/>
      </c>
      <c r="BB162" s="21">
        <f>100*(BB28-BB27)</f>
        <v/>
      </c>
      <c r="BC162" s="21">
        <f>100*(BC28-BC27)</f>
        <v/>
      </c>
      <c r="BD162" s="21">
        <f>100*(BD28-BD27)</f>
        <v/>
      </c>
      <c r="BE162" s="21">
        <f>100*(BE28-BE27)</f>
        <v/>
      </c>
      <c r="BF162" s="21">
        <f>100*(BF28-BF27)</f>
        <v/>
      </c>
      <c r="BG162" s="21">
        <f>100*(BG28-BG27)</f>
        <v/>
      </c>
      <c r="BH162" s="21">
        <f>AVERAGE(C162:BG162)</f>
        <v/>
      </c>
    </row>
    <row r="163">
      <c r="A163" s="19">
        <f>A29</f>
        <v/>
      </c>
      <c r="B163" s="20">
        <f>B29</f>
        <v/>
      </c>
      <c r="C163" s="21">
        <f>100*(C29-C28)</f>
        <v/>
      </c>
      <c r="D163" s="21">
        <f>100*(D29-D28)</f>
        <v/>
      </c>
      <c r="E163" s="21">
        <f>100*(E29-E28)</f>
        <v/>
      </c>
      <c r="F163" s="21">
        <f>100*(F29-F28)</f>
        <v/>
      </c>
      <c r="G163" s="21">
        <f>100*(G29-G28)</f>
        <v/>
      </c>
      <c r="H163" s="21">
        <f>100*(H29-H28)</f>
        <v/>
      </c>
      <c r="I163" s="21">
        <f>100*(I29-I28)</f>
        <v/>
      </c>
      <c r="J163" s="21">
        <f>100*(J29-J28)</f>
        <v/>
      </c>
      <c r="K163" s="21">
        <f>100*(K29-K28)</f>
        <v/>
      </c>
      <c r="L163" s="21">
        <f>100*(L29-L28)</f>
        <v/>
      </c>
      <c r="M163" s="21">
        <f>100*(M29-M28)</f>
        <v/>
      </c>
      <c r="N163" s="21">
        <f>100*(N29-N28)</f>
        <v/>
      </c>
      <c r="O163" s="21">
        <f>100*(O29-O28)</f>
        <v/>
      </c>
      <c r="P163" s="21">
        <f>100*(P29-P28)</f>
        <v/>
      </c>
      <c r="Q163" s="21">
        <f>100*(Q29-Q28)</f>
        <v/>
      </c>
      <c r="R163" s="21">
        <f>100*(R29-R28)</f>
        <v/>
      </c>
      <c r="S163" s="21">
        <f>100*(S29-S28)</f>
        <v/>
      </c>
      <c r="T163" s="21">
        <f>100*(T29-T28)</f>
        <v/>
      </c>
      <c r="U163" s="21">
        <f>100*(U29-U28)</f>
        <v/>
      </c>
      <c r="V163" s="21">
        <f>100*(V29-V28)</f>
        <v/>
      </c>
      <c r="W163" s="21">
        <f>100*(W29-W28)</f>
        <v/>
      </c>
      <c r="X163" s="21">
        <f>100*(X29-X28)</f>
        <v/>
      </c>
      <c r="Y163" s="21">
        <f>100*(Y29-Y28)</f>
        <v/>
      </c>
      <c r="Z163" s="21">
        <f>100*(Z29-Z28)</f>
        <v/>
      </c>
      <c r="AA163" s="21">
        <f>100*(AA29-AA28)</f>
        <v/>
      </c>
      <c r="AB163" s="21">
        <f>100*(AB29-AB28)</f>
        <v/>
      </c>
      <c r="AC163" s="21">
        <f>100*(AC29-AC28)</f>
        <v/>
      </c>
      <c r="AD163" s="21">
        <f>100*(AD29-AD28)</f>
        <v/>
      </c>
      <c r="AE163" s="21">
        <f>100*(AE29-AE28)</f>
        <v/>
      </c>
      <c r="AF163" s="21">
        <f>100*(AF29-AF28)</f>
        <v/>
      </c>
      <c r="AG163" s="21">
        <f>100*(AG29-AG28)</f>
        <v/>
      </c>
      <c r="AH163" s="21">
        <f>100*(AH29-AH28)</f>
        <v/>
      </c>
      <c r="AI163" s="21">
        <f>100*(AI29-AI28)</f>
        <v/>
      </c>
      <c r="AJ163" s="21">
        <f>100*(AJ29-AJ28)</f>
        <v/>
      </c>
      <c r="AK163" s="21">
        <f>100*(AK29-AK28)</f>
        <v/>
      </c>
      <c r="AL163" s="21">
        <f>100*(AL29-AL28)</f>
        <v/>
      </c>
      <c r="AM163" s="21">
        <f>100*(AM29-AM28)</f>
        <v/>
      </c>
      <c r="AN163" s="21">
        <f>100*(AN29-AN28)</f>
        <v/>
      </c>
      <c r="AO163" s="21">
        <f>100*(AO29-AO28)</f>
        <v/>
      </c>
      <c r="AP163" s="21">
        <f>100*(AP29-AP28)</f>
        <v/>
      </c>
      <c r="AQ163" s="21">
        <f>100*(AQ29-AQ28)</f>
        <v/>
      </c>
      <c r="AR163" s="21">
        <f>100*(AR29-AR28)</f>
        <v/>
      </c>
      <c r="AS163" s="21">
        <f>100*(AS29-AS28)</f>
        <v/>
      </c>
      <c r="AT163" s="21">
        <f>100*(AT29-AT28)</f>
        <v/>
      </c>
      <c r="AU163" s="21">
        <f>100*(AU29-AU28)</f>
        <v/>
      </c>
      <c r="AV163" s="21">
        <f>100*(AV29-AV28)</f>
        <v/>
      </c>
      <c r="AW163" s="21">
        <f>100*(AW29-AW28)</f>
        <v/>
      </c>
      <c r="AX163" s="21">
        <f>100*(AX29-AX28)</f>
        <v/>
      </c>
      <c r="AY163" s="21">
        <f>100*(AY29-AY28)</f>
        <v/>
      </c>
      <c r="AZ163" s="21">
        <f>100*(AZ29-AZ28)</f>
        <v/>
      </c>
      <c r="BA163" s="21">
        <f>100*(BA29-BA28)</f>
        <v/>
      </c>
      <c r="BB163" s="21">
        <f>100*(BB29-BB28)</f>
        <v/>
      </c>
      <c r="BC163" s="21">
        <f>100*(BC29-BC28)</f>
        <v/>
      </c>
      <c r="BD163" s="21">
        <f>100*(BD29-BD28)</f>
        <v/>
      </c>
      <c r="BE163" s="21">
        <f>100*(BE29-BE28)</f>
        <v/>
      </c>
      <c r="BF163" s="21">
        <f>100*(BF29-BF28)</f>
        <v/>
      </c>
      <c r="BG163" s="21">
        <f>100*(BG29-BG28)</f>
        <v/>
      </c>
      <c r="BH163" s="21">
        <f>AVERAGE(C163:BG163)</f>
        <v/>
      </c>
    </row>
    <row r="164">
      <c r="A164" s="19">
        <f>A30</f>
        <v/>
      </c>
      <c r="B164" s="20">
        <f>B30</f>
        <v/>
      </c>
      <c r="C164" s="21">
        <f>100*(C30-C29)</f>
        <v/>
      </c>
      <c r="D164" s="21">
        <f>100*(D30-D29)</f>
        <v/>
      </c>
      <c r="E164" s="21">
        <f>100*(E30-E29)</f>
        <v/>
      </c>
      <c r="F164" s="21">
        <f>100*(F30-F29)</f>
        <v/>
      </c>
      <c r="G164" s="21">
        <f>100*(G30-G29)</f>
        <v/>
      </c>
      <c r="H164" s="21">
        <f>100*(H30-H29)</f>
        <v/>
      </c>
      <c r="I164" s="21">
        <f>100*(I30-I29)</f>
        <v/>
      </c>
      <c r="J164" s="21">
        <f>100*(J30-J29)</f>
        <v/>
      </c>
      <c r="K164" s="21">
        <f>100*(K30-K29)</f>
        <v/>
      </c>
      <c r="L164" s="21">
        <f>100*(L30-L29)</f>
        <v/>
      </c>
      <c r="M164" s="21">
        <f>100*(M30-M29)</f>
        <v/>
      </c>
      <c r="N164" s="21">
        <f>100*(N30-N29)</f>
        <v/>
      </c>
      <c r="O164" s="21">
        <f>100*(O30-O29)</f>
        <v/>
      </c>
      <c r="P164" s="21">
        <f>100*(P30-P29)</f>
        <v/>
      </c>
      <c r="Q164" s="21">
        <f>100*(Q30-Q29)</f>
        <v/>
      </c>
      <c r="R164" s="21">
        <f>100*(R30-R29)</f>
        <v/>
      </c>
      <c r="S164" s="21">
        <f>100*(S30-S29)</f>
        <v/>
      </c>
      <c r="T164" s="21">
        <f>100*(T30-T29)</f>
        <v/>
      </c>
      <c r="U164" s="21">
        <f>100*(U30-U29)</f>
        <v/>
      </c>
      <c r="V164" s="21">
        <f>100*(V30-V29)</f>
        <v/>
      </c>
      <c r="W164" s="21">
        <f>100*(W30-W29)</f>
        <v/>
      </c>
      <c r="X164" s="21">
        <f>100*(X30-X29)</f>
        <v/>
      </c>
      <c r="Y164" s="21">
        <f>100*(Y30-Y29)</f>
        <v/>
      </c>
      <c r="Z164" s="21">
        <f>100*(Z30-Z29)</f>
        <v/>
      </c>
      <c r="AA164" s="21">
        <f>100*(AA30-AA29)</f>
        <v/>
      </c>
      <c r="AB164" s="21">
        <f>100*(AB30-AB29)</f>
        <v/>
      </c>
      <c r="AC164" s="21">
        <f>100*(AC30-AC29)</f>
        <v/>
      </c>
      <c r="AD164" s="21">
        <f>100*(AD30-AD29)</f>
        <v/>
      </c>
      <c r="AE164" s="21">
        <f>100*(AE30-AE29)</f>
        <v/>
      </c>
      <c r="AF164" s="21">
        <f>100*(AF30-AF29)</f>
        <v/>
      </c>
      <c r="AG164" s="21">
        <f>100*(AG30-AG29)</f>
        <v/>
      </c>
      <c r="AH164" s="21">
        <f>100*(AH30-AH29)</f>
        <v/>
      </c>
      <c r="AI164" s="21">
        <f>100*(AI30-AI29)</f>
        <v/>
      </c>
      <c r="AJ164" s="21">
        <f>100*(AJ30-AJ29)</f>
        <v/>
      </c>
      <c r="AK164" s="21">
        <f>100*(AK30-AK29)</f>
        <v/>
      </c>
      <c r="AL164" s="21">
        <f>100*(AL30-AL29)</f>
        <v/>
      </c>
      <c r="AM164" s="21">
        <f>100*(AM30-AM29)</f>
        <v/>
      </c>
      <c r="AN164" s="21">
        <f>100*(AN30-AN29)</f>
        <v/>
      </c>
      <c r="AO164" s="21">
        <f>100*(AO30-AO29)</f>
        <v/>
      </c>
      <c r="AP164" s="21">
        <f>100*(AP30-AP29)</f>
        <v/>
      </c>
      <c r="AQ164" s="21">
        <f>100*(AQ30-AQ29)</f>
        <v/>
      </c>
      <c r="AR164" s="21">
        <f>100*(AR30-AR29)</f>
        <v/>
      </c>
      <c r="AS164" s="21">
        <f>100*(AS30-AS29)</f>
        <v/>
      </c>
      <c r="AT164" s="21">
        <f>100*(AT30-AT29)</f>
        <v/>
      </c>
      <c r="AU164" s="21">
        <f>100*(AU30-AU29)</f>
        <v/>
      </c>
      <c r="AV164" s="21">
        <f>100*(AV30-AV29)</f>
        <v/>
      </c>
      <c r="AW164" s="21">
        <f>100*(AW30-AW29)</f>
        <v/>
      </c>
      <c r="AX164" s="21">
        <f>100*(AX30-AX29)</f>
        <v/>
      </c>
      <c r="AY164" s="21">
        <f>100*(AY30-AY29)</f>
        <v/>
      </c>
      <c r="AZ164" s="21">
        <f>100*(AZ30-AZ29)</f>
        <v/>
      </c>
      <c r="BA164" s="21">
        <f>100*(BA30-BA29)</f>
        <v/>
      </c>
      <c r="BB164" s="21">
        <f>100*(BB30-BB29)</f>
        <v/>
      </c>
      <c r="BC164" s="21">
        <f>100*(BC30-BC29)</f>
        <v/>
      </c>
      <c r="BD164" s="21">
        <f>100*(BD30-BD29)</f>
        <v/>
      </c>
      <c r="BE164" s="21">
        <f>100*(BE30-BE29)</f>
        <v/>
      </c>
      <c r="BF164" s="21">
        <f>100*(BF30-BF29)</f>
        <v/>
      </c>
      <c r="BG164" s="21">
        <f>100*(BG30-BG29)</f>
        <v/>
      </c>
      <c r="BH164" s="21">
        <f>AVERAGE(C164:BG164)</f>
        <v/>
      </c>
    </row>
    <row r="165">
      <c r="A165" s="19">
        <f>A31</f>
        <v/>
      </c>
      <c r="B165" s="20">
        <f>B31</f>
        <v/>
      </c>
      <c r="C165" s="21">
        <f>100*(C31-C30)</f>
        <v/>
      </c>
      <c r="D165" s="21">
        <f>100*(D31-D30)</f>
        <v/>
      </c>
      <c r="E165" s="21">
        <f>100*(E31-E30)</f>
        <v/>
      </c>
      <c r="F165" s="21">
        <f>100*(F31-F30)</f>
        <v/>
      </c>
      <c r="G165" s="21">
        <f>100*(G31-G30)</f>
        <v/>
      </c>
      <c r="H165" s="21">
        <f>100*(H31-H30)</f>
        <v/>
      </c>
      <c r="I165" s="21">
        <f>100*(I31-I30)</f>
        <v/>
      </c>
      <c r="J165" s="21">
        <f>100*(J31-J30)</f>
        <v/>
      </c>
      <c r="K165" s="21">
        <f>100*(K31-K30)</f>
        <v/>
      </c>
      <c r="L165" s="21">
        <f>100*(L31-L30)</f>
        <v/>
      </c>
      <c r="M165" s="21">
        <f>100*(M31-M30)</f>
        <v/>
      </c>
      <c r="N165" s="21">
        <f>100*(N31-N30)</f>
        <v/>
      </c>
      <c r="O165" s="21">
        <f>100*(O31-O30)</f>
        <v/>
      </c>
      <c r="P165" s="21">
        <f>100*(P31-P30)</f>
        <v/>
      </c>
      <c r="Q165" s="21">
        <f>100*(Q31-Q30)</f>
        <v/>
      </c>
      <c r="R165" s="21">
        <f>100*(R31-R30)</f>
        <v/>
      </c>
      <c r="S165" s="21">
        <f>100*(S31-S30)</f>
        <v/>
      </c>
      <c r="T165" s="21">
        <f>100*(T31-T30)</f>
        <v/>
      </c>
      <c r="U165" s="21">
        <f>100*(U31-U30)</f>
        <v/>
      </c>
      <c r="V165" s="21">
        <f>100*(V31-V30)</f>
        <v/>
      </c>
      <c r="W165" s="21">
        <f>100*(W31-W30)</f>
        <v/>
      </c>
      <c r="X165" s="21">
        <f>100*(X31-X30)</f>
        <v/>
      </c>
      <c r="Y165" s="21">
        <f>100*(Y31-Y30)</f>
        <v/>
      </c>
      <c r="Z165" s="21">
        <f>100*(Z31-Z30)</f>
        <v/>
      </c>
      <c r="AA165" s="21">
        <f>100*(AA31-AA30)</f>
        <v/>
      </c>
      <c r="AB165" s="21">
        <f>100*(AB31-AB30)</f>
        <v/>
      </c>
      <c r="AC165" s="21">
        <f>100*(AC31-AC30)</f>
        <v/>
      </c>
      <c r="AD165" s="21">
        <f>100*(AD31-AD30)</f>
        <v/>
      </c>
      <c r="AE165" s="21">
        <f>100*(AE31-AE30)</f>
        <v/>
      </c>
      <c r="AF165" s="21">
        <f>100*(AF31-AF30)</f>
        <v/>
      </c>
      <c r="AG165" s="21">
        <f>100*(AG31-AG30)</f>
        <v/>
      </c>
      <c r="AH165" s="21">
        <f>100*(AH31-AH30)</f>
        <v/>
      </c>
      <c r="AI165" s="21">
        <f>100*(AI31-AI30)</f>
        <v/>
      </c>
      <c r="AJ165" s="21">
        <f>100*(AJ31-AJ30)</f>
        <v/>
      </c>
      <c r="AK165" s="21">
        <f>100*(AK31-AK30)</f>
        <v/>
      </c>
      <c r="AL165" s="21">
        <f>100*(AL31-AL30)</f>
        <v/>
      </c>
      <c r="AM165" s="21">
        <f>100*(AM31-AM30)</f>
        <v/>
      </c>
      <c r="AN165" s="21">
        <f>100*(AN31-AN30)</f>
        <v/>
      </c>
      <c r="AO165" s="21">
        <f>100*(AO31-AO30)</f>
        <v/>
      </c>
      <c r="AP165" s="21">
        <f>100*(AP31-AP30)</f>
        <v/>
      </c>
      <c r="AQ165" s="21">
        <f>100*(AQ31-AQ30)</f>
        <v/>
      </c>
      <c r="AR165" s="21">
        <f>100*(AR31-AR30)</f>
        <v/>
      </c>
      <c r="AS165" s="21">
        <f>100*(AS31-AS30)</f>
        <v/>
      </c>
      <c r="AT165" s="21">
        <f>100*(AT31-AT30)</f>
        <v/>
      </c>
      <c r="AU165" s="21">
        <f>100*(AU31-AU30)</f>
        <v/>
      </c>
      <c r="AV165" s="21">
        <f>100*(AV31-AV30)</f>
        <v/>
      </c>
      <c r="AW165" s="21">
        <f>100*(AW31-AW30)</f>
        <v/>
      </c>
      <c r="AX165" s="21">
        <f>100*(AX31-AX30)</f>
        <v/>
      </c>
      <c r="AY165" s="21">
        <f>100*(AY31-AY30)</f>
        <v/>
      </c>
      <c r="AZ165" s="21">
        <f>100*(AZ31-AZ30)</f>
        <v/>
      </c>
      <c r="BA165" s="21">
        <f>100*(BA31-BA30)</f>
        <v/>
      </c>
      <c r="BB165" s="21">
        <f>100*(BB31-BB30)</f>
        <v/>
      </c>
      <c r="BC165" s="21">
        <f>100*(BC31-BC30)</f>
        <v/>
      </c>
      <c r="BD165" s="21">
        <f>100*(BD31-BD30)</f>
        <v/>
      </c>
      <c r="BE165" s="21">
        <f>100*(BE31-BE30)</f>
        <v/>
      </c>
      <c r="BF165" s="21">
        <f>100*(BF31-BF30)</f>
        <v/>
      </c>
      <c r="BG165" s="21">
        <f>100*(BG31-BG30)</f>
        <v/>
      </c>
      <c r="BH165" s="21">
        <f>AVERAGE(C165:BG165)</f>
        <v/>
      </c>
    </row>
    <row r="166">
      <c r="A166" s="19">
        <f>A32</f>
        <v/>
      </c>
      <c r="B166" s="20">
        <f>B32</f>
        <v/>
      </c>
      <c r="C166" s="21">
        <f>100*(C32-C31)</f>
        <v/>
      </c>
      <c r="D166" s="21">
        <f>100*(D32-D31)</f>
        <v/>
      </c>
      <c r="E166" s="21">
        <f>100*(E32-E31)</f>
        <v/>
      </c>
      <c r="F166" s="21">
        <f>100*(F32-F31)</f>
        <v/>
      </c>
      <c r="G166" s="21">
        <f>100*(G32-G31)</f>
        <v/>
      </c>
      <c r="H166" s="21">
        <f>100*(H32-H31)</f>
        <v/>
      </c>
      <c r="I166" s="21">
        <f>100*(I32-I31)</f>
        <v/>
      </c>
      <c r="J166" s="21">
        <f>100*(J32-J31)</f>
        <v/>
      </c>
      <c r="K166" s="21">
        <f>100*(K32-K31)</f>
        <v/>
      </c>
      <c r="L166" s="21">
        <f>100*(L32-L31)</f>
        <v/>
      </c>
      <c r="M166" s="21">
        <f>100*(M32-M31)</f>
        <v/>
      </c>
      <c r="N166" s="21">
        <f>100*(N32-N31)</f>
        <v/>
      </c>
      <c r="O166" s="21">
        <f>100*(O32-O31)</f>
        <v/>
      </c>
      <c r="P166" s="21">
        <f>100*(P32-P31)</f>
        <v/>
      </c>
      <c r="Q166" s="21">
        <f>100*(Q32-Q31)</f>
        <v/>
      </c>
      <c r="R166" s="21">
        <f>100*(R32-R31)</f>
        <v/>
      </c>
      <c r="S166" s="21">
        <f>100*(S32-S31)</f>
        <v/>
      </c>
      <c r="T166" s="21">
        <f>100*(T32-T31)</f>
        <v/>
      </c>
      <c r="U166" s="21">
        <f>100*(U32-U31)</f>
        <v/>
      </c>
      <c r="V166" s="21">
        <f>100*(V32-V31)</f>
        <v/>
      </c>
      <c r="W166" s="21">
        <f>100*(W32-W31)</f>
        <v/>
      </c>
      <c r="X166" s="21">
        <f>100*(X32-X31)</f>
        <v/>
      </c>
      <c r="Y166" s="21">
        <f>100*(Y32-Y31)</f>
        <v/>
      </c>
      <c r="Z166" s="21">
        <f>100*(Z32-Z31)</f>
        <v/>
      </c>
      <c r="AA166" s="21">
        <f>100*(AA32-AA31)</f>
        <v/>
      </c>
      <c r="AB166" s="21">
        <f>100*(AB32-AB31)</f>
        <v/>
      </c>
      <c r="AC166" s="21">
        <f>100*(AC32-AC31)</f>
        <v/>
      </c>
      <c r="AD166" s="21">
        <f>100*(AD32-AD31)</f>
        <v/>
      </c>
      <c r="AE166" s="21">
        <f>100*(AE32-AE31)</f>
        <v/>
      </c>
      <c r="AF166" s="21">
        <f>100*(AF32-AF31)</f>
        <v/>
      </c>
      <c r="AG166" s="21">
        <f>100*(AG32-AG31)</f>
        <v/>
      </c>
      <c r="AH166" s="21">
        <f>100*(AH32-AH31)</f>
        <v/>
      </c>
      <c r="AI166" s="21">
        <f>100*(AI32-AI31)</f>
        <v/>
      </c>
      <c r="AJ166" s="21">
        <f>100*(AJ32-AJ31)</f>
        <v/>
      </c>
      <c r="AK166" s="21">
        <f>100*(AK32-AK31)</f>
        <v/>
      </c>
      <c r="AL166" s="21">
        <f>100*(AL32-AL31)</f>
        <v/>
      </c>
      <c r="AM166" s="21">
        <f>100*(AM32-AM31)</f>
        <v/>
      </c>
      <c r="AN166" s="21">
        <f>100*(AN32-AN31)</f>
        <v/>
      </c>
      <c r="AO166" s="21">
        <f>100*(AO32-AO31)</f>
        <v/>
      </c>
      <c r="AP166" s="21">
        <f>100*(AP32-AP31)</f>
        <v/>
      </c>
      <c r="AQ166" s="21">
        <f>100*(AQ32-AQ31)</f>
        <v/>
      </c>
      <c r="AR166" s="21">
        <f>100*(AR32-AR31)</f>
        <v/>
      </c>
      <c r="AS166" s="21">
        <f>100*(AS32-AS31)</f>
        <v/>
      </c>
      <c r="AT166" s="21">
        <f>100*(AT32-AT31)</f>
        <v/>
      </c>
      <c r="AU166" s="21">
        <f>100*(AU32-AU31)</f>
        <v/>
      </c>
      <c r="AV166" s="21">
        <f>100*(AV32-AV31)</f>
        <v/>
      </c>
      <c r="AW166" s="21">
        <f>100*(AW32-AW31)</f>
        <v/>
      </c>
      <c r="AX166" s="21">
        <f>100*(AX32-AX31)</f>
        <v/>
      </c>
      <c r="AY166" s="21">
        <f>100*(AY32-AY31)</f>
        <v/>
      </c>
      <c r="AZ166" s="21">
        <f>100*(AZ32-AZ31)</f>
        <v/>
      </c>
      <c r="BA166" s="21">
        <f>100*(BA32-BA31)</f>
        <v/>
      </c>
      <c r="BB166" s="21">
        <f>100*(BB32-BB31)</f>
        <v/>
      </c>
      <c r="BC166" s="21">
        <f>100*(BC32-BC31)</f>
        <v/>
      </c>
      <c r="BD166" s="21">
        <f>100*(BD32-BD31)</f>
        <v/>
      </c>
      <c r="BE166" s="21">
        <f>100*(BE32-BE31)</f>
        <v/>
      </c>
      <c r="BF166" s="21">
        <f>100*(BF32-BF31)</f>
        <v/>
      </c>
      <c r="BG166" s="21">
        <f>100*(BG32-BG31)</f>
        <v/>
      </c>
      <c r="BH166" s="21">
        <f>AVERAGE(C166:BG166)</f>
        <v/>
      </c>
    </row>
    <row r="167">
      <c r="A167" s="19">
        <f>A33</f>
        <v/>
      </c>
      <c r="B167" s="20">
        <f>B33</f>
        <v/>
      </c>
      <c r="C167" s="21">
        <f>100*(C33-C32)</f>
        <v/>
      </c>
      <c r="D167" s="21">
        <f>100*(D33-D32)</f>
        <v/>
      </c>
      <c r="E167" s="21">
        <f>100*(E33-E32)</f>
        <v/>
      </c>
      <c r="F167" s="21">
        <f>100*(F33-F32)</f>
        <v/>
      </c>
      <c r="G167" s="21">
        <f>100*(G33-G32)</f>
        <v/>
      </c>
      <c r="H167" s="21">
        <f>100*(H33-H32)</f>
        <v/>
      </c>
      <c r="I167" s="21">
        <f>100*(I33-I32)</f>
        <v/>
      </c>
      <c r="J167" s="21">
        <f>100*(J33-J32)</f>
        <v/>
      </c>
      <c r="K167" s="21">
        <f>100*(K33-K32)</f>
        <v/>
      </c>
      <c r="L167" s="21">
        <f>100*(L33-L32)</f>
        <v/>
      </c>
      <c r="M167" s="21">
        <f>100*(M33-M32)</f>
        <v/>
      </c>
      <c r="N167" s="21">
        <f>100*(N33-N32)</f>
        <v/>
      </c>
      <c r="O167" s="21">
        <f>100*(O33-O32)</f>
        <v/>
      </c>
      <c r="P167" s="21">
        <f>100*(P33-P32)</f>
        <v/>
      </c>
      <c r="Q167" s="21">
        <f>100*(Q33-Q32)</f>
        <v/>
      </c>
      <c r="R167" s="21">
        <f>100*(R33-R32)</f>
        <v/>
      </c>
      <c r="S167" s="21">
        <f>100*(S33-S32)</f>
        <v/>
      </c>
      <c r="T167" s="21">
        <f>100*(T33-T32)</f>
        <v/>
      </c>
      <c r="U167" s="21">
        <f>100*(U33-U32)</f>
        <v/>
      </c>
      <c r="V167" s="21">
        <f>100*(V33-V32)</f>
        <v/>
      </c>
      <c r="W167" s="21">
        <f>100*(W33-W32)</f>
        <v/>
      </c>
      <c r="X167" s="21">
        <f>100*(X33-X32)</f>
        <v/>
      </c>
      <c r="Y167" s="21">
        <f>100*(Y33-Y32)</f>
        <v/>
      </c>
      <c r="Z167" s="21">
        <f>100*(Z33-Z32)</f>
        <v/>
      </c>
      <c r="AA167" s="21">
        <f>100*(AA33-AA32)</f>
        <v/>
      </c>
      <c r="AB167" s="21">
        <f>100*(AB33-AB32)</f>
        <v/>
      </c>
      <c r="AC167" s="21">
        <f>100*(AC33-AC32)</f>
        <v/>
      </c>
      <c r="AD167" s="21">
        <f>100*(AD33-AD32)</f>
        <v/>
      </c>
      <c r="AE167" s="21">
        <f>100*(AE33-AE32)</f>
        <v/>
      </c>
      <c r="AF167" s="21">
        <f>100*(AF33-AF32)</f>
        <v/>
      </c>
      <c r="AG167" s="21">
        <f>100*(AG33-AG32)</f>
        <v/>
      </c>
      <c r="AH167" s="21">
        <f>100*(AH33-AH32)</f>
        <v/>
      </c>
      <c r="AI167" s="21">
        <f>100*(AI33-AI32)</f>
        <v/>
      </c>
      <c r="AJ167" s="21">
        <f>100*(AJ33-AJ32)</f>
        <v/>
      </c>
      <c r="AK167" s="21">
        <f>100*(AK33-AK32)</f>
        <v/>
      </c>
      <c r="AL167" s="21">
        <f>100*(AL33-AL32)</f>
        <v/>
      </c>
      <c r="AM167" s="21">
        <f>100*(AM33-AM32)</f>
        <v/>
      </c>
      <c r="AN167" s="21">
        <f>100*(AN33-AN32)</f>
        <v/>
      </c>
      <c r="AO167" s="21">
        <f>100*(AO33-AO32)</f>
        <v/>
      </c>
      <c r="AP167" s="21">
        <f>100*(AP33-AP32)</f>
        <v/>
      </c>
      <c r="AQ167" s="21">
        <f>100*(AQ33-AQ32)</f>
        <v/>
      </c>
      <c r="AR167" s="21">
        <f>100*(AR33-AR32)</f>
        <v/>
      </c>
      <c r="AS167" s="21">
        <f>100*(AS33-AS32)</f>
        <v/>
      </c>
      <c r="AT167" s="21">
        <f>100*(AT33-AT32)</f>
        <v/>
      </c>
      <c r="AU167" s="21">
        <f>100*(AU33-AU32)</f>
        <v/>
      </c>
      <c r="AV167" s="21">
        <f>100*(AV33-AV32)</f>
        <v/>
      </c>
      <c r="AW167" s="21">
        <f>100*(AW33-AW32)</f>
        <v/>
      </c>
      <c r="AX167" s="21">
        <f>100*(AX33-AX32)</f>
        <v/>
      </c>
      <c r="AY167" s="21">
        <f>100*(AY33-AY32)</f>
        <v/>
      </c>
      <c r="AZ167" s="21">
        <f>100*(AZ33-AZ32)</f>
        <v/>
      </c>
      <c r="BA167" s="21">
        <f>100*(BA33-BA32)</f>
        <v/>
      </c>
      <c r="BB167" s="21">
        <f>100*(BB33-BB32)</f>
        <v/>
      </c>
      <c r="BC167" s="21">
        <f>100*(BC33-BC32)</f>
        <v/>
      </c>
      <c r="BD167" s="21">
        <f>100*(BD33-BD32)</f>
        <v/>
      </c>
      <c r="BE167" s="21">
        <f>100*(BE33-BE32)</f>
        <v/>
      </c>
      <c r="BF167" s="21">
        <f>100*(BF33-BF32)</f>
        <v/>
      </c>
      <c r="BG167" s="21">
        <f>100*(BG33-BG32)</f>
        <v/>
      </c>
      <c r="BH167" s="21">
        <f>AVERAGE(C167:BG167)</f>
        <v/>
      </c>
    </row>
    <row r="168">
      <c r="A168" s="19">
        <f>A34</f>
        <v/>
      </c>
      <c r="B168" s="20">
        <f>B34</f>
        <v/>
      </c>
      <c r="C168" s="21">
        <f>100*(C34-C33)</f>
        <v/>
      </c>
      <c r="D168" s="21">
        <f>100*(D34-D33)</f>
        <v/>
      </c>
      <c r="E168" s="21">
        <f>100*(E34-E33)</f>
        <v/>
      </c>
      <c r="F168" s="21">
        <f>100*(F34-F33)</f>
        <v/>
      </c>
      <c r="G168" s="21">
        <f>100*(G34-G33)</f>
        <v/>
      </c>
      <c r="H168" s="21">
        <f>100*(H34-H33)</f>
        <v/>
      </c>
      <c r="I168" s="21">
        <f>100*(I34-I33)</f>
        <v/>
      </c>
      <c r="J168" s="21">
        <f>100*(J34-J33)</f>
        <v/>
      </c>
      <c r="K168" s="21">
        <f>100*(K34-K33)</f>
        <v/>
      </c>
      <c r="L168" s="21">
        <f>100*(L34-L33)</f>
        <v/>
      </c>
      <c r="M168" s="21">
        <f>100*(M34-M33)</f>
        <v/>
      </c>
      <c r="N168" s="21">
        <f>100*(N34-N33)</f>
        <v/>
      </c>
      <c r="O168" s="21">
        <f>100*(O34-O33)</f>
        <v/>
      </c>
      <c r="P168" s="21">
        <f>100*(P34-P33)</f>
        <v/>
      </c>
      <c r="Q168" s="21">
        <f>100*(Q34-Q33)</f>
        <v/>
      </c>
      <c r="R168" s="21">
        <f>100*(R34-R33)</f>
        <v/>
      </c>
      <c r="S168" s="21">
        <f>100*(S34-S33)</f>
        <v/>
      </c>
      <c r="T168" s="21">
        <f>100*(T34-T33)</f>
        <v/>
      </c>
      <c r="U168" s="21">
        <f>100*(U34-U33)</f>
        <v/>
      </c>
      <c r="V168" s="21">
        <f>100*(V34-V33)</f>
        <v/>
      </c>
      <c r="W168" s="21">
        <f>100*(W34-W33)</f>
        <v/>
      </c>
      <c r="X168" s="21">
        <f>100*(X34-X33)</f>
        <v/>
      </c>
      <c r="Y168" s="21">
        <f>100*(Y34-Y33)</f>
        <v/>
      </c>
      <c r="Z168" s="21">
        <f>100*(Z34-Z33)</f>
        <v/>
      </c>
      <c r="AA168" s="21">
        <f>100*(AA34-AA33)</f>
        <v/>
      </c>
      <c r="AB168" s="21">
        <f>100*(AB34-AB33)</f>
        <v/>
      </c>
      <c r="AC168" s="21">
        <f>100*(AC34-AC33)</f>
        <v/>
      </c>
      <c r="AD168" s="21">
        <f>100*(AD34-AD33)</f>
        <v/>
      </c>
      <c r="AE168" s="21">
        <f>100*(AE34-AE33)</f>
        <v/>
      </c>
      <c r="AF168" s="21">
        <f>100*(AF34-AF33)</f>
        <v/>
      </c>
      <c r="AG168" s="21">
        <f>100*(AG34-AG33)</f>
        <v/>
      </c>
      <c r="AH168" s="21">
        <f>100*(AH34-AH33)</f>
        <v/>
      </c>
      <c r="AI168" s="21">
        <f>100*(AI34-AI33)</f>
        <v/>
      </c>
      <c r="AJ168" s="21">
        <f>100*(AJ34-AJ33)</f>
        <v/>
      </c>
      <c r="AK168" s="21">
        <f>100*(AK34-AK33)</f>
        <v/>
      </c>
      <c r="AL168" s="21">
        <f>100*(AL34-AL33)</f>
        <v/>
      </c>
      <c r="AM168" s="21">
        <f>100*(AM34-AM33)</f>
        <v/>
      </c>
      <c r="AN168" s="21">
        <f>100*(AN34-AN33)</f>
        <v/>
      </c>
      <c r="AO168" s="21">
        <f>100*(AO34-AO33)</f>
        <v/>
      </c>
      <c r="AP168" s="21">
        <f>100*(AP34-AP33)</f>
        <v/>
      </c>
      <c r="AQ168" s="21">
        <f>100*(AQ34-AQ33)</f>
        <v/>
      </c>
      <c r="AR168" s="21">
        <f>100*(AR34-AR33)</f>
        <v/>
      </c>
      <c r="AS168" s="21">
        <f>100*(AS34-AS33)</f>
        <v/>
      </c>
      <c r="AT168" s="21">
        <f>100*(AT34-AT33)</f>
        <v/>
      </c>
      <c r="AU168" s="21">
        <f>100*(AU34-AU33)</f>
        <v/>
      </c>
      <c r="AV168" s="21">
        <f>100*(AV34-AV33)</f>
        <v/>
      </c>
      <c r="AW168" s="21">
        <f>100*(AW34-AW33)</f>
        <v/>
      </c>
      <c r="AX168" s="21">
        <f>100*(AX34-AX33)</f>
        <v/>
      </c>
      <c r="AY168" s="21">
        <f>100*(AY34-AY33)</f>
        <v/>
      </c>
      <c r="AZ168" s="21">
        <f>100*(AZ34-AZ33)</f>
        <v/>
      </c>
      <c r="BA168" s="21">
        <f>100*(BA34-BA33)</f>
        <v/>
      </c>
      <c r="BB168" s="21">
        <f>100*(BB34-BB33)</f>
        <v/>
      </c>
      <c r="BC168" s="21">
        <f>100*(BC34-BC33)</f>
        <v/>
      </c>
      <c r="BD168" s="21">
        <f>100*(BD34-BD33)</f>
        <v/>
      </c>
      <c r="BE168" s="21">
        <f>100*(BE34-BE33)</f>
        <v/>
      </c>
      <c r="BF168" s="21">
        <f>100*(BF34-BF33)</f>
        <v/>
      </c>
      <c r="BG168" s="21">
        <f>100*(BG34-BG33)</f>
        <v/>
      </c>
      <c r="BH168" s="21">
        <f>AVERAGE(C168:BG168)</f>
        <v/>
      </c>
    </row>
    <row r="169">
      <c r="A169" s="19">
        <f>A35</f>
        <v/>
      </c>
      <c r="B169" s="20">
        <f>B35</f>
        <v/>
      </c>
      <c r="C169" s="21">
        <f>100*(C35-C34)</f>
        <v/>
      </c>
      <c r="D169" s="21">
        <f>100*(D35-D34)</f>
        <v/>
      </c>
      <c r="E169" s="21">
        <f>100*(E35-E34)</f>
        <v/>
      </c>
      <c r="F169" s="21">
        <f>100*(F35-F34)</f>
        <v/>
      </c>
      <c r="G169" s="21">
        <f>100*(G35-G34)</f>
        <v/>
      </c>
      <c r="H169" s="21">
        <f>100*(H35-H34)</f>
        <v/>
      </c>
      <c r="I169" s="21">
        <f>100*(I35-I34)</f>
        <v/>
      </c>
      <c r="J169" s="21">
        <f>100*(J35-J34)</f>
        <v/>
      </c>
      <c r="K169" s="21">
        <f>100*(K35-K34)</f>
        <v/>
      </c>
      <c r="L169" s="21">
        <f>100*(L35-L34)</f>
        <v/>
      </c>
      <c r="M169" s="21">
        <f>100*(M35-M34)</f>
        <v/>
      </c>
      <c r="N169" s="21">
        <f>100*(N35-N34)</f>
        <v/>
      </c>
      <c r="O169" s="21">
        <f>100*(O35-O34)</f>
        <v/>
      </c>
      <c r="P169" s="21">
        <f>100*(P35-P34)</f>
        <v/>
      </c>
      <c r="Q169" s="21">
        <f>100*(Q35-Q34)</f>
        <v/>
      </c>
      <c r="R169" s="21">
        <f>100*(R35-R34)</f>
        <v/>
      </c>
      <c r="S169" s="21">
        <f>100*(S35-S34)</f>
        <v/>
      </c>
      <c r="T169" s="21">
        <f>100*(T35-T34)</f>
        <v/>
      </c>
      <c r="U169" s="21">
        <f>100*(U35-U34)</f>
        <v/>
      </c>
      <c r="V169" s="21">
        <f>100*(V35-V34)</f>
        <v/>
      </c>
      <c r="W169" s="21">
        <f>100*(W35-W34)</f>
        <v/>
      </c>
      <c r="X169" s="21">
        <f>100*(X35-X34)</f>
        <v/>
      </c>
      <c r="Y169" s="21">
        <f>100*(Y35-Y34)</f>
        <v/>
      </c>
      <c r="Z169" s="21">
        <f>100*(Z35-Z34)</f>
        <v/>
      </c>
      <c r="AA169" s="21">
        <f>100*(AA35-AA34)</f>
        <v/>
      </c>
      <c r="AB169" s="21">
        <f>100*(AB35-AB34)</f>
        <v/>
      </c>
      <c r="AC169" s="21">
        <f>100*(AC35-AC34)</f>
        <v/>
      </c>
      <c r="AD169" s="21">
        <f>100*(AD35-AD34)</f>
        <v/>
      </c>
      <c r="AE169" s="21">
        <f>100*(AE35-AE34)</f>
        <v/>
      </c>
      <c r="AF169" s="21">
        <f>100*(AF35-AF34)</f>
        <v/>
      </c>
      <c r="AG169" s="21">
        <f>100*(AG35-AG34)</f>
        <v/>
      </c>
      <c r="AH169" s="21">
        <f>100*(AH35-AH34)</f>
        <v/>
      </c>
      <c r="AI169" s="21">
        <f>100*(AI35-AI34)</f>
        <v/>
      </c>
      <c r="AJ169" s="21">
        <f>100*(AJ35-AJ34)</f>
        <v/>
      </c>
      <c r="AK169" s="21">
        <f>100*(AK35-AK34)</f>
        <v/>
      </c>
      <c r="AL169" s="21">
        <f>100*(AL35-AL34)</f>
        <v/>
      </c>
      <c r="AM169" s="21">
        <f>100*(AM35-AM34)</f>
        <v/>
      </c>
      <c r="AN169" s="21">
        <f>100*(AN35-AN34)</f>
        <v/>
      </c>
      <c r="AO169" s="21">
        <f>100*(AO35-AO34)</f>
        <v/>
      </c>
      <c r="AP169" s="21">
        <f>100*(AP35-AP34)</f>
        <v/>
      </c>
      <c r="AQ169" s="21">
        <f>100*(AQ35-AQ34)</f>
        <v/>
      </c>
      <c r="AR169" s="21">
        <f>100*(AR35-AR34)</f>
        <v/>
      </c>
      <c r="AS169" s="21">
        <f>100*(AS35-AS34)</f>
        <v/>
      </c>
      <c r="AT169" s="21">
        <f>100*(AT35-AT34)</f>
        <v/>
      </c>
      <c r="AU169" s="21">
        <f>100*(AU35-AU34)</f>
        <v/>
      </c>
      <c r="AV169" s="21">
        <f>100*(AV35-AV34)</f>
        <v/>
      </c>
      <c r="AW169" s="21">
        <f>100*(AW35-AW34)</f>
        <v/>
      </c>
      <c r="AX169" s="21">
        <f>100*(AX35-AX34)</f>
        <v/>
      </c>
      <c r="AY169" s="21">
        <f>100*(AY35-AY34)</f>
        <v/>
      </c>
      <c r="AZ169" s="21">
        <f>100*(AZ35-AZ34)</f>
        <v/>
      </c>
      <c r="BA169" s="21">
        <f>100*(BA35-BA34)</f>
        <v/>
      </c>
      <c r="BB169" s="21">
        <f>100*(BB35-BB34)</f>
        <v/>
      </c>
      <c r="BC169" s="21">
        <f>100*(BC35-BC34)</f>
        <v/>
      </c>
      <c r="BD169" s="21">
        <f>100*(BD35-BD34)</f>
        <v/>
      </c>
      <c r="BE169" s="21">
        <f>100*(BE35-BE34)</f>
        <v/>
      </c>
      <c r="BF169" s="21">
        <f>100*(BF35-BF34)</f>
        <v/>
      </c>
      <c r="BG169" s="21">
        <f>100*(BG35-BG34)</f>
        <v/>
      </c>
      <c r="BH169" s="21">
        <f>AVERAGE(C169:BG169)</f>
        <v/>
      </c>
    </row>
    <row r="170">
      <c r="A170" s="19">
        <f>A36</f>
        <v/>
      </c>
      <c r="B170" s="20">
        <f>B36</f>
        <v/>
      </c>
      <c r="C170" s="21">
        <f>100*(C36-C35)</f>
        <v/>
      </c>
      <c r="D170" s="21">
        <f>100*(D36-D35)</f>
        <v/>
      </c>
      <c r="E170" s="21">
        <f>100*(E36-E35)</f>
        <v/>
      </c>
      <c r="F170" s="21">
        <f>100*(F36-F35)</f>
        <v/>
      </c>
      <c r="G170" s="21">
        <f>100*(G36-G35)</f>
        <v/>
      </c>
      <c r="H170" s="21">
        <f>100*(H36-H35)</f>
        <v/>
      </c>
      <c r="I170" s="21">
        <f>100*(I36-I35)</f>
        <v/>
      </c>
      <c r="J170" s="21">
        <f>100*(J36-J35)</f>
        <v/>
      </c>
      <c r="K170" s="21">
        <f>100*(K36-K35)</f>
        <v/>
      </c>
      <c r="L170" s="21">
        <f>100*(L36-L35)</f>
        <v/>
      </c>
      <c r="M170" s="21">
        <f>100*(M36-M35)</f>
        <v/>
      </c>
      <c r="N170" s="21">
        <f>100*(N36-N35)</f>
        <v/>
      </c>
      <c r="O170" s="21">
        <f>100*(O36-O35)</f>
        <v/>
      </c>
      <c r="P170" s="21">
        <f>100*(P36-P35)</f>
        <v/>
      </c>
      <c r="Q170" s="21">
        <f>100*(Q36-Q35)</f>
        <v/>
      </c>
      <c r="R170" s="21">
        <f>100*(R36-R35)</f>
        <v/>
      </c>
      <c r="S170" s="21">
        <f>100*(S36-S35)</f>
        <v/>
      </c>
      <c r="T170" s="21">
        <f>100*(T36-T35)</f>
        <v/>
      </c>
      <c r="U170" s="21">
        <f>100*(U36-U35)</f>
        <v/>
      </c>
      <c r="V170" s="21">
        <f>100*(V36-V35)</f>
        <v/>
      </c>
      <c r="W170" s="21">
        <f>100*(W36-W35)</f>
        <v/>
      </c>
      <c r="X170" s="21">
        <f>100*(X36-X35)</f>
        <v/>
      </c>
      <c r="Y170" s="21">
        <f>100*(Y36-Y35)</f>
        <v/>
      </c>
      <c r="Z170" s="21">
        <f>100*(Z36-Z35)</f>
        <v/>
      </c>
      <c r="AA170" s="21">
        <f>100*(AA36-AA35)</f>
        <v/>
      </c>
      <c r="AB170" s="21">
        <f>100*(AB36-AB35)</f>
        <v/>
      </c>
      <c r="AC170" s="21">
        <f>100*(AC36-AC35)</f>
        <v/>
      </c>
      <c r="AD170" s="21">
        <f>100*(AD36-AD35)</f>
        <v/>
      </c>
      <c r="AE170" s="21">
        <f>100*(AE36-AE35)</f>
        <v/>
      </c>
      <c r="AF170" s="21">
        <f>100*(AF36-AF35)</f>
        <v/>
      </c>
      <c r="AG170" s="21">
        <f>100*(AG36-AG35)</f>
        <v/>
      </c>
      <c r="AH170" s="21">
        <f>100*(AH36-AH35)</f>
        <v/>
      </c>
      <c r="AI170" s="21">
        <f>100*(AI36-AI35)</f>
        <v/>
      </c>
      <c r="AJ170" s="21">
        <f>100*(AJ36-AJ35)</f>
        <v/>
      </c>
      <c r="AK170" s="21">
        <f>100*(AK36-AK35)</f>
        <v/>
      </c>
      <c r="AL170" s="21">
        <f>100*(AL36-AL35)</f>
        <v/>
      </c>
      <c r="AM170" s="21">
        <f>100*(AM36-AM35)</f>
        <v/>
      </c>
      <c r="AN170" s="21">
        <f>100*(AN36-AN35)</f>
        <v/>
      </c>
      <c r="AO170" s="21">
        <f>100*(AO36-AO35)</f>
        <v/>
      </c>
      <c r="AP170" s="21">
        <f>100*(AP36-AP35)</f>
        <v/>
      </c>
      <c r="AQ170" s="21">
        <f>100*(AQ36-AQ35)</f>
        <v/>
      </c>
      <c r="AR170" s="21">
        <f>100*(AR36-AR35)</f>
        <v/>
      </c>
      <c r="AS170" s="21">
        <f>100*(AS36-AS35)</f>
        <v/>
      </c>
      <c r="AT170" s="21">
        <f>100*(AT36-AT35)</f>
        <v/>
      </c>
      <c r="AU170" s="21">
        <f>100*(AU36-AU35)</f>
        <v/>
      </c>
      <c r="AV170" s="21">
        <f>100*(AV36-AV35)</f>
        <v/>
      </c>
      <c r="AW170" s="21">
        <f>100*(AW36-AW35)</f>
        <v/>
      </c>
      <c r="AX170" s="21">
        <f>100*(AX36-AX35)</f>
        <v/>
      </c>
      <c r="AY170" s="21">
        <f>100*(AY36-AY35)</f>
        <v/>
      </c>
      <c r="AZ170" s="21">
        <f>100*(AZ36-AZ35)</f>
        <v/>
      </c>
      <c r="BA170" s="21">
        <f>100*(BA36-BA35)</f>
        <v/>
      </c>
      <c r="BB170" s="21">
        <f>100*(BB36-BB35)</f>
        <v/>
      </c>
      <c r="BC170" s="21">
        <f>100*(BC36-BC35)</f>
        <v/>
      </c>
      <c r="BD170" s="21">
        <f>100*(BD36-BD35)</f>
        <v/>
      </c>
      <c r="BE170" s="21">
        <f>100*(BE36-BE35)</f>
        <v/>
      </c>
      <c r="BF170" s="21">
        <f>100*(BF36-BF35)</f>
        <v/>
      </c>
      <c r="BG170" s="21">
        <f>100*(BG36-BG35)</f>
        <v/>
      </c>
      <c r="BH170" s="21">
        <f>AVERAGE(C170:BG170)</f>
        <v/>
      </c>
    </row>
    <row r="171">
      <c r="A171" s="19">
        <f>A37</f>
        <v/>
      </c>
      <c r="B171" s="20">
        <f>B37</f>
        <v/>
      </c>
      <c r="C171" s="21">
        <f>100*(C37-C36)</f>
        <v/>
      </c>
      <c r="D171" s="21">
        <f>100*(D37-D36)</f>
        <v/>
      </c>
      <c r="E171" s="21">
        <f>100*(E37-E36)</f>
        <v/>
      </c>
      <c r="F171" s="21">
        <f>100*(F37-F36)</f>
        <v/>
      </c>
      <c r="G171" s="21">
        <f>100*(G37-G36)</f>
        <v/>
      </c>
      <c r="H171" s="21">
        <f>100*(H37-H36)</f>
        <v/>
      </c>
      <c r="I171" s="21">
        <f>100*(I37-I36)</f>
        <v/>
      </c>
      <c r="J171" s="21">
        <f>100*(J37-J36)</f>
        <v/>
      </c>
      <c r="K171" s="21">
        <f>100*(K37-K36)</f>
        <v/>
      </c>
      <c r="L171" s="21">
        <f>100*(L37-L36)</f>
        <v/>
      </c>
      <c r="M171" s="21">
        <f>100*(M37-M36)</f>
        <v/>
      </c>
      <c r="N171" s="21">
        <f>100*(N37-N36)</f>
        <v/>
      </c>
      <c r="O171" s="21">
        <f>100*(O37-O36)</f>
        <v/>
      </c>
      <c r="P171" s="21">
        <f>100*(P37-P36)</f>
        <v/>
      </c>
      <c r="Q171" s="21">
        <f>100*(Q37-Q36)</f>
        <v/>
      </c>
      <c r="R171" s="21">
        <f>100*(R37-R36)</f>
        <v/>
      </c>
      <c r="S171" s="21">
        <f>100*(S37-S36)</f>
        <v/>
      </c>
      <c r="T171" s="21">
        <f>100*(T37-T36)</f>
        <v/>
      </c>
      <c r="U171" s="21">
        <f>100*(U37-U36)</f>
        <v/>
      </c>
      <c r="V171" s="21">
        <f>100*(V37-V36)</f>
        <v/>
      </c>
      <c r="W171" s="21">
        <f>100*(W37-W36)</f>
        <v/>
      </c>
      <c r="X171" s="21">
        <f>100*(X37-X36)</f>
        <v/>
      </c>
      <c r="Y171" s="21">
        <f>100*(Y37-Y36)</f>
        <v/>
      </c>
      <c r="Z171" s="21">
        <f>100*(Z37-Z36)</f>
        <v/>
      </c>
      <c r="AA171" s="21">
        <f>100*(AA37-AA36)</f>
        <v/>
      </c>
      <c r="AB171" s="21">
        <f>100*(AB37-AB36)</f>
        <v/>
      </c>
      <c r="AC171" s="21">
        <f>100*(AC37-AC36)</f>
        <v/>
      </c>
      <c r="AD171" s="21">
        <f>100*(AD37-AD36)</f>
        <v/>
      </c>
      <c r="AE171" s="21">
        <f>100*(AE37-AE36)</f>
        <v/>
      </c>
      <c r="AF171" s="21">
        <f>100*(AF37-AF36)</f>
        <v/>
      </c>
      <c r="AG171" s="21">
        <f>100*(AG37-AG36)</f>
        <v/>
      </c>
      <c r="AH171" s="21">
        <f>100*(AH37-AH36)</f>
        <v/>
      </c>
      <c r="AI171" s="21">
        <f>100*(AI37-AI36)</f>
        <v/>
      </c>
      <c r="AJ171" s="21">
        <f>100*(AJ37-AJ36)</f>
        <v/>
      </c>
      <c r="AK171" s="21">
        <f>100*(AK37-AK36)</f>
        <v/>
      </c>
      <c r="AL171" s="21">
        <f>100*(AL37-AL36)</f>
        <v/>
      </c>
      <c r="AM171" s="21">
        <f>100*(AM37-AM36)</f>
        <v/>
      </c>
      <c r="AN171" s="21">
        <f>100*(AN37-AN36)</f>
        <v/>
      </c>
      <c r="AO171" s="21">
        <f>100*(AO37-AO36)</f>
        <v/>
      </c>
      <c r="AP171" s="21">
        <f>100*(AP37-AP36)</f>
        <v/>
      </c>
      <c r="AQ171" s="21">
        <f>100*(AQ37-AQ36)</f>
        <v/>
      </c>
      <c r="AR171" s="21">
        <f>100*(AR37-AR36)</f>
        <v/>
      </c>
      <c r="AS171" s="21">
        <f>100*(AS37-AS36)</f>
        <v/>
      </c>
      <c r="AT171" s="21">
        <f>100*(AT37-AT36)</f>
        <v/>
      </c>
      <c r="AU171" s="21">
        <f>100*(AU37-AU36)</f>
        <v/>
      </c>
      <c r="AV171" s="21">
        <f>100*(AV37-AV36)</f>
        <v/>
      </c>
      <c r="AW171" s="21">
        <f>100*(AW37-AW36)</f>
        <v/>
      </c>
      <c r="AX171" s="21">
        <f>100*(AX37-AX36)</f>
        <v/>
      </c>
      <c r="AY171" s="21">
        <f>100*(AY37-AY36)</f>
        <v/>
      </c>
      <c r="AZ171" s="21">
        <f>100*(AZ37-AZ36)</f>
        <v/>
      </c>
      <c r="BA171" s="21">
        <f>100*(BA37-BA36)</f>
        <v/>
      </c>
      <c r="BB171" s="21">
        <f>100*(BB37-BB36)</f>
        <v/>
      </c>
      <c r="BC171" s="21">
        <f>100*(BC37-BC36)</f>
        <v/>
      </c>
      <c r="BD171" s="21">
        <f>100*(BD37-BD36)</f>
        <v/>
      </c>
      <c r="BE171" s="21">
        <f>100*(BE37-BE36)</f>
        <v/>
      </c>
      <c r="BF171" s="21">
        <f>100*(BF37-BF36)</f>
        <v/>
      </c>
      <c r="BG171" s="21">
        <f>100*(BG37-BG36)</f>
        <v/>
      </c>
      <c r="BH171" s="21">
        <f>AVERAGE(C171:BG171)</f>
        <v/>
      </c>
    </row>
    <row r="172">
      <c r="A172" s="19">
        <f>A38</f>
        <v/>
      </c>
      <c r="B172" s="20">
        <f>B38</f>
        <v/>
      </c>
      <c r="C172" s="21">
        <f>100*(C38-C37)</f>
        <v/>
      </c>
      <c r="D172" s="21">
        <f>100*(D38-D37)</f>
        <v/>
      </c>
      <c r="E172" s="21">
        <f>100*(E38-E37)</f>
        <v/>
      </c>
      <c r="F172" s="21">
        <f>100*(F38-F37)</f>
        <v/>
      </c>
      <c r="G172" s="21">
        <f>100*(G38-G37)</f>
        <v/>
      </c>
      <c r="H172" s="21">
        <f>100*(H38-H37)</f>
        <v/>
      </c>
      <c r="I172" s="21">
        <f>100*(I38-I37)</f>
        <v/>
      </c>
      <c r="J172" s="21">
        <f>100*(J38-J37)</f>
        <v/>
      </c>
      <c r="K172" s="21">
        <f>100*(K38-K37)</f>
        <v/>
      </c>
      <c r="L172" s="21">
        <f>100*(L38-L37)</f>
        <v/>
      </c>
      <c r="M172" s="21">
        <f>100*(M38-M37)</f>
        <v/>
      </c>
      <c r="N172" s="21">
        <f>100*(N38-N37)</f>
        <v/>
      </c>
      <c r="O172" s="21">
        <f>100*(O38-O37)</f>
        <v/>
      </c>
      <c r="P172" s="21">
        <f>100*(P38-P37)</f>
        <v/>
      </c>
      <c r="Q172" s="21">
        <f>100*(Q38-Q37)</f>
        <v/>
      </c>
      <c r="R172" s="21">
        <f>100*(R38-R37)</f>
        <v/>
      </c>
      <c r="S172" s="21">
        <f>100*(S38-S37)</f>
        <v/>
      </c>
      <c r="T172" s="21">
        <f>100*(T38-T37)</f>
        <v/>
      </c>
      <c r="U172" s="21">
        <f>100*(U38-U37)</f>
        <v/>
      </c>
      <c r="V172" s="21">
        <f>100*(V38-V37)</f>
        <v/>
      </c>
      <c r="W172" s="21">
        <f>100*(W38-W37)</f>
        <v/>
      </c>
      <c r="X172" s="21">
        <f>100*(X38-X37)</f>
        <v/>
      </c>
      <c r="Y172" s="21">
        <f>100*(Y38-Y37)</f>
        <v/>
      </c>
      <c r="Z172" s="21">
        <f>100*(Z38-Z37)</f>
        <v/>
      </c>
      <c r="AA172" s="21">
        <f>100*(AA38-AA37)</f>
        <v/>
      </c>
      <c r="AB172" s="21">
        <f>100*(AB38-AB37)</f>
        <v/>
      </c>
      <c r="AC172" s="21">
        <f>100*(AC38-AC37)</f>
        <v/>
      </c>
      <c r="AD172" s="21">
        <f>100*(AD38-AD37)</f>
        <v/>
      </c>
      <c r="AE172" s="21">
        <f>100*(AE38-AE37)</f>
        <v/>
      </c>
      <c r="AF172" s="21">
        <f>100*(AF38-AF37)</f>
        <v/>
      </c>
      <c r="AG172" s="21">
        <f>100*(AG38-AG37)</f>
        <v/>
      </c>
      <c r="AH172" s="21">
        <f>100*(AH38-AH37)</f>
        <v/>
      </c>
      <c r="AI172" s="21">
        <f>100*(AI38-AI37)</f>
        <v/>
      </c>
      <c r="AJ172" s="21">
        <f>100*(AJ38-AJ37)</f>
        <v/>
      </c>
      <c r="AK172" s="21">
        <f>100*(AK38-AK37)</f>
        <v/>
      </c>
      <c r="AL172" s="21">
        <f>100*(AL38-AL37)</f>
        <v/>
      </c>
      <c r="AM172" s="21">
        <f>100*(AM38-AM37)</f>
        <v/>
      </c>
      <c r="AN172" s="21">
        <f>100*(AN38-AN37)</f>
        <v/>
      </c>
      <c r="AO172" s="21">
        <f>100*(AO38-AO37)</f>
        <v/>
      </c>
      <c r="AP172" s="21">
        <f>100*(AP38-AP37)</f>
        <v/>
      </c>
      <c r="AQ172" s="21">
        <f>100*(AQ38-AQ37)</f>
        <v/>
      </c>
      <c r="AR172" s="21">
        <f>100*(AR38-AR37)</f>
        <v/>
      </c>
      <c r="AS172" s="21">
        <f>100*(AS38-AS37)</f>
        <v/>
      </c>
      <c r="AT172" s="21">
        <f>100*(AT38-AT37)</f>
        <v/>
      </c>
      <c r="AU172" s="21">
        <f>100*(AU38-AU37)</f>
        <v/>
      </c>
      <c r="AV172" s="21">
        <f>100*(AV38-AV37)</f>
        <v/>
      </c>
      <c r="AW172" s="21">
        <f>100*(AW38-AW37)</f>
        <v/>
      </c>
      <c r="AX172" s="21">
        <f>100*(AX38-AX37)</f>
        <v/>
      </c>
      <c r="AY172" s="21">
        <f>100*(AY38-AY37)</f>
        <v/>
      </c>
      <c r="AZ172" s="21">
        <f>100*(AZ38-AZ37)</f>
        <v/>
      </c>
      <c r="BA172" s="21">
        <f>100*(BA38-BA37)</f>
        <v/>
      </c>
      <c r="BB172" s="21">
        <f>100*(BB38-BB37)</f>
        <v/>
      </c>
      <c r="BC172" s="21">
        <f>100*(BC38-BC37)</f>
        <v/>
      </c>
      <c r="BD172" s="21">
        <f>100*(BD38-BD37)</f>
        <v/>
      </c>
      <c r="BE172" s="21">
        <f>100*(BE38-BE37)</f>
        <v/>
      </c>
      <c r="BF172" s="21">
        <f>100*(BF38-BF37)</f>
        <v/>
      </c>
      <c r="BG172" s="21">
        <f>100*(BG38-BG37)</f>
        <v/>
      </c>
      <c r="BH172" s="21">
        <f>AVERAGE(C172:BG172)</f>
        <v/>
      </c>
    </row>
    <row r="173">
      <c r="A173" s="19">
        <f>A39</f>
        <v/>
      </c>
      <c r="B173" s="20">
        <f>B39</f>
        <v/>
      </c>
      <c r="C173" s="21">
        <f>100*(C39-C38)</f>
        <v/>
      </c>
      <c r="D173" s="21">
        <f>100*(D39-D38)</f>
        <v/>
      </c>
      <c r="E173" s="21">
        <f>100*(E39-E38)</f>
        <v/>
      </c>
      <c r="F173" s="21">
        <f>100*(F39-F38)</f>
        <v/>
      </c>
      <c r="G173" s="21">
        <f>100*(G39-G38)</f>
        <v/>
      </c>
      <c r="H173" s="21">
        <f>100*(H39-H38)</f>
        <v/>
      </c>
      <c r="I173" s="21">
        <f>100*(I39-I38)</f>
        <v/>
      </c>
      <c r="J173" s="21">
        <f>100*(J39-J38)</f>
        <v/>
      </c>
      <c r="K173" s="21">
        <f>100*(K39-K38)</f>
        <v/>
      </c>
      <c r="L173" s="21">
        <f>100*(L39-L38)</f>
        <v/>
      </c>
      <c r="M173" s="21">
        <f>100*(M39-M38)</f>
        <v/>
      </c>
      <c r="N173" s="21">
        <f>100*(N39-N38)</f>
        <v/>
      </c>
      <c r="O173" s="21">
        <f>100*(O39-O38)</f>
        <v/>
      </c>
      <c r="P173" s="21">
        <f>100*(P39-P38)</f>
        <v/>
      </c>
      <c r="Q173" s="21">
        <f>100*(Q39-Q38)</f>
        <v/>
      </c>
      <c r="R173" s="21">
        <f>100*(R39-R38)</f>
        <v/>
      </c>
      <c r="S173" s="21">
        <f>100*(S39-S38)</f>
        <v/>
      </c>
      <c r="T173" s="21">
        <f>100*(T39-T38)</f>
        <v/>
      </c>
      <c r="U173" s="21">
        <f>100*(U39-U38)</f>
        <v/>
      </c>
      <c r="V173" s="21">
        <f>100*(V39-V38)</f>
        <v/>
      </c>
      <c r="W173" s="21">
        <f>100*(W39-W38)</f>
        <v/>
      </c>
      <c r="X173" s="21">
        <f>100*(X39-X38)</f>
        <v/>
      </c>
      <c r="Y173" s="21">
        <f>100*(Y39-Y38)</f>
        <v/>
      </c>
      <c r="Z173" s="21">
        <f>100*(Z39-Z38)</f>
        <v/>
      </c>
      <c r="AA173" s="21">
        <f>100*(AA39-AA38)</f>
        <v/>
      </c>
      <c r="AB173" s="21">
        <f>100*(AB39-AB38)</f>
        <v/>
      </c>
      <c r="AC173" s="21">
        <f>100*(AC39-AC38)</f>
        <v/>
      </c>
      <c r="AD173" s="21">
        <f>100*(AD39-AD38)</f>
        <v/>
      </c>
      <c r="AE173" s="21">
        <f>100*(AE39-AE38)</f>
        <v/>
      </c>
      <c r="AF173" s="21">
        <f>100*(AF39-AF38)</f>
        <v/>
      </c>
      <c r="AG173" s="21">
        <f>100*(AG39-AG38)</f>
        <v/>
      </c>
      <c r="AH173" s="21">
        <f>100*(AH39-AH38)</f>
        <v/>
      </c>
      <c r="AI173" s="21">
        <f>100*(AI39-AI38)</f>
        <v/>
      </c>
      <c r="AJ173" s="21">
        <f>100*(AJ39-AJ38)</f>
        <v/>
      </c>
      <c r="AK173" s="21">
        <f>100*(AK39-AK38)</f>
        <v/>
      </c>
      <c r="AL173" s="21">
        <f>100*(AL39-AL38)</f>
        <v/>
      </c>
      <c r="AM173" s="21">
        <f>100*(AM39-AM38)</f>
        <v/>
      </c>
      <c r="AN173" s="21">
        <f>100*(AN39-AN38)</f>
        <v/>
      </c>
      <c r="AO173" s="21">
        <f>100*(AO39-AO38)</f>
        <v/>
      </c>
      <c r="AP173" s="21">
        <f>100*(AP39-AP38)</f>
        <v/>
      </c>
      <c r="AQ173" s="21">
        <f>100*(AQ39-AQ38)</f>
        <v/>
      </c>
      <c r="AR173" s="21">
        <f>100*(AR39-AR38)</f>
        <v/>
      </c>
      <c r="AS173" s="21">
        <f>100*(AS39-AS38)</f>
        <v/>
      </c>
      <c r="AT173" s="21">
        <f>100*(AT39-AT38)</f>
        <v/>
      </c>
      <c r="AU173" s="21">
        <f>100*(AU39-AU38)</f>
        <v/>
      </c>
      <c r="AV173" s="21">
        <f>100*(AV39-AV38)</f>
        <v/>
      </c>
      <c r="AW173" s="21">
        <f>100*(AW39-AW38)</f>
        <v/>
      </c>
      <c r="AX173" s="21">
        <f>100*(AX39-AX38)</f>
        <v/>
      </c>
      <c r="AY173" s="21">
        <f>100*(AY39-AY38)</f>
        <v/>
      </c>
      <c r="AZ173" s="21">
        <f>100*(AZ39-AZ38)</f>
        <v/>
      </c>
      <c r="BA173" s="21">
        <f>100*(BA39-BA38)</f>
        <v/>
      </c>
      <c r="BB173" s="21">
        <f>100*(BB39-BB38)</f>
        <v/>
      </c>
      <c r="BC173" s="21">
        <f>100*(BC39-BC38)</f>
        <v/>
      </c>
      <c r="BD173" s="21">
        <f>100*(BD39-BD38)</f>
        <v/>
      </c>
      <c r="BE173" s="21">
        <f>100*(BE39-BE38)</f>
        <v/>
      </c>
      <c r="BF173" s="21">
        <f>100*(BF39-BF38)</f>
        <v/>
      </c>
      <c r="BG173" s="21">
        <f>100*(BG39-BG38)</f>
        <v/>
      </c>
      <c r="BH173" s="21">
        <f>AVERAGE(C173:BG173)</f>
        <v/>
      </c>
    </row>
    <row r="174">
      <c r="A174" s="19">
        <f>A40</f>
        <v/>
      </c>
      <c r="B174" s="20">
        <f>B40</f>
        <v/>
      </c>
      <c r="C174" s="21">
        <f>100*(C40-C39)</f>
        <v/>
      </c>
      <c r="D174" s="21">
        <f>100*(D40-D39)</f>
        <v/>
      </c>
      <c r="E174" s="21">
        <f>100*(E40-E39)</f>
        <v/>
      </c>
      <c r="F174" s="21">
        <f>100*(F40-F39)</f>
        <v/>
      </c>
      <c r="G174" s="21">
        <f>100*(G40-G39)</f>
        <v/>
      </c>
      <c r="H174" s="21">
        <f>100*(H40-H39)</f>
        <v/>
      </c>
      <c r="I174" s="21">
        <f>100*(I40-I39)</f>
        <v/>
      </c>
      <c r="J174" s="21">
        <f>100*(J40-J39)</f>
        <v/>
      </c>
      <c r="K174" s="21">
        <f>100*(K40-K39)</f>
        <v/>
      </c>
      <c r="L174" s="21">
        <f>100*(L40-L39)</f>
        <v/>
      </c>
      <c r="M174" s="21">
        <f>100*(M40-M39)</f>
        <v/>
      </c>
      <c r="N174" s="21">
        <f>100*(N40-N39)</f>
        <v/>
      </c>
      <c r="O174" s="21">
        <f>100*(O40-O39)</f>
        <v/>
      </c>
      <c r="P174" s="21">
        <f>100*(P40-P39)</f>
        <v/>
      </c>
      <c r="Q174" s="21">
        <f>100*(Q40-Q39)</f>
        <v/>
      </c>
      <c r="R174" s="21">
        <f>100*(R40-R39)</f>
        <v/>
      </c>
      <c r="S174" s="21">
        <f>100*(S40-S39)</f>
        <v/>
      </c>
      <c r="T174" s="21">
        <f>100*(T40-T39)</f>
        <v/>
      </c>
      <c r="U174" s="21">
        <f>100*(U40-U39)</f>
        <v/>
      </c>
      <c r="V174" s="21">
        <f>100*(V40-V39)</f>
        <v/>
      </c>
      <c r="W174" s="21">
        <f>100*(W40-W39)</f>
        <v/>
      </c>
      <c r="X174" s="21">
        <f>100*(X40-X39)</f>
        <v/>
      </c>
      <c r="Y174" s="21">
        <f>100*(Y40-Y39)</f>
        <v/>
      </c>
      <c r="Z174" s="21">
        <f>100*(Z40-Z39)</f>
        <v/>
      </c>
      <c r="AA174" s="21">
        <f>100*(AA40-AA39)</f>
        <v/>
      </c>
      <c r="AB174" s="21">
        <f>100*(AB40-AB39)</f>
        <v/>
      </c>
      <c r="AC174" s="21">
        <f>100*(AC40-AC39)</f>
        <v/>
      </c>
      <c r="AD174" s="21">
        <f>100*(AD40-AD39)</f>
        <v/>
      </c>
      <c r="AE174" s="21">
        <f>100*(AE40-AE39)</f>
        <v/>
      </c>
      <c r="AF174" s="21">
        <f>100*(AF40-AF39)</f>
        <v/>
      </c>
      <c r="AG174" s="21">
        <f>100*(AG40-AG39)</f>
        <v/>
      </c>
      <c r="AH174" s="21">
        <f>100*(AH40-AH39)</f>
        <v/>
      </c>
      <c r="AI174" s="21">
        <f>100*(AI40-AI39)</f>
        <v/>
      </c>
      <c r="AJ174" s="21">
        <f>100*(AJ40-AJ39)</f>
        <v/>
      </c>
      <c r="AK174" s="21">
        <f>100*(AK40-AK39)</f>
        <v/>
      </c>
      <c r="AL174" s="21">
        <f>100*(AL40-AL39)</f>
        <v/>
      </c>
      <c r="AM174" s="21">
        <f>100*(AM40-AM39)</f>
        <v/>
      </c>
      <c r="AN174" s="21">
        <f>100*(AN40-AN39)</f>
        <v/>
      </c>
      <c r="AO174" s="21">
        <f>100*(AO40-AO39)</f>
        <v/>
      </c>
      <c r="AP174" s="21">
        <f>100*(AP40-AP39)</f>
        <v/>
      </c>
      <c r="AQ174" s="21">
        <f>100*(AQ40-AQ39)</f>
        <v/>
      </c>
      <c r="AR174" s="21">
        <f>100*(AR40-AR39)</f>
        <v/>
      </c>
      <c r="AS174" s="21">
        <f>100*(AS40-AS39)</f>
        <v/>
      </c>
      <c r="AT174" s="21">
        <f>100*(AT40-AT39)</f>
        <v/>
      </c>
      <c r="AU174" s="21">
        <f>100*(AU40-AU39)</f>
        <v/>
      </c>
      <c r="AV174" s="21">
        <f>100*(AV40-AV39)</f>
        <v/>
      </c>
      <c r="AW174" s="21">
        <f>100*(AW40-AW39)</f>
        <v/>
      </c>
      <c r="AX174" s="21">
        <f>100*(AX40-AX39)</f>
        <v/>
      </c>
      <c r="AY174" s="21">
        <f>100*(AY40-AY39)</f>
        <v/>
      </c>
      <c r="AZ174" s="21">
        <f>100*(AZ40-AZ39)</f>
        <v/>
      </c>
      <c r="BA174" s="21">
        <f>100*(BA40-BA39)</f>
        <v/>
      </c>
      <c r="BB174" s="21">
        <f>100*(BB40-BB39)</f>
        <v/>
      </c>
      <c r="BC174" s="21">
        <f>100*(BC40-BC39)</f>
        <v/>
      </c>
      <c r="BD174" s="21">
        <f>100*(BD40-BD39)</f>
        <v/>
      </c>
      <c r="BE174" s="21">
        <f>100*(BE40-BE39)</f>
        <v/>
      </c>
      <c r="BF174" s="21">
        <f>100*(BF40-BF39)</f>
        <v/>
      </c>
      <c r="BG174" s="21">
        <f>100*(BG40-BG39)</f>
        <v/>
      </c>
      <c r="BH174" s="21">
        <f>AVERAGE(C174:BG174)</f>
        <v/>
      </c>
    </row>
    <row r="175">
      <c r="A175" s="19">
        <f>A41</f>
        <v/>
      </c>
      <c r="B175" s="20">
        <f>B41</f>
        <v/>
      </c>
      <c r="C175" s="21">
        <f>100*(C41-C40)</f>
        <v/>
      </c>
      <c r="D175" s="21">
        <f>100*(D41-D40)</f>
        <v/>
      </c>
      <c r="E175" s="21">
        <f>100*(E41-E40)</f>
        <v/>
      </c>
      <c r="F175" s="21">
        <f>100*(F41-F40)</f>
        <v/>
      </c>
      <c r="G175" s="21">
        <f>100*(G41-G40)</f>
        <v/>
      </c>
      <c r="H175" s="21">
        <f>100*(H41-H40)</f>
        <v/>
      </c>
      <c r="I175" s="21">
        <f>100*(I41-I40)</f>
        <v/>
      </c>
      <c r="J175" s="21">
        <f>100*(J41-J40)</f>
        <v/>
      </c>
      <c r="K175" s="21">
        <f>100*(K41-K40)</f>
        <v/>
      </c>
      <c r="L175" s="21">
        <f>100*(L41-L40)</f>
        <v/>
      </c>
      <c r="M175" s="21">
        <f>100*(M41-M40)</f>
        <v/>
      </c>
      <c r="N175" s="21">
        <f>100*(N41-N40)</f>
        <v/>
      </c>
      <c r="O175" s="21">
        <f>100*(O41-O40)</f>
        <v/>
      </c>
      <c r="P175" s="21">
        <f>100*(P41-P40)</f>
        <v/>
      </c>
      <c r="Q175" s="21">
        <f>100*(Q41-Q40)</f>
        <v/>
      </c>
      <c r="R175" s="21">
        <f>100*(R41-R40)</f>
        <v/>
      </c>
      <c r="S175" s="21">
        <f>100*(S41-S40)</f>
        <v/>
      </c>
      <c r="T175" s="21">
        <f>100*(T41-T40)</f>
        <v/>
      </c>
      <c r="U175" s="21">
        <f>100*(U41-U40)</f>
        <v/>
      </c>
      <c r="V175" s="21">
        <f>100*(V41-V40)</f>
        <v/>
      </c>
      <c r="W175" s="21">
        <f>100*(W41-W40)</f>
        <v/>
      </c>
      <c r="X175" s="21">
        <f>100*(X41-X40)</f>
        <v/>
      </c>
      <c r="Y175" s="21">
        <f>100*(Y41-Y40)</f>
        <v/>
      </c>
      <c r="Z175" s="21">
        <f>100*(Z41-Z40)</f>
        <v/>
      </c>
      <c r="AA175" s="21">
        <f>100*(AA41-AA40)</f>
        <v/>
      </c>
      <c r="AB175" s="21">
        <f>100*(AB41-AB40)</f>
        <v/>
      </c>
      <c r="AC175" s="21">
        <f>100*(AC41-AC40)</f>
        <v/>
      </c>
      <c r="AD175" s="21">
        <f>100*(AD41-AD40)</f>
        <v/>
      </c>
      <c r="AE175" s="21">
        <f>100*(AE41-AE40)</f>
        <v/>
      </c>
      <c r="AF175" s="21">
        <f>100*(AF41-AF40)</f>
        <v/>
      </c>
      <c r="AG175" s="21">
        <f>100*(AG41-AG40)</f>
        <v/>
      </c>
      <c r="AH175" s="21">
        <f>100*(AH41-AH40)</f>
        <v/>
      </c>
      <c r="AI175" s="21">
        <f>100*(AI41-AI40)</f>
        <v/>
      </c>
      <c r="AJ175" s="21">
        <f>100*(AJ41-AJ40)</f>
        <v/>
      </c>
      <c r="AK175" s="21">
        <f>100*(AK41-AK40)</f>
        <v/>
      </c>
      <c r="AL175" s="21">
        <f>100*(AL41-AL40)</f>
        <v/>
      </c>
      <c r="AM175" s="21">
        <f>100*(AM41-AM40)</f>
        <v/>
      </c>
      <c r="AN175" s="21">
        <f>100*(AN41-AN40)</f>
        <v/>
      </c>
      <c r="AO175" s="21">
        <f>100*(AO41-AO40)</f>
        <v/>
      </c>
      <c r="AP175" s="21">
        <f>100*(AP41-AP40)</f>
        <v/>
      </c>
      <c r="AQ175" s="21">
        <f>100*(AQ41-AQ40)</f>
        <v/>
      </c>
      <c r="AR175" s="21">
        <f>100*(AR41-AR40)</f>
        <v/>
      </c>
      <c r="AS175" s="21">
        <f>100*(AS41-AS40)</f>
        <v/>
      </c>
      <c r="AT175" s="21">
        <f>100*(AT41-AT40)</f>
        <v/>
      </c>
      <c r="AU175" s="21">
        <f>100*(AU41-AU40)</f>
        <v/>
      </c>
      <c r="AV175" s="21">
        <f>100*(AV41-AV40)</f>
        <v/>
      </c>
      <c r="AW175" s="21">
        <f>100*(AW41-AW40)</f>
        <v/>
      </c>
      <c r="AX175" s="21">
        <f>100*(AX41-AX40)</f>
        <v/>
      </c>
      <c r="AY175" s="21">
        <f>100*(AY41-AY40)</f>
        <v/>
      </c>
      <c r="AZ175" s="21">
        <f>100*(AZ41-AZ40)</f>
        <v/>
      </c>
      <c r="BA175" s="21">
        <f>100*(BA41-BA40)</f>
        <v/>
      </c>
      <c r="BB175" s="21">
        <f>100*(BB41-BB40)</f>
        <v/>
      </c>
      <c r="BC175" s="21">
        <f>100*(BC41-BC40)</f>
        <v/>
      </c>
      <c r="BD175" s="21">
        <f>100*(BD41-BD40)</f>
        <v/>
      </c>
      <c r="BE175" s="21">
        <f>100*(BE41-BE40)</f>
        <v/>
      </c>
      <c r="BF175" s="21">
        <f>100*(BF41-BF40)</f>
        <v/>
      </c>
      <c r="BG175" s="21">
        <f>100*(BG41-BG40)</f>
        <v/>
      </c>
      <c r="BH175" s="21">
        <f>AVERAGE(C175:BG175)</f>
        <v/>
      </c>
    </row>
    <row r="176">
      <c r="A176" s="19">
        <f>A42</f>
        <v/>
      </c>
      <c r="B176" s="20">
        <f>B42</f>
        <v/>
      </c>
      <c r="C176" s="21">
        <f>100*(C42-C41)</f>
        <v/>
      </c>
      <c r="D176" s="21">
        <f>100*(D42-D41)</f>
        <v/>
      </c>
      <c r="E176" s="21">
        <f>100*(E42-E41)</f>
        <v/>
      </c>
      <c r="F176" s="21">
        <f>100*(F42-F41)</f>
        <v/>
      </c>
      <c r="G176" s="21">
        <f>100*(G42-G41)</f>
        <v/>
      </c>
      <c r="H176" s="21">
        <f>100*(H42-H41)</f>
        <v/>
      </c>
      <c r="I176" s="21">
        <f>100*(I42-I41)</f>
        <v/>
      </c>
      <c r="J176" s="21">
        <f>100*(J42-J41)</f>
        <v/>
      </c>
      <c r="K176" s="21">
        <f>100*(K42-K41)</f>
        <v/>
      </c>
      <c r="L176" s="21">
        <f>100*(L42-L41)</f>
        <v/>
      </c>
      <c r="M176" s="21">
        <f>100*(M42-M41)</f>
        <v/>
      </c>
      <c r="N176" s="21">
        <f>100*(N42-N41)</f>
        <v/>
      </c>
      <c r="O176" s="21">
        <f>100*(O42-O41)</f>
        <v/>
      </c>
      <c r="P176" s="21">
        <f>100*(P42-P41)</f>
        <v/>
      </c>
      <c r="Q176" s="21">
        <f>100*(Q42-Q41)</f>
        <v/>
      </c>
      <c r="R176" s="21">
        <f>100*(R42-R41)</f>
        <v/>
      </c>
      <c r="S176" s="21">
        <f>100*(S42-S41)</f>
        <v/>
      </c>
      <c r="T176" s="21">
        <f>100*(T42-T41)</f>
        <v/>
      </c>
      <c r="U176" s="21">
        <f>100*(U42-U41)</f>
        <v/>
      </c>
      <c r="V176" s="21">
        <f>100*(V42-V41)</f>
        <v/>
      </c>
      <c r="W176" s="21">
        <f>100*(W42-W41)</f>
        <v/>
      </c>
      <c r="X176" s="21">
        <f>100*(X42-X41)</f>
        <v/>
      </c>
      <c r="Y176" s="21">
        <f>100*(Y42-Y41)</f>
        <v/>
      </c>
      <c r="Z176" s="21">
        <f>100*(Z42-Z41)</f>
        <v/>
      </c>
      <c r="AA176" s="21">
        <f>100*(AA42-AA41)</f>
        <v/>
      </c>
      <c r="AB176" s="21">
        <f>100*(AB42-AB41)</f>
        <v/>
      </c>
      <c r="AC176" s="21">
        <f>100*(AC42-AC41)</f>
        <v/>
      </c>
      <c r="AD176" s="21">
        <f>100*(AD42-AD41)</f>
        <v/>
      </c>
      <c r="AE176" s="21">
        <f>100*(AE42-AE41)</f>
        <v/>
      </c>
      <c r="AF176" s="21">
        <f>100*(AF42-AF41)</f>
        <v/>
      </c>
      <c r="AG176" s="21">
        <f>100*(AG42-AG41)</f>
        <v/>
      </c>
      <c r="AH176" s="21">
        <f>100*(AH42-AH41)</f>
        <v/>
      </c>
      <c r="AI176" s="21">
        <f>100*(AI42-AI41)</f>
        <v/>
      </c>
      <c r="AJ176" s="21">
        <f>100*(AJ42-AJ41)</f>
        <v/>
      </c>
      <c r="AK176" s="21">
        <f>100*(AK42-AK41)</f>
        <v/>
      </c>
      <c r="AL176" s="21">
        <f>100*(AL42-AL41)</f>
        <v/>
      </c>
      <c r="AM176" s="21">
        <f>100*(AM42-AM41)</f>
        <v/>
      </c>
      <c r="AN176" s="21">
        <f>100*(AN42-AN41)</f>
        <v/>
      </c>
      <c r="AO176" s="21">
        <f>100*(AO42-AO41)</f>
        <v/>
      </c>
      <c r="AP176" s="21">
        <f>100*(AP42-AP41)</f>
        <v/>
      </c>
      <c r="AQ176" s="21">
        <f>100*(AQ42-AQ41)</f>
        <v/>
      </c>
      <c r="AR176" s="21">
        <f>100*(AR42-AR41)</f>
        <v/>
      </c>
      <c r="AS176" s="21">
        <f>100*(AS42-AS41)</f>
        <v/>
      </c>
      <c r="AT176" s="21">
        <f>100*(AT42-AT41)</f>
        <v/>
      </c>
      <c r="AU176" s="21">
        <f>100*(AU42-AU41)</f>
        <v/>
      </c>
      <c r="AV176" s="21">
        <f>100*(AV42-AV41)</f>
        <v/>
      </c>
      <c r="AW176" s="21">
        <f>100*(AW42-AW41)</f>
        <v/>
      </c>
      <c r="AX176" s="21">
        <f>100*(AX42-AX41)</f>
        <v/>
      </c>
      <c r="AY176" s="21">
        <f>100*(AY42-AY41)</f>
        <v/>
      </c>
      <c r="AZ176" s="21">
        <f>100*(AZ42-AZ41)</f>
        <v/>
      </c>
      <c r="BA176" s="21">
        <f>100*(BA42-BA41)</f>
        <v/>
      </c>
      <c r="BB176" s="21">
        <f>100*(BB42-BB41)</f>
        <v/>
      </c>
      <c r="BC176" s="21">
        <f>100*(BC42-BC41)</f>
        <v/>
      </c>
      <c r="BD176" s="21">
        <f>100*(BD42-BD41)</f>
        <v/>
      </c>
      <c r="BE176" s="21">
        <f>100*(BE42-BE41)</f>
        <v/>
      </c>
      <c r="BF176" s="21">
        <f>100*(BF42-BF41)</f>
        <v/>
      </c>
      <c r="BG176" s="21">
        <f>100*(BG42-BG41)</f>
        <v/>
      </c>
      <c r="BH176" s="21">
        <f>AVERAGE(C176:BG176)</f>
        <v/>
      </c>
    </row>
    <row r="177">
      <c r="A177" s="19">
        <f>A43</f>
        <v/>
      </c>
      <c r="B177" s="20">
        <f>B43</f>
        <v/>
      </c>
      <c r="C177" s="21">
        <f>100*(C43-C42)</f>
        <v/>
      </c>
      <c r="D177" s="21">
        <f>100*(D43-D42)</f>
        <v/>
      </c>
      <c r="E177" s="21">
        <f>100*(E43-E42)</f>
        <v/>
      </c>
      <c r="F177" s="21">
        <f>100*(F43-F42)</f>
        <v/>
      </c>
      <c r="G177" s="21">
        <f>100*(G43-G42)</f>
        <v/>
      </c>
      <c r="H177" s="21">
        <f>100*(H43-H42)</f>
        <v/>
      </c>
      <c r="I177" s="21">
        <f>100*(I43-I42)</f>
        <v/>
      </c>
      <c r="J177" s="21">
        <f>100*(J43-J42)</f>
        <v/>
      </c>
      <c r="K177" s="21">
        <f>100*(K43-K42)</f>
        <v/>
      </c>
      <c r="L177" s="21">
        <f>100*(L43-L42)</f>
        <v/>
      </c>
      <c r="M177" s="21">
        <f>100*(M43-M42)</f>
        <v/>
      </c>
      <c r="N177" s="21">
        <f>100*(N43-N42)</f>
        <v/>
      </c>
      <c r="O177" s="21">
        <f>100*(O43-O42)</f>
        <v/>
      </c>
      <c r="P177" s="21">
        <f>100*(P43-P42)</f>
        <v/>
      </c>
      <c r="Q177" s="21">
        <f>100*(Q43-Q42)</f>
        <v/>
      </c>
      <c r="R177" s="21">
        <f>100*(R43-R42)</f>
        <v/>
      </c>
      <c r="S177" s="21">
        <f>100*(S43-S42)</f>
        <v/>
      </c>
      <c r="T177" s="21">
        <f>100*(T43-T42)</f>
        <v/>
      </c>
      <c r="U177" s="21">
        <f>100*(U43-U42)</f>
        <v/>
      </c>
      <c r="V177" s="21">
        <f>100*(V43-V42)</f>
        <v/>
      </c>
      <c r="W177" s="21">
        <f>100*(W43-W42)</f>
        <v/>
      </c>
      <c r="X177" s="21">
        <f>100*(X43-X42)</f>
        <v/>
      </c>
      <c r="Y177" s="21">
        <f>100*(Y43-Y42)</f>
        <v/>
      </c>
      <c r="Z177" s="21">
        <f>100*(Z43-Z42)</f>
        <v/>
      </c>
      <c r="AA177" s="21">
        <f>100*(AA43-AA42)</f>
        <v/>
      </c>
      <c r="AB177" s="21">
        <f>100*(AB43-AB42)</f>
        <v/>
      </c>
      <c r="AC177" s="21">
        <f>100*(AC43-AC42)</f>
        <v/>
      </c>
      <c r="AD177" s="21">
        <f>100*(AD43-AD42)</f>
        <v/>
      </c>
      <c r="AE177" s="21">
        <f>100*(AE43-AE42)</f>
        <v/>
      </c>
      <c r="AF177" s="21">
        <f>100*(AF43-AF42)</f>
        <v/>
      </c>
      <c r="AG177" s="21">
        <f>100*(AG43-AG42)</f>
        <v/>
      </c>
      <c r="AH177" s="21">
        <f>100*(AH43-AH42)</f>
        <v/>
      </c>
      <c r="AI177" s="21">
        <f>100*(AI43-AI42)</f>
        <v/>
      </c>
      <c r="AJ177" s="21">
        <f>100*(AJ43-AJ42)</f>
        <v/>
      </c>
      <c r="AK177" s="21">
        <f>100*(AK43-AK42)</f>
        <v/>
      </c>
      <c r="AL177" s="21">
        <f>100*(AL43-AL42)</f>
        <v/>
      </c>
      <c r="AM177" s="21">
        <f>100*(AM43-AM42)</f>
        <v/>
      </c>
      <c r="AN177" s="21">
        <f>100*(AN43-AN42)</f>
        <v/>
      </c>
      <c r="AO177" s="21">
        <f>100*(AO43-AO42)</f>
        <v/>
      </c>
      <c r="AP177" s="21">
        <f>100*(AP43-AP42)</f>
        <v/>
      </c>
      <c r="AQ177" s="21">
        <f>100*(AQ43-AQ42)</f>
        <v/>
      </c>
      <c r="AR177" s="21">
        <f>100*(AR43-AR42)</f>
        <v/>
      </c>
      <c r="AS177" s="21">
        <f>100*(AS43-AS42)</f>
        <v/>
      </c>
      <c r="AT177" s="21">
        <f>100*(AT43-AT42)</f>
        <v/>
      </c>
      <c r="AU177" s="21">
        <f>100*(AU43-AU42)</f>
        <v/>
      </c>
      <c r="AV177" s="21">
        <f>100*(AV43-AV42)</f>
        <v/>
      </c>
      <c r="AW177" s="21">
        <f>100*(AW43-AW42)</f>
        <v/>
      </c>
      <c r="AX177" s="21">
        <f>100*(AX43-AX42)</f>
        <v/>
      </c>
      <c r="AY177" s="21">
        <f>100*(AY43-AY42)</f>
        <v/>
      </c>
      <c r="AZ177" s="21">
        <f>100*(AZ43-AZ42)</f>
        <v/>
      </c>
      <c r="BA177" s="21">
        <f>100*(BA43-BA42)</f>
        <v/>
      </c>
      <c r="BB177" s="21">
        <f>100*(BB43-BB42)</f>
        <v/>
      </c>
      <c r="BC177" s="21">
        <f>100*(BC43-BC42)</f>
        <v/>
      </c>
      <c r="BD177" s="21">
        <f>100*(BD43-BD42)</f>
        <v/>
      </c>
      <c r="BE177" s="21">
        <f>100*(BE43-BE42)</f>
        <v/>
      </c>
      <c r="BF177" s="21">
        <f>100*(BF43-BF42)</f>
        <v/>
      </c>
      <c r="BG177" s="21">
        <f>100*(BG43-BG42)</f>
        <v/>
      </c>
      <c r="BH177" s="21">
        <f>AVERAGE(C177:BG177)</f>
        <v/>
      </c>
    </row>
    <row r="178">
      <c r="A178" s="19">
        <f>A44</f>
        <v/>
      </c>
      <c r="B178" s="20">
        <f>B44</f>
        <v/>
      </c>
      <c r="C178" s="21">
        <f>100*(C44-C43)</f>
        <v/>
      </c>
      <c r="D178" s="21">
        <f>100*(D44-D43)</f>
        <v/>
      </c>
      <c r="E178" s="21">
        <f>100*(E44-E43)</f>
        <v/>
      </c>
      <c r="F178" s="21">
        <f>100*(F44-F43)</f>
        <v/>
      </c>
      <c r="G178" s="21">
        <f>100*(G44-G43)</f>
        <v/>
      </c>
      <c r="H178" s="21">
        <f>100*(H44-H43)</f>
        <v/>
      </c>
      <c r="I178" s="21">
        <f>100*(I44-I43)</f>
        <v/>
      </c>
      <c r="J178" s="21">
        <f>100*(J44-J43)</f>
        <v/>
      </c>
      <c r="K178" s="21">
        <f>100*(K44-K43)</f>
        <v/>
      </c>
      <c r="L178" s="21">
        <f>100*(L44-L43)</f>
        <v/>
      </c>
      <c r="M178" s="21">
        <f>100*(M44-M43)</f>
        <v/>
      </c>
      <c r="N178" s="21">
        <f>100*(N44-N43)</f>
        <v/>
      </c>
      <c r="O178" s="21">
        <f>100*(O44-O43)</f>
        <v/>
      </c>
      <c r="P178" s="21">
        <f>100*(P44-P43)</f>
        <v/>
      </c>
      <c r="Q178" s="21">
        <f>100*(Q44-Q43)</f>
        <v/>
      </c>
      <c r="R178" s="21">
        <f>100*(R44-R43)</f>
        <v/>
      </c>
      <c r="S178" s="21">
        <f>100*(S44-S43)</f>
        <v/>
      </c>
      <c r="T178" s="21">
        <f>100*(T44-T43)</f>
        <v/>
      </c>
      <c r="U178" s="21">
        <f>100*(U44-U43)</f>
        <v/>
      </c>
      <c r="V178" s="21">
        <f>100*(V44-V43)</f>
        <v/>
      </c>
      <c r="W178" s="21">
        <f>100*(W44-W43)</f>
        <v/>
      </c>
      <c r="X178" s="21">
        <f>100*(X44-X43)</f>
        <v/>
      </c>
      <c r="Y178" s="21">
        <f>100*(Y44-Y43)</f>
        <v/>
      </c>
      <c r="Z178" s="21">
        <f>100*(Z44-Z43)</f>
        <v/>
      </c>
      <c r="AA178" s="21">
        <f>100*(AA44-AA43)</f>
        <v/>
      </c>
      <c r="AB178" s="21">
        <f>100*(AB44-AB43)</f>
        <v/>
      </c>
      <c r="AC178" s="21">
        <f>100*(AC44-AC43)</f>
        <v/>
      </c>
      <c r="AD178" s="21">
        <f>100*(AD44-AD43)</f>
        <v/>
      </c>
      <c r="AE178" s="21">
        <f>100*(AE44-AE43)</f>
        <v/>
      </c>
      <c r="AF178" s="21">
        <f>100*(AF44-AF43)</f>
        <v/>
      </c>
      <c r="AG178" s="21">
        <f>100*(AG44-AG43)</f>
        <v/>
      </c>
      <c r="AH178" s="21">
        <f>100*(AH44-AH43)</f>
        <v/>
      </c>
      <c r="AI178" s="21">
        <f>100*(AI44-AI43)</f>
        <v/>
      </c>
      <c r="AJ178" s="21">
        <f>100*(AJ44-AJ43)</f>
        <v/>
      </c>
      <c r="AK178" s="21">
        <f>100*(AK44-AK43)</f>
        <v/>
      </c>
      <c r="AL178" s="21">
        <f>100*(AL44-AL43)</f>
        <v/>
      </c>
      <c r="AM178" s="21">
        <f>100*(AM44-AM43)</f>
        <v/>
      </c>
      <c r="AN178" s="21">
        <f>100*(AN44-AN43)</f>
        <v/>
      </c>
      <c r="AO178" s="21">
        <f>100*(AO44-AO43)</f>
        <v/>
      </c>
      <c r="AP178" s="21">
        <f>100*(AP44-AP43)</f>
        <v/>
      </c>
      <c r="AQ178" s="21">
        <f>100*(AQ44-AQ43)</f>
        <v/>
      </c>
      <c r="AR178" s="21">
        <f>100*(AR44-AR43)</f>
        <v/>
      </c>
      <c r="AS178" s="21">
        <f>100*(AS44-AS43)</f>
        <v/>
      </c>
      <c r="AT178" s="21">
        <f>100*(AT44-AT43)</f>
        <v/>
      </c>
      <c r="AU178" s="21">
        <f>100*(AU44-AU43)</f>
        <v/>
      </c>
      <c r="AV178" s="21">
        <f>100*(AV44-AV43)</f>
        <v/>
      </c>
      <c r="AW178" s="21">
        <f>100*(AW44-AW43)</f>
        <v/>
      </c>
      <c r="AX178" s="21">
        <f>100*(AX44-AX43)</f>
        <v/>
      </c>
      <c r="AY178" s="21">
        <f>100*(AY44-AY43)</f>
        <v/>
      </c>
      <c r="AZ178" s="21">
        <f>100*(AZ44-AZ43)</f>
        <v/>
      </c>
      <c r="BA178" s="21">
        <f>100*(BA44-BA43)</f>
        <v/>
      </c>
      <c r="BB178" s="21">
        <f>100*(BB44-BB43)</f>
        <v/>
      </c>
      <c r="BC178" s="21">
        <f>100*(BC44-BC43)</f>
        <v/>
      </c>
      <c r="BD178" s="21">
        <f>100*(BD44-BD43)</f>
        <v/>
      </c>
      <c r="BE178" s="21">
        <f>100*(BE44-BE43)</f>
        <v/>
      </c>
      <c r="BF178" s="21">
        <f>100*(BF44-BF43)</f>
        <v/>
      </c>
      <c r="BG178" s="21">
        <f>100*(BG44-BG43)</f>
        <v/>
      </c>
      <c r="BH178" s="21">
        <f>AVERAGE(C178:BG178)</f>
        <v/>
      </c>
    </row>
    <row r="179">
      <c r="A179" s="19">
        <f>A45</f>
        <v/>
      </c>
      <c r="B179" s="20">
        <f>B45</f>
        <v/>
      </c>
      <c r="C179" s="21">
        <f>100*(C45-C44)</f>
        <v/>
      </c>
      <c r="D179" s="21">
        <f>100*(D45-D44)</f>
        <v/>
      </c>
      <c r="E179" s="21">
        <f>100*(E45-E44)</f>
        <v/>
      </c>
      <c r="F179" s="21">
        <f>100*(F45-F44)</f>
        <v/>
      </c>
      <c r="G179" s="21">
        <f>100*(G45-G44)</f>
        <v/>
      </c>
      <c r="H179" s="21">
        <f>100*(H45-H44)</f>
        <v/>
      </c>
      <c r="I179" s="21">
        <f>100*(I45-I44)</f>
        <v/>
      </c>
      <c r="J179" s="21">
        <f>100*(J45-J44)</f>
        <v/>
      </c>
      <c r="K179" s="21">
        <f>100*(K45-K44)</f>
        <v/>
      </c>
      <c r="L179" s="21">
        <f>100*(L45-L44)</f>
        <v/>
      </c>
      <c r="M179" s="21">
        <f>100*(M45-M44)</f>
        <v/>
      </c>
      <c r="N179" s="21">
        <f>100*(N45-N44)</f>
        <v/>
      </c>
      <c r="O179" s="21">
        <f>100*(O45-O44)</f>
        <v/>
      </c>
      <c r="P179" s="21">
        <f>100*(P45-P44)</f>
        <v/>
      </c>
      <c r="Q179" s="21">
        <f>100*(Q45-Q44)</f>
        <v/>
      </c>
      <c r="R179" s="21">
        <f>100*(R45-R44)</f>
        <v/>
      </c>
      <c r="S179" s="21">
        <f>100*(S45-S44)</f>
        <v/>
      </c>
      <c r="T179" s="21">
        <f>100*(T45-T44)</f>
        <v/>
      </c>
      <c r="U179" s="21">
        <f>100*(U45-U44)</f>
        <v/>
      </c>
      <c r="V179" s="21">
        <f>100*(V45-V44)</f>
        <v/>
      </c>
      <c r="W179" s="21">
        <f>100*(W45-W44)</f>
        <v/>
      </c>
      <c r="X179" s="21">
        <f>100*(X45-X44)</f>
        <v/>
      </c>
      <c r="Y179" s="21">
        <f>100*(Y45-Y44)</f>
        <v/>
      </c>
      <c r="Z179" s="21">
        <f>100*(Z45-Z44)</f>
        <v/>
      </c>
      <c r="AA179" s="21">
        <f>100*(AA45-AA44)</f>
        <v/>
      </c>
      <c r="AB179" s="21">
        <f>100*(AB45-AB44)</f>
        <v/>
      </c>
      <c r="AC179" s="21">
        <f>100*(AC45-AC44)</f>
        <v/>
      </c>
      <c r="AD179" s="21">
        <f>100*(AD45-AD44)</f>
        <v/>
      </c>
      <c r="AE179" s="21">
        <f>100*(AE45-AE44)</f>
        <v/>
      </c>
      <c r="AF179" s="21">
        <f>100*(AF45-AF44)</f>
        <v/>
      </c>
      <c r="AG179" s="21">
        <f>100*(AG45-AG44)</f>
        <v/>
      </c>
      <c r="AH179" s="21">
        <f>100*(AH45-AH44)</f>
        <v/>
      </c>
      <c r="AI179" s="21">
        <f>100*(AI45-AI44)</f>
        <v/>
      </c>
      <c r="AJ179" s="21">
        <f>100*(AJ45-AJ44)</f>
        <v/>
      </c>
      <c r="AK179" s="21">
        <f>100*(AK45-AK44)</f>
        <v/>
      </c>
      <c r="AL179" s="21">
        <f>100*(AL45-AL44)</f>
        <v/>
      </c>
      <c r="AM179" s="21">
        <f>100*(AM45-AM44)</f>
        <v/>
      </c>
      <c r="AN179" s="21">
        <f>100*(AN45-AN44)</f>
        <v/>
      </c>
      <c r="AO179" s="21">
        <f>100*(AO45-AO44)</f>
        <v/>
      </c>
      <c r="AP179" s="21">
        <f>100*(AP45-AP44)</f>
        <v/>
      </c>
      <c r="AQ179" s="21">
        <f>100*(AQ45-AQ44)</f>
        <v/>
      </c>
      <c r="AR179" s="21">
        <f>100*(AR45-AR44)</f>
        <v/>
      </c>
      <c r="AS179" s="21">
        <f>100*(AS45-AS44)</f>
        <v/>
      </c>
      <c r="AT179" s="21">
        <f>100*(AT45-AT44)</f>
        <v/>
      </c>
      <c r="AU179" s="21">
        <f>100*(AU45-AU44)</f>
        <v/>
      </c>
      <c r="AV179" s="21">
        <f>100*(AV45-AV44)</f>
        <v/>
      </c>
      <c r="AW179" s="21">
        <f>100*(AW45-AW44)</f>
        <v/>
      </c>
      <c r="AX179" s="21">
        <f>100*(AX45-AX44)</f>
        <v/>
      </c>
      <c r="AY179" s="21">
        <f>100*(AY45-AY44)</f>
        <v/>
      </c>
      <c r="AZ179" s="21">
        <f>100*(AZ45-AZ44)</f>
        <v/>
      </c>
      <c r="BA179" s="21">
        <f>100*(BA45-BA44)</f>
        <v/>
      </c>
      <c r="BB179" s="21">
        <f>100*(BB45-BB44)</f>
        <v/>
      </c>
      <c r="BC179" s="21">
        <f>100*(BC45-BC44)</f>
        <v/>
      </c>
      <c r="BD179" s="21">
        <f>100*(BD45-BD44)</f>
        <v/>
      </c>
      <c r="BE179" s="21">
        <f>100*(BE45-BE44)</f>
        <v/>
      </c>
      <c r="BF179" s="21">
        <f>100*(BF45-BF44)</f>
        <v/>
      </c>
      <c r="BG179" s="21">
        <f>100*(BG45-BG44)</f>
        <v/>
      </c>
      <c r="BH179" s="21">
        <f>AVERAGE(C179:BG179)</f>
        <v/>
      </c>
    </row>
    <row r="180">
      <c r="A180" s="19">
        <f>A46</f>
        <v/>
      </c>
      <c r="B180" s="20">
        <f>B46</f>
        <v/>
      </c>
      <c r="C180" s="21">
        <f>100*(C46-C45)</f>
        <v/>
      </c>
      <c r="D180" s="21">
        <f>100*(D46-D45)</f>
        <v/>
      </c>
      <c r="E180" s="21">
        <f>100*(E46-E45)</f>
        <v/>
      </c>
      <c r="F180" s="21">
        <f>100*(F46-F45)</f>
        <v/>
      </c>
      <c r="G180" s="21">
        <f>100*(G46-G45)</f>
        <v/>
      </c>
      <c r="H180" s="21">
        <f>100*(H46-H45)</f>
        <v/>
      </c>
      <c r="I180" s="21">
        <f>100*(I46-I45)</f>
        <v/>
      </c>
      <c r="J180" s="21">
        <f>100*(J46-J45)</f>
        <v/>
      </c>
      <c r="K180" s="21">
        <f>100*(K46-K45)</f>
        <v/>
      </c>
      <c r="L180" s="21">
        <f>100*(L46-L45)</f>
        <v/>
      </c>
      <c r="M180" s="21">
        <f>100*(M46-M45)</f>
        <v/>
      </c>
      <c r="N180" s="21">
        <f>100*(N46-N45)</f>
        <v/>
      </c>
      <c r="O180" s="21">
        <f>100*(O46-O45)</f>
        <v/>
      </c>
      <c r="P180" s="21">
        <f>100*(P46-P45)</f>
        <v/>
      </c>
      <c r="Q180" s="21">
        <f>100*(Q46-Q45)</f>
        <v/>
      </c>
      <c r="R180" s="21">
        <f>100*(R46-R45)</f>
        <v/>
      </c>
      <c r="S180" s="21">
        <f>100*(S46-S45)</f>
        <v/>
      </c>
      <c r="T180" s="21">
        <f>100*(T46-T45)</f>
        <v/>
      </c>
      <c r="U180" s="21">
        <f>100*(U46-U45)</f>
        <v/>
      </c>
      <c r="V180" s="21">
        <f>100*(V46-V45)</f>
        <v/>
      </c>
      <c r="W180" s="21">
        <f>100*(W46-W45)</f>
        <v/>
      </c>
      <c r="X180" s="21">
        <f>100*(X46-X45)</f>
        <v/>
      </c>
      <c r="Y180" s="21">
        <f>100*(Y46-Y45)</f>
        <v/>
      </c>
      <c r="Z180" s="21">
        <f>100*(Z46-Z45)</f>
        <v/>
      </c>
      <c r="AA180" s="21">
        <f>100*(AA46-AA45)</f>
        <v/>
      </c>
      <c r="AB180" s="21">
        <f>100*(AB46-AB45)</f>
        <v/>
      </c>
      <c r="AC180" s="21">
        <f>100*(AC46-AC45)</f>
        <v/>
      </c>
      <c r="AD180" s="21">
        <f>100*(AD46-AD45)</f>
        <v/>
      </c>
      <c r="AE180" s="21">
        <f>100*(AE46-AE45)</f>
        <v/>
      </c>
      <c r="AF180" s="21">
        <f>100*(AF46-AF45)</f>
        <v/>
      </c>
      <c r="AG180" s="21">
        <f>100*(AG46-AG45)</f>
        <v/>
      </c>
      <c r="AH180" s="21">
        <f>100*(AH46-AH45)</f>
        <v/>
      </c>
      <c r="AI180" s="21">
        <f>100*(AI46-AI45)</f>
        <v/>
      </c>
      <c r="AJ180" s="21">
        <f>100*(AJ46-AJ45)</f>
        <v/>
      </c>
      <c r="AK180" s="21">
        <f>100*(AK46-AK45)</f>
        <v/>
      </c>
      <c r="AL180" s="21">
        <f>100*(AL46-AL45)</f>
        <v/>
      </c>
      <c r="AM180" s="21">
        <f>100*(AM46-AM45)</f>
        <v/>
      </c>
      <c r="AN180" s="21">
        <f>100*(AN46-AN45)</f>
        <v/>
      </c>
      <c r="AO180" s="21">
        <f>100*(AO46-AO45)</f>
        <v/>
      </c>
      <c r="AP180" s="21">
        <f>100*(AP46-AP45)</f>
        <v/>
      </c>
      <c r="AQ180" s="21">
        <f>100*(AQ46-AQ45)</f>
        <v/>
      </c>
      <c r="AR180" s="21">
        <f>100*(AR46-AR45)</f>
        <v/>
      </c>
      <c r="AS180" s="21">
        <f>100*(AS46-AS45)</f>
        <v/>
      </c>
      <c r="AT180" s="21">
        <f>100*(AT46-AT45)</f>
        <v/>
      </c>
      <c r="AU180" s="21">
        <f>100*(AU46-AU45)</f>
        <v/>
      </c>
      <c r="AV180" s="21">
        <f>100*(AV46-AV45)</f>
        <v/>
      </c>
      <c r="AW180" s="21">
        <f>100*(AW46-AW45)</f>
        <v/>
      </c>
      <c r="AX180" s="21">
        <f>100*(AX46-AX45)</f>
        <v/>
      </c>
      <c r="AY180" s="21">
        <f>100*(AY46-AY45)</f>
        <v/>
      </c>
      <c r="AZ180" s="21">
        <f>100*(AZ46-AZ45)</f>
        <v/>
      </c>
      <c r="BA180" s="21">
        <f>100*(BA46-BA45)</f>
        <v/>
      </c>
      <c r="BB180" s="21">
        <f>100*(BB46-BB45)</f>
        <v/>
      </c>
      <c r="BC180" s="21">
        <f>100*(BC46-BC45)</f>
        <v/>
      </c>
      <c r="BD180" s="21">
        <f>100*(BD46-BD45)</f>
        <v/>
      </c>
      <c r="BE180" s="21">
        <f>100*(BE46-BE45)</f>
        <v/>
      </c>
      <c r="BF180" s="21">
        <f>100*(BF46-BF45)</f>
        <v/>
      </c>
      <c r="BG180" s="21">
        <f>100*(BG46-BG45)</f>
        <v/>
      </c>
      <c r="BH180" s="21">
        <f>AVERAGE(C180:BG180)</f>
        <v/>
      </c>
    </row>
    <row r="181">
      <c r="A181" s="19">
        <f>A47</f>
        <v/>
      </c>
      <c r="B181" s="20">
        <f>B47</f>
        <v/>
      </c>
      <c r="C181" s="21">
        <f>100*(C47-C46)</f>
        <v/>
      </c>
      <c r="D181" s="21">
        <f>100*(D47-D46)</f>
        <v/>
      </c>
      <c r="E181" s="21">
        <f>100*(E47-E46)</f>
        <v/>
      </c>
      <c r="F181" s="21">
        <f>100*(F47-F46)</f>
        <v/>
      </c>
      <c r="G181" s="21">
        <f>100*(G47-G46)</f>
        <v/>
      </c>
      <c r="H181" s="21">
        <f>100*(H47-H46)</f>
        <v/>
      </c>
      <c r="I181" s="21">
        <f>100*(I47-I46)</f>
        <v/>
      </c>
      <c r="J181" s="21">
        <f>100*(J47-J46)</f>
        <v/>
      </c>
      <c r="K181" s="21">
        <f>100*(K47-K46)</f>
        <v/>
      </c>
      <c r="L181" s="21">
        <f>100*(L47-L46)</f>
        <v/>
      </c>
      <c r="M181" s="21">
        <f>100*(M47-M46)</f>
        <v/>
      </c>
      <c r="N181" s="21">
        <f>100*(N47-N46)</f>
        <v/>
      </c>
      <c r="O181" s="21">
        <f>100*(O47-O46)</f>
        <v/>
      </c>
      <c r="P181" s="21">
        <f>100*(P47-P46)</f>
        <v/>
      </c>
      <c r="Q181" s="21">
        <f>100*(Q47-Q46)</f>
        <v/>
      </c>
      <c r="R181" s="21">
        <f>100*(R47-R46)</f>
        <v/>
      </c>
      <c r="S181" s="21">
        <f>100*(S47-S46)</f>
        <v/>
      </c>
      <c r="T181" s="21">
        <f>100*(T47-T46)</f>
        <v/>
      </c>
      <c r="U181" s="21">
        <f>100*(U47-U46)</f>
        <v/>
      </c>
      <c r="V181" s="21">
        <f>100*(V47-V46)</f>
        <v/>
      </c>
      <c r="W181" s="21">
        <f>100*(W47-W46)</f>
        <v/>
      </c>
      <c r="X181" s="21">
        <f>100*(X47-X46)</f>
        <v/>
      </c>
      <c r="Y181" s="21">
        <f>100*(Y47-Y46)</f>
        <v/>
      </c>
      <c r="Z181" s="21">
        <f>100*(Z47-Z46)</f>
        <v/>
      </c>
      <c r="AA181" s="21">
        <f>100*(AA47-AA46)</f>
        <v/>
      </c>
      <c r="AB181" s="21">
        <f>100*(AB47-AB46)</f>
        <v/>
      </c>
      <c r="AC181" s="21">
        <f>100*(AC47-AC46)</f>
        <v/>
      </c>
      <c r="AD181" s="21">
        <f>100*(AD47-AD46)</f>
        <v/>
      </c>
      <c r="AE181" s="21">
        <f>100*(AE47-AE46)</f>
        <v/>
      </c>
      <c r="AF181" s="21">
        <f>100*(AF47-AF46)</f>
        <v/>
      </c>
      <c r="AG181" s="21">
        <f>100*(AG47-AG46)</f>
        <v/>
      </c>
      <c r="AH181" s="21">
        <f>100*(AH47-AH46)</f>
        <v/>
      </c>
      <c r="AI181" s="21">
        <f>100*(AI47-AI46)</f>
        <v/>
      </c>
      <c r="AJ181" s="21">
        <f>100*(AJ47-AJ46)</f>
        <v/>
      </c>
      <c r="AK181" s="21">
        <f>100*(AK47-AK46)</f>
        <v/>
      </c>
      <c r="AL181" s="21">
        <f>100*(AL47-AL46)</f>
        <v/>
      </c>
      <c r="AM181" s="21">
        <f>100*(AM47-AM46)</f>
        <v/>
      </c>
      <c r="AN181" s="21">
        <f>100*(AN47-AN46)</f>
        <v/>
      </c>
      <c r="AO181" s="21">
        <f>100*(AO47-AO46)</f>
        <v/>
      </c>
      <c r="AP181" s="21">
        <f>100*(AP47-AP46)</f>
        <v/>
      </c>
      <c r="AQ181" s="21">
        <f>100*(AQ47-AQ46)</f>
        <v/>
      </c>
      <c r="AR181" s="21">
        <f>100*(AR47-AR46)</f>
        <v/>
      </c>
      <c r="AS181" s="21">
        <f>100*(AS47-AS46)</f>
        <v/>
      </c>
      <c r="AT181" s="21">
        <f>100*(AT47-AT46)</f>
        <v/>
      </c>
      <c r="AU181" s="21">
        <f>100*(AU47-AU46)</f>
        <v/>
      </c>
      <c r="AV181" s="21">
        <f>100*(AV47-AV46)</f>
        <v/>
      </c>
      <c r="AW181" s="21">
        <f>100*(AW47-AW46)</f>
        <v/>
      </c>
      <c r="AX181" s="21">
        <f>100*(AX47-AX46)</f>
        <v/>
      </c>
      <c r="AY181" s="21">
        <f>100*(AY47-AY46)</f>
        <v/>
      </c>
      <c r="AZ181" s="21">
        <f>100*(AZ47-AZ46)</f>
        <v/>
      </c>
      <c r="BA181" s="21">
        <f>100*(BA47-BA46)</f>
        <v/>
      </c>
      <c r="BB181" s="21">
        <f>100*(BB47-BB46)</f>
        <v/>
      </c>
      <c r="BC181" s="21">
        <f>100*(BC47-BC46)</f>
        <v/>
      </c>
      <c r="BD181" s="21">
        <f>100*(BD47-BD46)</f>
        <v/>
      </c>
      <c r="BE181" s="21">
        <f>100*(BE47-BE46)</f>
        <v/>
      </c>
      <c r="BF181" s="21">
        <f>100*(BF47-BF46)</f>
        <v/>
      </c>
      <c r="BG181" s="21">
        <f>100*(BG47-BG46)</f>
        <v/>
      </c>
      <c r="BH181" s="21">
        <f>AVERAGE(C181:BG181)</f>
        <v/>
      </c>
    </row>
    <row r="182">
      <c r="A182" s="19">
        <f>A48</f>
        <v/>
      </c>
      <c r="B182" s="20">
        <f>B48</f>
        <v/>
      </c>
      <c r="C182" s="21">
        <f>100*(C48-C47)</f>
        <v/>
      </c>
      <c r="D182" s="21">
        <f>100*(D48-D47)</f>
        <v/>
      </c>
      <c r="E182" s="21">
        <f>100*(E48-E47)</f>
        <v/>
      </c>
      <c r="F182" s="21">
        <f>100*(F48-F47)</f>
        <v/>
      </c>
      <c r="G182" s="21">
        <f>100*(G48-G47)</f>
        <v/>
      </c>
      <c r="H182" s="21">
        <f>100*(H48-H47)</f>
        <v/>
      </c>
      <c r="I182" s="21">
        <f>100*(I48-I47)</f>
        <v/>
      </c>
      <c r="J182" s="21">
        <f>100*(J48-J47)</f>
        <v/>
      </c>
      <c r="K182" s="21">
        <f>100*(K48-K47)</f>
        <v/>
      </c>
      <c r="L182" s="21">
        <f>100*(L48-L47)</f>
        <v/>
      </c>
      <c r="M182" s="21">
        <f>100*(M48-M47)</f>
        <v/>
      </c>
      <c r="N182" s="21">
        <f>100*(N48-N47)</f>
        <v/>
      </c>
      <c r="O182" s="21">
        <f>100*(O48-O47)</f>
        <v/>
      </c>
      <c r="P182" s="21">
        <f>100*(P48-P47)</f>
        <v/>
      </c>
      <c r="Q182" s="21">
        <f>100*(Q48-Q47)</f>
        <v/>
      </c>
      <c r="R182" s="21">
        <f>100*(R48-R47)</f>
        <v/>
      </c>
      <c r="S182" s="21">
        <f>100*(S48-S47)</f>
        <v/>
      </c>
      <c r="T182" s="21">
        <f>100*(T48-T47)</f>
        <v/>
      </c>
      <c r="U182" s="21">
        <f>100*(U48-U47)</f>
        <v/>
      </c>
      <c r="V182" s="21">
        <f>100*(V48-V47)</f>
        <v/>
      </c>
      <c r="W182" s="21">
        <f>100*(W48-W47)</f>
        <v/>
      </c>
      <c r="X182" s="21">
        <f>100*(X48-X47)</f>
        <v/>
      </c>
      <c r="Y182" s="21">
        <f>100*(Y48-Y47)</f>
        <v/>
      </c>
      <c r="Z182" s="21">
        <f>100*(Z48-Z47)</f>
        <v/>
      </c>
      <c r="AA182" s="21">
        <f>100*(AA48-AA47)</f>
        <v/>
      </c>
      <c r="AB182" s="21">
        <f>100*(AB48-AB47)</f>
        <v/>
      </c>
      <c r="AC182" s="21">
        <f>100*(AC48-AC47)</f>
        <v/>
      </c>
      <c r="AD182" s="21">
        <f>100*(AD48-AD47)</f>
        <v/>
      </c>
      <c r="AE182" s="21">
        <f>100*(AE48-AE47)</f>
        <v/>
      </c>
      <c r="AF182" s="21">
        <f>100*(AF48-AF47)</f>
        <v/>
      </c>
      <c r="AG182" s="21">
        <f>100*(AG48-AG47)</f>
        <v/>
      </c>
      <c r="AH182" s="21">
        <f>100*(AH48-AH47)</f>
        <v/>
      </c>
      <c r="AI182" s="21">
        <f>100*(AI48-AI47)</f>
        <v/>
      </c>
      <c r="AJ182" s="21">
        <f>100*(AJ48-AJ47)</f>
        <v/>
      </c>
      <c r="AK182" s="21">
        <f>100*(AK48-AK47)</f>
        <v/>
      </c>
      <c r="AL182" s="21">
        <f>100*(AL48-AL47)</f>
        <v/>
      </c>
      <c r="AM182" s="21">
        <f>100*(AM48-AM47)</f>
        <v/>
      </c>
      <c r="AN182" s="21">
        <f>100*(AN48-AN47)</f>
        <v/>
      </c>
      <c r="AO182" s="21">
        <f>100*(AO48-AO47)</f>
        <v/>
      </c>
      <c r="AP182" s="21">
        <f>100*(AP48-AP47)</f>
        <v/>
      </c>
      <c r="AQ182" s="21">
        <f>100*(AQ48-AQ47)</f>
        <v/>
      </c>
      <c r="AR182" s="21">
        <f>100*(AR48-AR47)</f>
        <v/>
      </c>
      <c r="AS182" s="21">
        <f>100*(AS48-AS47)</f>
        <v/>
      </c>
      <c r="AT182" s="21">
        <f>100*(AT48-AT47)</f>
        <v/>
      </c>
      <c r="AU182" s="21">
        <f>100*(AU48-AU47)</f>
        <v/>
      </c>
      <c r="AV182" s="21">
        <f>100*(AV48-AV47)</f>
        <v/>
      </c>
      <c r="AW182" s="21">
        <f>100*(AW48-AW47)</f>
        <v/>
      </c>
      <c r="AX182" s="21">
        <f>100*(AX48-AX47)</f>
        <v/>
      </c>
      <c r="AY182" s="21">
        <f>100*(AY48-AY47)</f>
        <v/>
      </c>
      <c r="AZ182" s="21">
        <f>100*(AZ48-AZ47)</f>
        <v/>
      </c>
      <c r="BA182" s="21">
        <f>100*(BA48-BA47)</f>
        <v/>
      </c>
      <c r="BB182" s="21">
        <f>100*(BB48-BB47)</f>
        <v/>
      </c>
      <c r="BC182" s="21">
        <f>100*(BC48-BC47)</f>
        <v/>
      </c>
      <c r="BD182" s="21">
        <f>100*(BD48-BD47)</f>
        <v/>
      </c>
      <c r="BE182" s="21">
        <f>100*(BE48-BE47)</f>
        <v/>
      </c>
      <c r="BF182" s="21">
        <f>100*(BF48-BF47)</f>
        <v/>
      </c>
      <c r="BG182" s="21">
        <f>100*(BG48-BG47)</f>
        <v/>
      </c>
      <c r="BH182" s="21">
        <f>AVERAGE(C182:BG182)</f>
        <v/>
      </c>
    </row>
    <row r="183">
      <c r="A183" s="19">
        <f>A49</f>
        <v/>
      </c>
      <c r="B183" s="20">
        <f>B49</f>
        <v/>
      </c>
      <c r="C183" s="21">
        <f>100*(C49-C48)</f>
        <v/>
      </c>
      <c r="D183" s="21">
        <f>100*(D49-D48)</f>
        <v/>
      </c>
      <c r="E183" s="21">
        <f>100*(E49-E48)</f>
        <v/>
      </c>
      <c r="F183" s="21">
        <f>100*(F49-F48)</f>
        <v/>
      </c>
      <c r="G183" s="21">
        <f>100*(G49-G48)</f>
        <v/>
      </c>
      <c r="H183" s="21">
        <f>100*(H49-H48)</f>
        <v/>
      </c>
      <c r="I183" s="21">
        <f>100*(I49-I48)</f>
        <v/>
      </c>
      <c r="J183" s="21">
        <f>100*(J49-J48)</f>
        <v/>
      </c>
      <c r="K183" s="21">
        <f>100*(K49-K48)</f>
        <v/>
      </c>
      <c r="L183" s="21">
        <f>100*(L49-L48)</f>
        <v/>
      </c>
      <c r="M183" s="21">
        <f>100*(M49-M48)</f>
        <v/>
      </c>
      <c r="N183" s="21">
        <f>100*(N49-N48)</f>
        <v/>
      </c>
      <c r="O183" s="21">
        <f>100*(O49-O48)</f>
        <v/>
      </c>
      <c r="P183" s="21">
        <f>100*(P49-P48)</f>
        <v/>
      </c>
      <c r="Q183" s="21">
        <f>100*(Q49-Q48)</f>
        <v/>
      </c>
      <c r="R183" s="21">
        <f>100*(R49-R48)</f>
        <v/>
      </c>
      <c r="S183" s="21">
        <f>100*(S49-S48)</f>
        <v/>
      </c>
      <c r="T183" s="21">
        <f>100*(T49-T48)</f>
        <v/>
      </c>
      <c r="U183" s="21">
        <f>100*(U49-U48)</f>
        <v/>
      </c>
      <c r="V183" s="21">
        <f>100*(V49-V48)</f>
        <v/>
      </c>
      <c r="W183" s="21">
        <f>100*(W49-W48)</f>
        <v/>
      </c>
      <c r="X183" s="21">
        <f>100*(X49-X48)</f>
        <v/>
      </c>
      <c r="Y183" s="21">
        <f>100*(Y49-Y48)</f>
        <v/>
      </c>
      <c r="Z183" s="21">
        <f>100*(Z49-Z48)</f>
        <v/>
      </c>
      <c r="AA183" s="21">
        <f>100*(AA49-AA48)</f>
        <v/>
      </c>
      <c r="AB183" s="21">
        <f>100*(AB49-AB48)</f>
        <v/>
      </c>
      <c r="AC183" s="21">
        <f>100*(AC49-AC48)</f>
        <v/>
      </c>
      <c r="AD183" s="21">
        <f>100*(AD49-AD48)</f>
        <v/>
      </c>
      <c r="AE183" s="21">
        <f>100*(AE49-AE48)</f>
        <v/>
      </c>
      <c r="AF183" s="21">
        <f>100*(AF49-AF48)</f>
        <v/>
      </c>
      <c r="AG183" s="21">
        <f>100*(AG49-AG48)</f>
        <v/>
      </c>
      <c r="AH183" s="21">
        <f>100*(AH49-AH48)</f>
        <v/>
      </c>
      <c r="AI183" s="21">
        <f>100*(AI49-AI48)</f>
        <v/>
      </c>
      <c r="AJ183" s="21">
        <f>100*(AJ49-AJ48)</f>
        <v/>
      </c>
      <c r="AK183" s="21">
        <f>100*(AK49-AK48)</f>
        <v/>
      </c>
      <c r="AL183" s="21">
        <f>100*(AL49-AL48)</f>
        <v/>
      </c>
      <c r="AM183" s="21">
        <f>100*(AM49-AM48)</f>
        <v/>
      </c>
      <c r="AN183" s="21">
        <f>100*(AN49-AN48)</f>
        <v/>
      </c>
      <c r="AO183" s="21">
        <f>100*(AO49-AO48)</f>
        <v/>
      </c>
      <c r="AP183" s="21">
        <f>100*(AP49-AP48)</f>
        <v/>
      </c>
      <c r="AQ183" s="21">
        <f>100*(AQ49-AQ48)</f>
        <v/>
      </c>
      <c r="AR183" s="21">
        <f>100*(AR49-AR48)</f>
        <v/>
      </c>
      <c r="AS183" s="21">
        <f>100*(AS49-AS48)</f>
        <v/>
      </c>
      <c r="AT183" s="21">
        <f>100*(AT49-AT48)</f>
        <v/>
      </c>
      <c r="AU183" s="21">
        <f>100*(AU49-AU48)</f>
        <v/>
      </c>
      <c r="AV183" s="21">
        <f>100*(AV49-AV48)</f>
        <v/>
      </c>
      <c r="AW183" s="21">
        <f>100*(AW49-AW48)</f>
        <v/>
      </c>
      <c r="AX183" s="21">
        <f>100*(AX49-AX48)</f>
        <v/>
      </c>
      <c r="AY183" s="21">
        <f>100*(AY49-AY48)</f>
        <v/>
      </c>
      <c r="AZ183" s="21">
        <f>100*(AZ49-AZ48)</f>
        <v/>
      </c>
      <c r="BA183" s="21">
        <f>100*(BA49-BA48)</f>
        <v/>
      </c>
      <c r="BB183" s="21">
        <f>100*(BB49-BB48)</f>
        <v/>
      </c>
      <c r="BC183" s="21">
        <f>100*(BC49-BC48)</f>
        <v/>
      </c>
      <c r="BD183" s="21">
        <f>100*(BD49-BD48)</f>
        <v/>
      </c>
      <c r="BE183" s="21">
        <f>100*(BE49-BE48)</f>
        <v/>
      </c>
      <c r="BF183" s="21">
        <f>100*(BF49-BF48)</f>
        <v/>
      </c>
      <c r="BG183" s="21">
        <f>100*(BG49-BG48)</f>
        <v/>
      </c>
      <c r="BH183" s="21">
        <f>AVERAGE(C183:BG183)</f>
        <v/>
      </c>
    </row>
    <row r="184">
      <c r="A184" s="19">
        <f>A50</f>
        <v/>
      </c>
      <c r="B184" s="20">
        <f>B50</f>
        <v/>
      </c>
      <c r="C184" s="21">
        <f>100*(C50-C49)</f>
        <v/>
      </c>
      <c r="D184" s="21">
        <f>100*(D50-D49)</f>
        <v/>
      </c>
      <c r="E184" s="21">
        <f>100*(E50-E49)</f>
        <v/>
      </c>
      <c r="F184" s="21">
        <f>100*(F50-F49)</f>
        <v/>
      </c>
      <c r="G184" s="21">
        <f>100*(G50-G49)</f>
        <v/>
      </c>
      <c r="H184" s="21">
        <f>100*(H50-H49)</f>
        <v/>
      </c>
      <c r="I184" s="21">
        <f>100*(I50-I49)</f>
        <v/>
      </c>
      <c r="J184" s="21">
        <f>100*(J50-J49)</f>
        <v/>
      </c>
      <c r="K184" s="21">
        <f>100*(K50-K49)</f>
        <v/>
      </c>
      <c r="L184" s="21">
        <f>100*(L50-L49)</f>
        <v/>
      </c>
      <c r="M184" s="21">
        <f>100*(M50-M49)</f>
        <v/>
      </c>
      <c r="N184" s="21">
        <f>100*(N50-N49)</f>
        <v/>
      </c>
      <c r="O184" s="21">
        <f>100*(O50-O49)</f>
        <v/>
      </c>
      <c r="P184" s="21">
        <f>100*(P50-P49)</f>
        <v/>
      </c>
      <c r="Q184" s="21">
        <f>100*(Q50-Q49)</f>
        <v/>
      </c>
      <c r="R184" s="21">
        <f>100*(R50-R49)</f>
        <v/>
      </c>
      <c r="S184" s="21">
        <f>100*(S50-S49)</f>
        <v/>
      </c>
      <c r="T184" s="21">
        <f>100*(T50-T49)</f>
        <v/>
      </c>
      <c r="U184" s="21">
        <f>100*(U50-U49)</f>
        <v/>
      </c>
      <c r="V184" s="21">
        <f>100*(V50-V49)</f>
        <v/>
      </c>
      <c r="W184" s="21">
        <f>100*(W50-W49)</f>
        <v/>
      </c>
      <c r="X184" s="21">
        <f>100*(X50-X49)</f>
        <v/>
      </c>
      <c r="Y184" s="21">
        <f>100*(Y50-Y49)</f>
        <v/>
      </c>
      <c r="Z184" s="21">
        <f>100*(Z50-Z49)</f>
        <v/>
      </c>
      <c r="AA184" s="21">
        <f>100*(AA50-AA49)</f>
        <v/>
      </c>
      <c r="AB184" s="21">
        <f>100*(AB50-AB49)</f>
        <v/>
      </c>
      <c r="AC184" s="21">
        <f>100*(AC50-AC49)</f>
        <v/>
      </c>
      <c r="AD184" s="21">
        <f>100*(AD50-AD49)</f>
        <v/>
      </c>
      <c r="AE184" s="21">
        <f>100*(AE50-AE49)</f>
        <v/>
      </c>
      <c r="AF184" s="21">
        <f>100*(AF50-AF49)</f>
        <v/>
      </c>
      <c r="AG184" s="21">
        <f>100*(AG50-AG49)</f>
        <v/>
      </c>
      <c r="AH184" s="21">
        <f>100*(AH50-AH49)</f>
        <v/>
      </c>
      <c r="AI184" s="21">
        <f>100*(AI50-AI49)</f>
        <v/>
      </c>
      <c r="AJ184" s="21">
        <f>100*(AJ50-AJ49)</f>
        <v/>
      </c>
      <c r="AK184" s="21">
        <f>100*(AK50-AK49)</f>
        <v/>
      </c>
      <c r="AL184" s="21">
        <f>100*(AL50-AL49)</f>
        <v/>
      </c>
      <c r="AM184" s="21">
        <f>100*(AM50-AM49)</f>
        <v/>
      </c>
      <c r="AN184" s="21">
        <f>100*(AN50-AN49)</f>
        <v/>
      </c>
      <c r="AO184" s="21">
        <f>100*(AO50-AO49)</f>
        <v/>
      </c>
      <c r="AP184" s="21">
        <f>100*(AP50-AP49)</f>
        <v/>
      </c>
      <c r="AQ184" s="21">
        <f>100*(AQ50-AQ49)</f>
        <v/>
      </c>
      <c r="AR184" s="21">
        <f>100*(AR50-AR49)</f>
        <v/>
      </c>
      <c r="AS184" s="21">
        <f>100*(AS50-AS49)</f>
        <v/>
      </c>
      <c r="AT184" s="21">
        <f>100*(AT50-AT49)</f>
        <v/>
      </c>
      <c r="AU184" s="21">
        <f>100*(AU50-AU49)</f>
        <v/>
      </c>
      <c r="AV184" s="21">
        <f>100*(AV50-AV49)</f>
        <v/>
      </c>
      <c r="AW184" s="21">
        <f>100*(AW50-AW49)</f>
        <v/>
      </c>
      <c r="AX184" s="21">
        <f>100*(AX50-AX49)</f>
        <v/>
      </c>
      <c r="AY184" s="21">
        <f>100*(AY50-AY49)</f>
        <v/>
      </c>
      <c r="AZ184" s="21">
        <f>100*(AZ50-AZ49)</f>
        <v/>
      </c>
      <c r="BA184" s="21">
        <f>100*(BA50-BA49)</f>
        <v/>
      </c>
      <c r="BB184" s="21">
        <f>100*(BB50-BB49)</f>
        <v/>
      </c>
      <c r="BC184" s="21">
        <f>100*(BC50-BC49)</f>
        <v/>
      </c>
      <c r="BD184" s="21">
        <f>100*(BD50-BD49)</f>
        <v/>
      </c>
      <c r="BE184" s="21">
        <f>100*(BE50-BE49)</f>
        <v/>
      </c>
      <c r="BF184" s="21">
        <f>100*(BF50-BF49)</f>
        <v/>
      </c>
      <c r="BG184" s="21">
        <f>100*(BG50-BG49)</f>
        <v/>
      </c>
      <c r="BH184" s="21">
        <f>AVERAGE(C184:BG184)</f>
        <v/>
      </c>
    </row>
    <row r="185">
      <c r="A185" s="19">
        <f>A51</f>
        <v/>
      </c>
      <c r="B185" s="20">
        <f>B51</f>
        <v/>
      </c>
      <c r="C185" s="21">
        <f>100*(C51-C50)</f>
        <v/>
      </c>
      <c r="D185" s="21">
        <f>100*(D51-D50)</f>
        <v/>
      </c>
      <c r="E185" s="21">
        <f>100*(E51-E50)</f>
        <v/>
      </c>
      <c r="F185" s="21">
        <f>100*(F51-F50)</f>
        <v/>
      </c>
      <c r="G185" s="21">
        <f>100*(G51-G50)</f>
        <v/>
      </c>
      <c r="H185" s="21">
        <f>100*(H51-H50)</f>
        <v/>
      </c>
      <c r="I185" s="21">
        <f>100*(I51-I50)</f>
        <v/>
      </c>
      <c r="J185" s="21">
        <f>100*(J51-J50)</f>
        <v/>
      </c>
      <c r="K185" s="21">
        <f>100*(K51-K50)</f>
        <v/>
      </c>
      <c r="L185" s="21">
        <f>100*(L51-L50)</f>
        <v/>
      </c>
      <c r="M185" s="21">
        <f>100*(M51-M50)</f>
        <v/>
      </c>
      <c r="N185" s="21">
        <f>100*(N51-N50)</f>
        <v/>
      </c>
      <c r="O185" s="21">
        <f>100*(O51-O50)</f>
        <v/>
      </c>
      <c r="P185" s="21">
        <f>100*(P51-P50)</f>
        <v/>
      </c>
      <c r="Q185" s="21">
        <f>100*(Q51-Q50)</f>
        <v/>
      </c>
      <c r="R185" s="21">
        <f>100*(R51-R50)</f>
        <v/>
      </c>
      <c r="S185" s="21">
        <f>100*(S51-S50)</f>
        <v/>
      </c>
      <c r="T185" s="21">
        <f>100*(T51-T50)</f>
        <v/>
      </c>
      <c r="U185" s="21">
        <f>100*(U51-U50)</f>
        <v/>
      </c>
      <c r="V185" s="21">
        <f>100*(V51-V50)</f>
        <v/>
      </c>
      <c r="W185" s="21">
        <f>100*(W51-W50)</f>
        <v/>
      </c>
      <c r="X185" s="21">
        <f>100*(X51-X50)</f>
        <v/>
      </c>
      <c r="Y185" s="21">
        <f>100*(Y51-Y50)</f>
        <v/>
      </c>
      <c r="Z185" s="21">
        <f>100*(Z51-Z50)</f>
        <v/>
      </c>
      <c r="AA185" s="21">
        <f>100*(AA51-AA50)</f>
        <v/>
      </c>
      <c r="AB185" s="21">
        <f>100*(AB51-AB50)</f>
        <v/>
      </c>
      <c r="AC185" s="21">
        <f>100*(AC51-AC50)</f>
        <v/>
      </c>
      <c r="AD185" s="21">
        <f>100*(AD51-AD50)</f>
        <v/>
      </c>
      <c r="AE185" s="21">
        <f>100*(AE51-AE50)</f>
        <v/>
      </c>
      <c r="AF185" s="21">
        <f>100*(AF51-AF50)</f>
        <v/>
      </c>
      <c r="AG185" s="21">
        <f>100*(AG51-AG50)</f>
        <v/>
      </c>
      <c r="AH185" s="21">
        <f>100*(AH51-AH50)</f>
        <v/>
      </c>
      <c r="AI185" s="21">
        <f>100*(AI51-AI50)</f>
        <v/>
      </c>
      <c r="AJ185" s="21">
        <f>100*(AJ51-AJ50)</f>
        <v/>
      </c>
      <c r="AK185" s="21">
        <f>100*(AK51-AK50)</f>
        <v/>
      </c>
      <c r="AL185" s="21">
        <f>100*(AL51-AL50)</f>
        <v/>
      </c>
      <c r="AM185" s="21">
        <f>100*(AM51-AM50)</f>
        <v/>
      </c>
      <c r="AN185" s="21">
        <f>100*(AN51-AN50)</f>
        <v/>
      </c>
      <c r="AO185" s="21">
        <f>100*(AO51-AO50)</f>
        <v/>
      </c>
      <c r="AP185" s="21">
        <f>100*(AP51-AP50)</f>
        <v/>
      </c>
      <c r="AQ185" s="21">
        <f>100*(AQ51-AQ50)</f>
        <v/>
      </c>
      <c r="AR185" s="21">
        <f>100*(AR51-AR50)</f>
        <v/>
      </c>
      <c r="AS185" s="21">
        <f>100*(AS51-AS50)</f>
        <v/>
      </c>
      <c r="AT185" s="21">
        <f>100*(AT51-AT50)</f>
        <v/>
      </c>
      <c r="AU185" s="21">
        <f>100*(AU51-AU50)</f>
        <v/>
      </c>
      <c r="AV185" s="21">
        <f>100*(AV51-AV50)</f>
        <v/>
      </c>
      <c r="AW185" s="21">
        <f>100*(AW51-AW50)</f>
        <v/>
      </c>
      <c r="AX185" s="21">
        <f>100*(AX51-AX50)</f>
        <v/>
      </c>
      <c r="AY185" s="21">
        <f>100*(AY51-AY50)</f>
        <v/>
      </c>
      <c r="AZ185" s="21">
        <f>100*(AZ51-AZ50)</f>
        <v/>
      </c>
      <c r="BA185" s="21">
        <f>100*(BA51-BA50)</f>
        <v/>
      </c>
      <c r="BB185" s="21">
        <f>100*(BB51-BB50)</f>
        <v/>
      </c>
      <c r="BC185" s="21">
        <f>100*(BC51-BC50)</f>
        <v/>
      </c>
      <c r="BD185" s="21">
        <f>100*(BD51-BD50)</f>
        <v/>
      </c>
      <c r="BE185" s="21">
        <f>100*(BE51-BE50)</f>
        <v/>
      </c>
      <c r="BF185" s="21">
        <f>100*(BF51-BF50)</f>
        <v/>
      </c>
      <c r="BG185" s="21">
        <f>100*(BG51-BG50)</f>
        <v/>
      </c>
      <c r="BH185" s="21">
        <f>AVERAGE(C185:BG185)</f>
        <v/>
      </c>
    </row>
    <row r="186">
      <c r="A186" s="19">
        <f>A52</f>
        <v/>
      </c>
      <c r="B186" s="20">
        <f>B52</f>
        <v/>
      </c>
      <c r="C186" s="21">
        <f>100*(C52-C51)</f>
        <v/>
      </c>
      <c r="D186" s="21">
        <f>100*(D52-D51)</f>
        <v/>
      </c>
      <c r="E186" s="21">
        <f>100*(E52-E51)</f>
        <v/>
      </c>
      <c r="F186" s="21">
        <f>100*(F52-F51)</f>
        <v/>
      </c>
      <c r="G186" s="21">
        <f>100*(G52-G51)</f>
        <v/>
      </c>
      <c r="H186" s="21">
        <f>100*(H52-H51)</f>
        <v/>
      </c>
      <c r="I186" s="21">
        <f>100*(I52-I51)</f>
        <v/>
      </c>
      <c r="J186" s="21">
        <f>100*(J52-J51)</f>
        <v/>
      </c>
      <c r="K186" s="21">
        <f>100*(K52-K51)</f>
        <v/>
      </c>
      <c r="L186" s="21">
        <f>100*(L52-L51)</f>
        <v/>
      </c>
      <c r="M186" s="21">
        <f>100*(M52-M51)</f>
        <v/>
      </c>
      <c r="N186" s="21">
        <f>100*(N52-N51)</f>
        <v/>
      </c>
      <c r="O186" s="21">
        <f>100*(O52-O51)</f>
        <v/>
      </c>
      <c r="P186" s="21">
        <f>100*(P52-P51)</f>
        <v/>
      </c>
      <c r="Q186" s="21">
        <f>100*(Q52-Q51)</f>
        <v/>
      </c>
      <c r="R186" s="21">
        <f>100*(R52-R51)</f>
        <v/>
      </c>
      <c r="S186" s="21">
        <f>100*(S52-S51)</f>
        <v/>
      </c>
      <c r="T186" s="21">
        <f>100*(T52-T51)</f>
        <v/>
      </c>
      <c r="U186" s="21">
        <f>100*(U52-U51)</f>
        <v/>
      </c>
      <c r="V186" s="21">
        <f>100*(V52-V51)</f>
        <v/>
      </c>
      <c r="W186" s="21">
        <f>100*(W52-W51)</f>
        <v/>
      </c>
      <c r="X186" s="21">
        <f>100*(X52-X51)</f>
        <v/>
      </c>
      <c r="Y186" s="21">
        <f>100*(Y52-Y51)</f>
        <v/>
      </c>
      <c r="Z186" s="21">
        <f>100*(Z52-Z51)</f>
        <v/>
      </c>
      <c r="AA186" s="21">
        <f>100*(AA52-AA51)</f>
        <v/>
      </c>
      <c r="AB186" s="21">
        <f>100*(AB52-AB51)</f>
        <v/>
      </c>
      <c r="AC186" s="21">
        <f>100*(AC52-AC51)</f>
        <v/>
      </c>
      <c r="AD186" s="21">
        <f>100*(AD52-AD51)</f>
        <v/>
      </c>
      <c r="AE186" s="21">
        <f>100*(AE52-AE51)</f>
        <v/>
      </c>
      <c r="AF186" s="21">
        <f>100*(AF52-AF51)</f>
        <v/>
      </c>
      <c r="AG186" s="21">
        <f>100*(AG52-AG51)</f>
        <v/>
      </c>
      <c r="AH186" s="21">
        <f>100*(AH52-AH51)</f>
        <v/>
      </c>
      <c r="AI186" s="21">
        <f>100*(AI52-AI51)</f>
        <v/>
      </c>
      <c r="AJ186" s="21">
        <f>100*(AJ52-AJ51)</f>
        <v/>
      </c>
      <c r="AK186" s="21">
        <f>100*(AK52-AK51)</f>
        <v/>
      </c>
      <c r="AL186" s="21">
        <f>100*(AL52-AL51)</f>
        <v/>
      </c>
      <c r="AM186" s="21">
        <f>100*(AM52-AM51)</f>
        <v/>
      </c>
      <c r="AN186" s="21">
        <f>100*(AN52-AN51)</f>
        <v/>
      </c>
      <c r="AO186" s="21">
        <f>100*(AO52-AO51)</f>
        <v/>
      </c>
      <c r="AP186" s="21">
        <f>100*(AP52-AP51)</f>
        <v/>
      </c>
      <c r="AQ186" s="21">
        <f>100*(AQ52-AQ51)</f>
        <v/>
      </c>
      <c r="AR186" s="21">
        <f>100*(AR52-AR51)</f>
        <v/>
      </c>
      <c r="AS186" s="21">
        <f>100*(AS52-AS51)</f>
        <v/>
      </c>
      <c r="AT186" s="21">
        <f>100*(AT52-AT51)</f>
        <v/>
      </c>
      <c r="AU186" s="21">
        <f>100*(AU52-AU51)</f>
        <v/>
      </c>
      <c r="AV186" s="21">
        <f>100*(AV52-AV51)</f>
        <v/>
      </c>
      <c r="AW186" s="21">
        <f>100*(AW52-AW51)</f>
        <v/>
      </c>
      <c r="AX186" s="21">
        <f>100*(AX52-AX51)</f>
        <v/>
      </c>
      <c r="AY186" s="21">
        <f>100*(AY52-AY51)</f>
        <v/>
      </c>
      <c r="AZ186" s="21">
        <f>100*(AZ52-AZ51)</f>
        <v/>
      </c>
      <c r="BA186" s="21">
        <f>100*(BA52-BA51)</f>
        <v/>
      </c>
      <c r="BB186" s="21">
        <f>100*(BB52-BB51)</f>
        <v/>
      </c>
      <c r="BC186" s="21">
        <f>100*(BC52-BC51)</f>
        <v/>
      </c>
      <c r="BD186" s="21">
        <f>100*(BD52-BD51)</f>
        <v/>
      </c>
      <c r="BE186" s="21">
        <f>100*(BE52-BE51)</f>
        <v/>
      </c>
      <c r="BF186" s="21">
        <f>100*(BF52-BF51)</f>
        <v/>
      </c>
      <c r="BG186" s="21">
        <f>100*(BG52-BG51)</f>
        <v/>
      </c>
      <c r="BH186" s="21">
        <f>AVERAGE(C186:BG186)</f>
        <v/>
      </c>
    </row>
    <row r="187">
      <c r="A187" s="19">
        <f>A53</f>
        <v/>
      </c>
      <c r="B187" s="20">
        <f>B53</f>
        <v/>
      </c>
      <c r="C187" s="21">
        <f>100*(C53-C52)</f>
        <v/>
      </c>
      <c r="D187" s="21">
        <f>100*(D53-D52)</f>
        <v/>
      </c>
      <c r="E187" s="21">
        <f>100*(E53-E52)</f>
        <v/>
      </c>
      <c r="F187" s="21">
        <f>100*(F53-F52)</f>
        <v/>
      </c>
      <c r="G187" s="21">
        <f>100*(G53-G52)</f>
        <v/>
      </c>
      <c r="H187" s="21">
        <f>100*(H53-H52)</f>
        <v/>
      </c>
      <c r="I187" s="21">
        <f>100*(I53-I52)</f>
        <v/>
      </c>
      <c r="J187" s="21">
        <f>100*(J53-J52)</f>
        <v/>
      </c>
      <c r="K187" s="21">
        <f>100*(K53-K52)</f>
        <v/>
      </c>
      <c r="L187" s="21">
        <f>100*(L53-L52)</f>
        <v/>
      </c>
      <c r="M187" s="21">
        <f>100*(M53-M52)</f>
        <v/>
      </c>
      <c r="N187" s="21">
        <f>100*(N53-N52)</f>
        <v/>
      </c>
      <c r="O187" s="21">
        <f>100*(O53-O52)</f>
        <v/>
      </c>
      <c r="P187" s="21">
        <f>100*(P53-P52)</f>
        <v/>
      </c>
      <c r="Q187" s="21">
        <f>100*(Q53-Q52)</f>
        <v/>
      </c>
      <c r="R187" s="21">
        <f>100*(R53-R52)</f>
        <v/>
      </c>
      <c r="S187" s="21">
        <f>100*(S53-S52)</f>
        <v/>
      </c>
      <c r="T187" s="21">
        <f>100*(T53-T52)</f>
        <v/>
      </c>
      <c r="U187" s="21">
        <f>100*(U53-U52)</f>
        <v/>
      </c>
      <c r="V187" s="21">
        <f>100*(V53-V52)</f>
        <v/>
      </c>
      <c r="W187" s="21">
        <f>100*(W53-W52)</f>
        <v/>
      </c>
      <c r="X187" s="21">
        <f>100*(X53-X52)</f>
        <v/>
      </c>
      <c r="Y187" s="21">
        <f>100*(Y53-Y52)</f>
        <v/>
      </c>
      <c r="Z187" s="21">
        <f>100*(Z53-Z52)</f>
        <v/>
      </c>
      <c r="AA187" s="21">
        <f>100*(AA53-AA52)</f>
        <v/>
      </c>
      <c r="AB187" s="21">
        <f>100*(AB53-AB52)</f>
        <v/>
      </c>
      <c r="AC187" s="21">
        <f>100*(AC53-AC52)</f>
        <v/>
      </c>
      <c r="AD187" s="21">
        <f>100*(AD53-AD52)</f>
        <v/>
      </c>
      <c r="AE187" s="21">
        <f>100*(AE53-AE52)</f>
        <v/>
      </c>
      <c r="AF187" s="21">
        <f>100*(AF53-AF52)</f>
        <v/>
      </c>
      <c r="AG187" s="21">
        <f>100*(AG53-AG52)</f>
        <v/>
      </c>
      <c r="AH187" s="21">
        <f>100*(AH53-AH52)</f>
        <v/>
      </c>
      <c r="AI187" s="21">
        <f>100*(AI53-AI52)</f>
        <v/>
      </c>
      <c r="AJ187" s="21">
        <f>100*(AJ53-AJ52)</f>
        <v/>
      </c>
      <c r="AK187" s="21">
        <f>100*(AK53-AK52)</f>
        <v/>
      </c>
      <c r="AL187" s="21">
        <f>100*(AL53-AL52)</f>
        <v/>
      </c>
      <c r="AM187" s="21">
        <f>100*(AM53-AM52)</f>
        <v/>
      </c>
      <c r="AN187" s="21">
        <f>100*(AN53-AN52)</f>
        <v/>
      </c>
      <c r="AO187" s="21">
        <f>100*(AO53-AO52)</f>
        <v/>
      </c>
      <c r="AP187" s="21">
        <f>100*(AP53-AP52)</f>
        <v/>
      </c>
      <c r="AQ187" s="21">
        <f>100*(AQ53-AQ52)</f>
        <v/>
      </c>
      <c r="AR187" s="21">
        <f>100*(AR53-AR52)</f>
        <v/>
      </c>
      <c r="AS187" s="21">
        <f>100*(AS53-AS52)</f>
        <v/>
      </c>
      <c r="AT187" s="21">
        <f>100*(AT53-AT52)</f>
        <v/>
      </c>
      <c r="AU187" s="21">
        <f>100*(AU53-AU52)</f>
        <v/>
      </c>
      <c r="AV187" s="21">
        <f>100*(AV53-AV52)</f>
        <v/>
      </c>
      <c r="AW187" s="21">
        <f>100*(AW53-AW52)</f>
        <v/>
      </c>
      <c r="AX187" s="21">
        <f>100*(AX53-AX52)</f>
        <v/>
      </c>
      <c r="AY187" s="21">
        <f>100*(AY53-AY52)</f>
        <v/>
      </c>
      <c r="AZ187" s="21">
        <f>100*(AZ53-AZ52)</f>
        <v/>
      </c>
      <c r="BA187" s="21">
        <f>100*(BA53-BA52)</f>
        <v/>
      </c>
      <c r="BB187" s="21">
        <f>100*(BB53-BB52)</f>
        <v/>
      </c>
      <c r="BC187" s="21">
        <f>100*(BC53-BC52)</f>
        <v/>
      </c>
      <c r="BD187" s="21">
        <f>100*(BD53-BD52)</f>
        <v/>
      </c>
      <c r="BE187" s="21">
        <f>100*(BE53-BE52)</f>
        <v/>
      </c>
      <c r="BF187" s="21">
        <f>100*(BF53-BF52)</f>
        <v/>
      </c>
      <c r="BG187" s="21">
        <f>100*(BG53-BG52)</f>
        <v/>
      </c>
      <c r="BH187" s="21">
        <f>AVERAGE(C187:BG187)</f>
        <v/>
      </c>
    </row>
    <row r="188">
      <c r="A188" s="19">
        <f>A54</f>
        <v/>
      </c>
      <c r="B188" s="20">
        <f>B54</f>
        <v/>
      </c>
      <c r="C188" s="21">
        <f>100*(C54-C53)</f>
        <v/>
      </c>
      <c r="D188" s="21">
        <f>100*(D54-D53)</f>
        <v/>
      </c>
      <c r="E188" s="21">
        <f>100*(E54-E53)</f>
        <v/>
      </c>
      <c r="F188" s="21">
        <f>100*(F54-F53)</f>
        <v/>
      </c>
      <c r="G188" s="21">
        <f>100*(G54-G53)</f>
        <v/>
      </c>
      <c r="H188" s="21">
        <f>100*(H54-H53)</f>
        <v/>
      </c>
      <c r="I188" s="21">
        <f>100*(I54-I53)</f>
        <v/>
      </c>
      <c r="J188" s="21">
        <f>100*(J54-J53)</f>
        <v/>
      </c>
      <c r="K188" s="21">
        <f>100*(K54-K53)</f>
        <v/>
      </c>
      <c r="L188" s="21">
        <f>100*(L54-L53)</f>
        <v/>
      </c>
      <c r="M188" s="21">
        <f>100*(M54-M53)</f>
        <v/>
      </c>
      <c r="N188" s="21">
        <f>100*(N54-N53)</f>
        <v/>
      </c>
      <c r="O188" s="21">
        <f>100*(O54-O53)</f>
        <v/>
      </c>
      <c r="P188" s="21">
        <f>100*(P54-P53)</f>
        <v/>
      </c>
      <c r="Q188" s="21">
        <f>100*(Q54-Q53)</f>
        <v/>
      </c>
      <c r="R188" s="21">
        <f>100*(R54-R53)</f>
        <v/>
      </c>
      <c r="S188" s="21">
        <f>100*(S54-S53)</f>
        <v/>
      </c>
      <c r="T188" s="21">
        <f>100*(T54-T53)</f>
        <v/>
      </c>
      <c r="U188" s="21">
        <f>100*(U54-U53)</f>
        <v/>
      </c>
      <c r="V188" s="21">
        <f>100*(V54-V53)</f>
        <v/>
      </c>
      <c r="W188" s="21">
        <f>100*(W54-W53)</f>
        <v/>
      </c>
      <c r="X188" s="21">
        <f>100*(X54-X53)</f>
        <v/>
      </c>
      <c r="Y188" s="21">
        <f>100*(Y54-Y53)</f>
        <v/>
      </c>
      <c r="Z188" s="21">
        <f>100*(Z54-Z53)</f>
        <v/>
      </c>
      <c r="AA188" s="21">
        <f>100*(AA54-AA53)</f>
        <v/>
      </c>
      <c r="AB188" s="21">
        <f>100*(AB54-AB53)</f>
        <v/>
      </c>
      <c r="AC188" s="21">
        <f>100*(AC54-AC53)</f>
        <v/>
      </c>
      <c r="AD188" s="21">
        <f>100*(AD54-AD53)</f>
        <v/>
      </c>
      <c r="AE188" s="21">
        <f>100*(AE54-AE53)</f>
        <v/>
      </c>
      <c r="AF188" s="21">
        <f>100*(AF54-AF53)</f>
        <v/>
      </c>
      <c r="AG188" s="21">
        <f>100*(AG54-AG53)</f>
        <v/>
      </c>
      <c r="AH188" s="21">
        <f>100*(AH54-AH53)</f>
        <v/>
      </c>
      <c r="AI188" s="21">
        <f>100*(AI54-AI53)</f>
        <v/>
      </c>
      <c r="AJ188" s="21">
        <f>100*(AJ54-AJ53)</f>
        <v/>
      </c>
      <c r="AK188" s="21">
        <f>100*(AK54-AK53)</f>
        <v/>
      </c>
      <c r="AL188" s="21">
        <f>100*(AL54-AL53)</f>
        <v/>
      </c>
      <c r="AM188" s="21">
        <f>100*(AM54-AM53)</f>
        <v/>
      </c>
      <c r="AN188" s="21">
        <f>100*(AN54-AN53)</f>
        <v/>
      </c>
      <c r="AO188" s="21">
        <f>100*(AO54-AO53)</f>
        <v/>
      </c>
      <c r="AP188" s="21">
        <f>100*(AP54-AP53)</f>
        <v/>
      </c>
      <c r="AQ188" s="21">
        <f>100*(AQ54-AQ53)</f>
        <v/>
      </c>
      <c r="AR188" s="21">
        <f>100*(AR54-AR53)</f>
        <v/>
      </c>
      <c r="AS188" s="21">
        <f>100*(AS54-AS53)</f>
        <v/>
      </c>
      <c r="AT188" s="21">
        <f>100*(AT54-AT53)</f>
        <v/>
      </c>
      <c r="AU188" s="21">
        <f>100*(AU54-AU53)</f>
        <v/>
      </c>
      <c r="AV188" s="21">
        <f>100*(AV54-AV53)</f>
        <v/>
      </c>
      <c r="AW188" s="21">
        <f>100*(AW54-AW53)</f>
        <v/>
      </c>
      <c r="AX188" s="21">
        <f>100*(AX54-AX53)</f>
        <v/>
      </c>
      <c r="AY188" s="21">
        <f>100*(AY54-AY53)</f>
        <v/>
      </c>
      <c r="AZ188" s="21">
        <f>100*(AZ54-AZ53)</f>
        <v/>
      </c>
      <c r="BA188" s="21">
        <f>100*(BA54-BA53)</f>
        <v/>
      </c>
      <c r="BB188" s="21">
        <f>100*(BB54-BB53)</f>
        <v/>
      </c>
      <c r="BC188" s="21">
        <f>100*(BC54-BC53)</f>
        <v/>
      </c>
      <c r="BD188" s="21">
        <f>100*(BD54-BD53)</f>
        <v/>
      </c>
      <c r="BE188" s="21">
        <f>100*(BE54-BE53)</f>
        <v/>
      </c>
      <c r="BF188" s="21">
        <f>100*(BF54-BF53)</f>
        <v/>
      </c>
      <c r="BG188" s="21">
        <f>100*(BG54-BG53)</f>
        <v/>
      </c>
      <c r="BH188" s="21">
        <f>AVERAGE(C188:BG188)</f>
        <v/>
      </c>
    </row>
    <row r="189">
      <c r="A189" s="19">
        <f>A55</f>
        <v/>
      </c>
      <c r="B189" s="20">
        <f>B55</f>
        <v/>
      </c>
      <c r="C189" s="21">
        <f>100*(C55-C54)</f>
        <v/>
      </c>
      <c r="D189" s="21">
        <f>100*(D55-D54)</f>
        <v/>
      </c>
      <c r="E189" s="21">
        <f>100*(E55-E54)</f>
        <v/>
      </c>
      <c r="F189" s="21">
        <f>100*(F55-F54)</f>
        <v/>
      </c>
      <c r="G189" s="21">
        <f>100*(G55-G54)</f>
        <v/>
      </c>
      <c r="H189" s="21">
        <f>100*(H55-H54)</f>
        <v/>
      </c>
      <c r="I189" s="21">
        <f>100*(I55-I54)</f>
        <v/>
      </c>
      <c r="J189" s="21">
        <f>100*(J55-J54)</f>
        <v/>
      </c>
      <c r="K189" s="21">
        <f>100*(K55-K54)</f>
        <v/>
      </c>
      <c r="L189" s="21">
        <f>100*(L55-L54)</f>
        <v/>
      </c>
      <c r="M189" s="21">
        <f>100*(M55-M54)</f>
        <v/>
      </c>
      <c r="N189" s="21">
        <f>100*(N55-N54)</f>
        <v/>
      </c>
      <c r="O189" s="21">
        <f>100*(O55-O54)</f>
        <v/>
      </c>
      <c r="P189" s="21">
        <f>100*(P55-P54)</f>
        <v/>
      </c>
      <c r="Q189" s="21">
        <f>100*(Q55-Q54)</f>
        <v/>
      </c>
      <c r="R189" s="21">
        <f>100*(R55-R54)</f>
        <v/>
      </c>
      <c r="S189" s="21">
        <f>100*(S55-S54)</f>
        <v/>
      </c>
      <c r="T189" s="21">
        <f>100*(T55-T54)</f>
        <v/>
      </c>
      <c r="U189" s="21">
        <f>100*(U55-U54)</f>
        <v/>
      </c>
      <c r="V189" s="21">
        <f>100*(V55-V54)</f>
        <v/>
      </c>
      <c r="W189" s="21">
        <f>100*(W55-W54)</f>
        <v/>
      </c>
      <c r="X189" s="21">
        <f>100*(X55-X54)</f>
        <v/>
      </c>
      <c r="Y189" s="21">
        <f>100*(Y55-Y54)</f>
        <v/>
      </c>
      <c r="Z189" s="21">
        <f>100*(Z55-Z54)</f>
        <v/>
      </c>
      <c r="AA189" s="21">
        <f>100*(AA55-AA54)</f>
        <v/>
      </c>
      <c r="AB189" s="21">
        <f>100*(AB55-AB54)</f>
        <v/>
      </c>
      <c r="AC189" s="21">
        <f>100*(AC55-AC54)</f>
        <v/>
      </c>
      <c r="AD189" s="21">
        <f>100*(AD55-AD54)</f>
        <v/>
      </c>
      <c r="AE189" s="21">
        <f>100*(AE55-AE54)</f>
        <v/>
      </c>
      <c r="AF189" s="21">
        <f>100*(AF55-AF54)</f>
        <v/>
      </c>
      <c r="AG189" s="21">
        <f>100*(AG55-AG54)</f>
        <v/>
      </c>
      <c r="AH189" s="21">
        <f>100*(AH55-AH54)</f>
        <v/>
      </c>
      <c r="AI189" s="21">
        <f>100*(AI55-AI54)</f>
        <v/>
      </c>
      <c r="AJ189" s="21">
        <f>100*(AJ55-AJ54)</f>
        <v/>
      </c>
      <c r="AK189" s="21">
        <f>100*(AK55-AK54)</f>
        <v/>
      </c>
      <c r="AL189" s="21">
        <f>100*(AL55-AL54)</f>
        <v/>
      </c>
      <c r="AM189" s="21">
        <f>100*(AM55-AM54)</f>
        <v/>
      </c>
      <c r="AN189" s="21">
        <f>100*(AN55-AN54)</f>
        <v/>
      </c>
      <c r="AO189" s="21">
        <f>100*(AO55-AO54)</f>
        <v/>
      </c>
      <c r="AP189" s="21">
        <f>100*(AP55-AP54)</f>
        <v/>
      </c>
      <c r="AQ189" s="21">
        <f>100*(AQ55-AQ54)</f>
        <v/>
      </c>
      <c r="AR189" s="21">
        <f>100*(AR55-AR54)</f>
        <v/>
      </c>
      <c r="AS189" s="21">
        <f>100*(AS55-AS54)</f>
        <v/>
      </c>
      <c r="AT189" s="21">
        <f>100*(AT55-AT54)</f>
        <v/>
      </c>
      <c r="AU189" s="21">
        <f>100*(AU55-AU54)</f>
        <v/>
      </c>
      <c r="AV189" s="21">
        <f>100*(AV55-AV54)</f>
        <v/>
      </c>
      <c r="AW189" s="21">
        <f>100*(AW55-AW54)</f>
        <v/>
      </c>
      <c r="AX189" s="21">
        <f>100*(AX55-AX54)</f>
        <v/>
      </c>
      <c r="AY189" s="21">
        <f>100*(AY55-AY54)</f>
        <v/>
      </c>
      <c r="AZ189" s="21">
        <f>100*(AZ55-AZ54)</f>
        <v/>
      </c>
      <c r="BA189" s="21">
        <f>100*(BA55-BA54)</f>
        <v/>
      </c>
      <c r="BB189" s="21">
        <f>100*(BB55-BB54)</f>
        <v/>
      </c>
      <c r="BC189" s="21">
        <f>100*(BC55-BC54)</f>
        <v/>
      </c>
      <c r="BD189" s="21">
        <f>100*(BD55-BD54)</f>
        <v/>
      </c>
      <c r="BE189" s="21">
        <f>100*(BE55-BE54)</f>
        <v/>
      </c>
      <c r="BF189" s="21">
        <f>100*(BF55-BF54)</f>
        <v/>
      </c>
      <c r="BG189" s="21">
        <f>100*(BG55-BG54)</f>
        <v/>
      </c>
      <c r="BH189" s="21">
        <f>AVERAGE(C189:BG189)</f>
        <v/>
      </c>
    </row>
    <row r="190">
      <c r="A190" s="19">
        <f>A56</f>
        <v/>
      </c>
      <c r="B190" s="20">
        <f>B56</f>
        <v/>
      </c>
      <c r="C190" s="21">
        <f>100*(C56-C55)</f>
        <v/>
      </c>
      <c r="D190" s="21">
        <f>100*(D56-D55)</f>
        <v/>
      </c>
      <c r="E190" s="21">
        <f>100*(E56-E55)</f>
        <v/>
      </c>
      <c r="F190" s="21">
        <f>100*(F56-F55)</f>
        <v/>
      </c>
      <c r="G190" s="21">
        <f>100*(G56-G55)</f>
        <v/>
      </c>
      <c r="H190" s="21">
        <f>100*(H56-H55)</f>
        <v/>
      </c>
      <c r="I190" s="21">
        <f>100*(I56-I55)</f>
        <v/>
      </c>
      <c r="J190" s="21">
        <f>100*(J56-J55)</f>
        <v/>
      </c>
      <c r="K190" s="21">
        <f>100*(K56-K55)</f>
        <v/>
      </c>
      <c r="L190" s="21">
        <f>100*(L56-L55)</f>
        <v/>
      </c>
      <c r="M190" s="21">
        <f>100*(M56-M55)</f>
        <v/>
      </c>
      <c r="N190" s="21">
        <f>100*(N56-N55)</f>
        <v/>
      </c>
      <c r="O190" s="21">
        <f>100*(O56-O55)</f>
        <v/>
      </c>
      <c r="P190" s="21">
        <f>100*(P56-P55)</f>
        <v/>
      </c>
      <c r="Q190" s="21">
        <f>100*(Q56-Q55)</f>
        <v/>
      </c>
      <c r="R190" s="21">
        <f>100*(R56-R55)</f>
        <v/>
      </c>
      <c r="S190" s="21">
        <f>100*(S56-S55)</f>
        <v/>
      </c>
      <c r="T190" s="21">
        <f>100*(T56-T55)</f>
        <v/>
      </c>
      <c r="U190" s="21">
        <f>100*(U56-U55)</f>
        <v/>
      </c>
      <c r="V190" s="21">
        <f>100*(V56-V55)</f>
        <v/>
      </c>
      <c r="W190" s="21">
        <f>100*(W56-W55)</f>
        <v/>
      </c>
      <c r="X190" s="21">
        <f>100*(X56-X55)</f>
        <v/>
      </c>
      <c r="Y190" s="21">
        <f>100*(Y56-Y55)</f>
        <v/>
      </c>
      <c r="Z190" s="21">
        <f>100*(Z56-Z55)</f>
        <v/>
      </c>
      <c r="AA190" s="21">
        <f>100*(AA56-AA55)</f>
        <v/>
      </c>
      <c r="AB190" s="21">
        <f>100*(AB56-AB55)</f>
        <v/>
      </c>
      <c r="AC190" s="21">
        <f>100*(AC56-AC55)</f>
        <v/>
      </c>
      <c r="AD190" s="21">
        <f>100*(AD56-AD55)</f>
        <v/>
      </c>
      <c r="AE190" s="21">
        <f>100*(AE56-AE55)</f>
        <v/>
      </c>
      <c r="AF190" s="21">
        <f>100*(AF56-AF55)</f>
        <v/>
      </c>
      <c r="AG190" s="21">
        <f>100*(AG56-AG55)</f>
        <v/>
      </c>
      <c r="AH190" s="21">
        <f>100*(AH56-AH55)</f>
        <v/>
      </c>
      <c r="AI190" s="21">
        <f>100*(AI56-AI55)</f>
        <v/>
      </c>
      <c r="AJ190" s="21">
        <f>100*(AJ56-AJ55)</f>
        <v/>
      </c>
      <c r="AK190" s="21">
        <f>100*(AK56-AK55)</f>
        <v/>
      </c>
      <c r="AL190" s="21">
        <f>100*(AL56-AL55)</f>
        <v/>
      </c>
      <c r="AM190" s="21">
        <f>100*(AM56-AM55)</f>
        <v/>
      </c>
      <c r="AN190" s="21">
        <f>100*(AN56-AN55)</f>
        <v/>
      </c>
      <c r="AO190" s="21">
        <f>100*(AO56-AO55)</f>
        <v/>
      </c>
      <c r="AP190" s="21">
        <f>100*(AP56-AP55)</f>
        <v/>
      </c>
      <c r="AQ190" s="21">
        <f>100*(AQ56-AQ55)</f>
        <v/>
      </c>
      <c r="AR190" s="21">
        <f>100*(AR56-AR55)</f>
        <v/>
      </c>
      <c r="AS190" s="21">
        <f>100*(AS56-AS55)</f>
        <v/>
      </c>
      <c r="AT190" s="21">
        <f>100*(AT56-AT55)</f>
        <v/>
      </c>
      <c r="AU190" s="21">
        <f>100*(AU56-AU55)</f>
        <v/>
      </c>
      <c r="AV190" s="21">
        <f>100*(AV56-AV55)</f>
        <v/>
      </c>
      <c r="AW190" s="21">
        <f>100*(AW56-AW55)</f>
        <v/>
      </c>
      <c r="AX190" s="21">
        <f>100*(AX56-AX55)</f>
        <v/>
      </c>
      <c r="AY190" s="21">
        <f>100*(AY56-AY55)</f>
        <v/>
      </c>
      <c r="AZ190" s="21">
        <f>100*(AZ56-AZ55)</f>
        <v/>
      </c>
      <c r="BA190" s="21">
        <f>100*(BA56-BA55)</f>
        <v/>
      </c>
      <c r="BB190" s="21">
        <f>100*(BB56-BB55)</f>
        <v/>
      </c>
      <c r="BC190" s="21">
        <f>100*(BC56-BC55)</f>
        <v/>
      </c>
      <c r="BD190" s="21">
        <f>100*(BD56-BD55)</f>
        <v/>
      </c>
      <c r="BE190" s="21">
        <f>100*(BE56-BE55)</f>
        <v/>
      </c>
      <c r="BF190" s="21">
        <f>100*(BF56-BF55)</f>
        <v/>
      </c>
      <c r="BG190" s="21">
        <f>100*(BG56-BG55)</f>
        <v/>
      </c>
      <c r="BH190" s="21">
        <f>AVERAGE(C190:BG190)</f>
        <v/>
      </c>
    </row>
    <row r="191">
      <c r="A191" s="19">
        <f>A57</f>
        <v/>
      </c>
      <c r="B191" s="20">
        <f>B57</f>
        <v/>
      </c>
      <c r="C191" s="21">
        <f>100*(C57-C56)</f>
        <v/>
      </c>
      <c r="D191" s="21">
        <f>100*(D57-D56)</f>
        <v/>
      </c>
      <c r="E191" s="21">
        <f>100*(E57-E56)</f>
        <v/>
      </c>
      <c r="F191" s="21">
        <f>100*(F57-F56)</f>
        <v/>
      </c>
      <c r="G191" s="21">
        <f>100*(G57-G56)</f>
        <v/>
      </c>
      <c r="H191" s="21">
        <f>100*(H57-H56)</f>
        <v/>
      </c>
      <c r="I191" s="21">
        <f>100*(I57-I56)</f>
        <v/>
      </c>
      <c r="J191" s="21">
        <f>100*(J57-J56)</f>
        <v/>
      </c>
      <c r="K191" s="21">
        <f>100*(K57-K56)</f>
        <v/>
      </c>
      <c r="L191" s="21">
        <f>100*(L57-L56)</f>
        <v/>
      </c>
      <c r="M191" s="21">
        <f>100*(M57-M56)</f>
        <v/>
      </c>
      <c r="N191" s="21">
        <f>100*(N57-N56)</f>
        <v/>
      </c>
      <c r="O191" s="21">
        <f>100*(O57-O56)</f>
        <v/>
      </c>
      <c r="P191" s="21">
        <f>100*(P57-P56)</f>
        <v/>
      </c>
      <c r="Q191" s="21">
        <f>100*(Q57-Q56)</f>
        <v/>
      </c>
      <c r="R191" s="21">
        <f>100*(R57-R56)</f>
        <v/>
      </c>
      <c r="S191" s="21">
        <f>100*(S57-S56)</f>
        <v/>
      </c>
      <c r="T191" s="21">
        <f>100*(T57-T56)</f>
        <v/>
      </c>
      <c r="U191" s="21">
        <f>100*(U57-U56)</f>
        <v/>
      </c>
      <c r="V191" s="21">
        <f>100*(V57-V56)</f>
        <v/>
      </c>
      <c r="W191" s="21">
        <f>100*(W57-W56)</f>
        <v/>
      </c>
      <c r="X191" s="21">
        <f>100*(X57-X56)</f>
        <v/>
      </c>
      <c r="Y191" s="21">
        <f>100*(Y57-Y56)</f>
        <v/>
      </c>
      <c r="Z191" s="21">
        <f>100*(Z57-Z56)</f>
        <v/>
      </c>
      <c r="AA191" s="21">
        <f>100*(AA57-AA56)</f>
        <v/>
      </c>
      <c r="AB191" s="21">
        <f>100*(AB57-AB56)</f>
        <v/>
      </c>
      <c r="AC191" s="21">
        <f>100*(AC57-AC56)</f>
        <v/>
      </c>
      <c r="AD191" s="21">
        <f>100*(AD57-AD56)</f>
        <v/>
      </c>
      <c r="AE191" s="21">
        <f>100*(AE57-AE56)</f>
        <v/>
      </c>
      <c r="AF191" s="21">
        <f>100*(AF57-AF56)</f>
        <v/>
      </c>
      <c r="AG191" s="21">
        <f>100*(AG57-AG56)</f>
        <v/>
      </c>
      <c r="AH191" s="21">
        <f>100*(AH57-AH56)</f>
        <v/>
      </c>
      <c r="AI191" s="21">
        <f>100*(AI57-AI56)</f>
        <v/>
      </c>
      <c r="AJ191" s="21">
        <f>100*(AJ57-AJ56)</f>
        <v/>
      </c>
      <c r="AK191" s="21">
        <f>100*(AK57-AK56)</f>
        <v/>
      </c>
      <c r="AL191" s="21">
        <f>100*(AL57-AL56)</f>
        <v/>
      </c>
      <c r="AM191" s="21">
        <f>100*(AM57-AM56)</f>
        <v/>
      </c>
      <c r="AN191" s="21">
        <f>100*(AN57-AN56)</f>
        <v/>
      </c>
      <c r="AO191" s="21">
        <f>100*(AO57-AO56)</f>
        <v/>
      </c>
      <c r="AP191" s="21">
        <f>100*(AP57-AP56)</f>
        <v/>
      </c>
      <c r="AQ191" s="21">
        <f>100*(AQ57-AQ56)</f>
        <v/>
      </c>
      <c r="AR191" s="21">
        <f>100*(AR57-AR56)</f>
        <v/>
      </c>
      <c r="AS191" s="21">
        <f>100*(AS57-AS56)</f>
        <v/>
      </c>
      <c r="AT191" s="21">
        <f>100*(AT57-AT56)</f>
        <v/>
      </c>
      <c r="AU191" s="21">
        <f>100*(AU57-AU56)</f>
        <v/>
      </c>
      <c r="AV191" s="21">
        <f>100*(AV57-AV56)</f>
        <v/>
      </c>
      <c r="AW191" s="21">
        <f>100*(AW57-AW56)</f>
        <v/>
      </c>
      <c r="AX191" s="21">
        <f>100*(AX57-AX56)</f>
        <v/>
      </c>
      <c r="AY191" s="21">
        <f>100*(AY57-AY56)</f>
        <v/>
      </c>
      <c r="AZ191" s="21">
        <f>100*(AZ57-AZ56)</f>
        <v/>
      </c>
      <c r="BA191" s="21">
        <f>100*(BA57-BA56)</f>
        <v/>
      </c>
      <c r="BB191" s="21">
        <f>100*(BB57-BB56)</f>
        <v/>
      </c>
      <c r="BC191" s="21">
        <f>100*(BC57-BC56)</f>
        <v/>
      </c>
      <c r="BD191" s="21">
        <f>100*(BD57-BD56)</f>
        <v/>
      </c>
      <c r="BE191" s="21">
        <f>100*(BE57-BE56)</f>
        <v/>
      </c>
      <c r="BF191" s="21">
        <f>100*(BF57-BF56)</f>
        <v/>
      </c>
      <c r="BG191" s="21">
        <f>100*(BG57-BG56)</f>
        <v/>
      </c>
      <c r="BH191" s="21">
        <f>AVERAGE(C191:BG191)</f>
        <v/>
      </c>
    </row>
    <row r="192">
      <c r="A192" s="19">
        <f>A58</f>
        <v/>
      </c>
      <c r="B192" s="20">
        <f>B58</f>
        <v/>
      </c>
      <c r="C192" s="21">
        <f>100*(C58-C57)</f>
        <v/>
      </c>
      <c r="D192" s="21">
        <f>100*(D58-D57)</f>
        <v/>
      </c>
      <c r="E192" s="21">
        <f>100*(E58-E57)</f>
        <v/>
      </c>
      <c r="F192" s="21">
        <f>100*(F58-F57)</f>
        <v/>
      </c>
      <c r="G192" s="21">
        <f>100*(G58-G57)</f>
        <v/>
      </c>
      <c r="H192" s="21">
        <f>100*(H58-H57)</f>
        <v/>
      </c>
      <c r="I192" s="21">
        <f>100*(I58-I57)</f>
        <v/>
      </c>
      <c r="J192" s="21">
        <f>100*(J58-J57)</f>
        <v/>
      </c>
      <c r="K192" s="21">
        <f>100*(K58-K57)</f>
        <v/>
      </c>
      <c r="L192" s="21">
        <f>100*(L58-L57)</f>
        <v/>
      </c>
      <c r="M192" s="21">
        <f>100*(M58-M57)</f>
        <v/>
      </c>
      <c r="N192" s="21">
        <f>100*(N58-N57)</f>
        <v/>
      </c>
      <c r="O192" s="21">
        <f>100*(O58-O57)</f>
        <v/>
      </c>
      <c r="P192" s="21">
        <f>100*(P58-P57)</f>
        <v/>
      </c>
      <c r="Q192" s="21">
        <f>100*(Q58-Q57)</f>
        <v/>
      </c>
      <c r="R192" s="21">
        <f>100*(R58-R57)</f>
        <v/>
      </c>
      <c r="S192" s="21">
        <f>100*(S58-S57)</f>
        <v/>
      </c>
      <c r="T192" s="21">
        <f>100*(T58-T57)</f>
        <v/>
      </c>
      <c r="U192" s="21">
        <f>100*(U58-U57)</f>
        <v/>
      </c>
      <c r="V192" s="21">
        <f>100*(V58-V57)</f>
        <v/>
      </c>
      <c r="W192" s="21">
        <f>100*(W58-W57)</f>
        <v/>
      </c>
      <c r="X192" s="21">
        <f>100*(X58-X57)</f>
        <v/>
      </c>
      <c r="Y192" s="21">
        <f>100*(Y58-Y57)</f>
        <v/>
      </c>
      <c r="Z192" s="21">
        <f>100*(Z58-Z57)</f>
        <v/>
      </c>
      <c r="AA192" s="21">
        <f>100*(AA58-AA57)</f>
        <v/>
      </c>
      <c r="AB192" s="21">
        <f>100*(AB58-AB57)</f>
        <v/>
      </c>
      <c r="AC192" s="21">
        <f>100*(AC58-AC57)</f>
        <v/>
      </c>
      <c r="AD192" s="21">
        <f>100*(AD58-AD57)</f>
        <v/>
      </c>
      <c r="AE192" s="21">
        <f>100*(AE58-AE57)</f>
        <v/>
      </c>
      <c r="AF192" s="21">
        <f>100*(AF58-AF57)</f>
        <v/>
      </c>
      <c r="AG192" s="21">
        <f>100*(AG58-AG57)</f>
        <v/>
      </c>
      <c r="AH192" s="21">
        <f>100*(AH58-AH57)</f>
        <v/>
      </c>
      <c r="AI192" s="21">
        <f>100*(AI58-AI57)</f>
        <v/>
      </c>
      <c r="AJ192" s="21">
        <f>100*(AJ58-AJ57)</f>
        <v/>
      </c>
      <c r="AK192" s="21">
        <f>100*(AK58-AK57)</f>
        <v/>
      </c>
      <c r="AL192" s="21">
        <f>100*(AL58-AL57)</f>
        <v/>
      </c>
      <c r="AM192" s="21">
        <f>100*(AM58-AM57)</f>
        <v/>
      </c>
      <c r="AN192" s="21">
        <f>100*(AN58-AN57)</f>
        <v/>
      </c>
      <c r="AO192" s="21">
        <f>100*(AO58-AO57)</f>
        <v/>
      </c>
      <c r="AP192" s="21">
        <f>100*(AP58-AP57)</f>
        <v/>
      </c>
      <c r="AQ192" s="21">
        <f>100*(AQ58-AQ57)</f>
        <v/>
      </c>
      <c r="AR192" s="21">
        <f>100*(AR58-AR57)</f>
        <v/>
      </c>
      <c r="AS192" s="21">
        <f>100*(AS58-AS57)</f>
        <v/>
      </c>
      <c r="AT192" s="21">
        <f>100*(AT58-AT57)</f>
        <v/>
      </c>
      <c r="AU192" s="21">
        <f>100*(AU58-AU57)</f>
        <v/>
      </c>
      <c r="AV192" s="21">
        <f>100*(AV58-AV57)</f>
        <v/>
      </c>
      <c r="AW192" s="21">
        <f>100*(AW58-AW57)</f>
        <v/>
      </c>
      <c r="AX192" s="21">
        <f>100*(AX58-AX57)</f>
        <v/>
      </c>
      <c r="AY192" s="21">
        <f>100*(AY58-AY57)</f>
        <v/>
      </c>
      <c r="AZ192" s="21">
        <f>100*(AZ58-AZ57)</f>
        <v/>
      </c>
      <c r="BA192" s="21">
        <f>100*(BA58-BA57)</f>
        <v/>
      </c>
      <c r="BB192" s="21">
        <f>100*(BB58-BB57)</f>
        <v/>
      </c>
      <c r="BC192" s="21">
        <f>100*(BC58-BC57)</f>
        <v/>
      </c>
      <c r="BD192" s="21">
        <f>100*(BD58-BD57)</f>
        <v/>
      </c>
      <c r="BE192" s="21">
        <f>100*(BE58-BE57)</f>
        <v/>
      </c>
      <c r="BF192" s="21">
        <f>100*(BF58-BF57)</f>
        <v/>
      </c>
      <c r="BG192" s="21">
        <f>100*(BG58-BG57)</f>
        <v/>
      </c>
      <c r="BH192" s="21">
        <f>AVERAGE(C192:BG192)</f>
        <v/>
      </c>
    </row>
    <row r="193">
      <c r="A193" s="19">
        <f>A59</f>
        <v/>
      </c>
      <c r="B193" s="20">
        <f>B59</f>
        <v/>
      </c>
      <c r="C193" s="21">
        <f>100*(C59-C58)</f>
        <v/>
      </c>
      <c r="D193" s="21">
        <f>100*(D59-D58)</f>
        <v/>
      </c>
      <c r="E193" s="21">
        <f>100*(E59-E58)</f>
        <v/>
      </c>
      <c r="F193" s="21">
        <f>100*(F59-F58)</f>
        <v/>
      </c>
      <c r="G193" s="21">
        <f>100*(G59-G58)</f>
        <v/>
      </c>
      <c r="H193" s="21">
        <f>100*(H59-H58)</f>
        <v/>
      </c>
      <c r="I193" s="21">
        <f>100*(I59-I58)</f>
        <v/>
      </c>
      <c r="J193" s="21">
        <f>100*(J59-J58)</f>
        <v/>
      </c>
      <c r="K193" s="21">
        <f>100*(K59-K58)</f>
        <v/>
      </c>
      <c r="L193" s="21">
        <f>100*(L59-L58)</f>
        <v/>
      </c>
      <c r="M193" s="21">
        <f>100*(M59-M58)</f>
        <v/>
      </c>
      <c r="N193" s="21">
        <f>100*(N59-N58)</f>
        <v/>
      </c>
      <c r="O193" s="21">
        <f>100*(O59-O58)</f>
        <v/>
      </c>
      <c r="P193" s="21">
        <f>100*(P59-P58)</f>
        <v/>
      </c>
      <c r="Q193" s="21">
        <f>100*(Q59-Q58)</f>
        <v/>
      </c>
      <c r="R193" s="21">
        <f>100*(R59-R58)</f>
        <v/>
      </c>
      <c r="S193" s="21">
        <f>100*(S59-S58)</f>
        <v/>
      </c>
      <c r="T193" s="21">
        <f>100*(T59-T58)</f>
        <v/>
      </c>
      <c r="U193" s="21">
        <f>100*(U59-U58)</f>
        <v/>
      </c>
      <c r="V193" s="21">
        <f>100*(V59-V58)</f>
        <v/>
      </c>
      <c r="W193" s="21">
        <f>100*(W59-W58)</f>
        <v/>
      </c>
      <c r="X193" s="21">
        <f>100*(X59-X58)</f>
        <v/>
      </c>
      <c r="Y193" s="21">
        <f>100*(Y59-Y58)</f>
        <v/>
      </c>
      <c r="Z193" s="21">
        <f>100*(Z59-Z58)</f>
        <v/>
      </c>
      <c r="AA193" s="21">
        <f>100*(AA59-AA58)</f>
        <v/>
      </c>
      <c r="AB193" s="21">
        <f>100*(AB59-AB58)</f>
        <v/>
      </c>
      <c r="AC193" s="21">
        <f>100*(AC59-AC58)</f>
        <v/>
      </c>
      <c r="AD193" s="21">
        <f>100*(AD59-AD58)</f>
        <v/>
      </c>
      <c r="AE193" s="21">
        <f>100*(AE59-AE58)</f>
        <v/>
      </c>
      <c r="AF193" s="21">
        <f>100*(AF59-AF58)</f>
        <v/>
      </c>
      <c r="AG193" s="21">
        <f>100*(AG59-AG58)</f>
        <v/>
      </c>
      <c r="AH193" s="21">
        <f>100*(AH59-AH58)</f>
        <v/>
      </c>
      <c r="AI193" s="21">
        <f>100*(AI59-AI58)</f>
        <v/>
      </c>
      <c r="AJ193" s="21">
        <f>100*(AJ59-AJ58)</f>
        <v/>
      </c>
      <c r="AK193" s="21">
        <f>100*(AK59-AK58)</f>
        <v/>
      </c>
      <c r="AL193" s="21">
        <f>100*(AL59-AL58)</f>
        <v/>
      </c>
      <c r="AM193" s="21">
        <f>100*(AM59-AM58)</f>
        <v/>
      </c>
      <c r="AN193" s="21">
        <f>100*(AN59-AN58)</f>
        <v/>
      </c>
      <c r="AO193" s="21">
        <f>100*(AO59-AO58)</f>
        <v/>
      </c>
      <c r="AP193" s="21">
        <f>100*(AP59-AP58)</f>
        <v/>
      </c>
      <c r="AQ193" s="21">
        <f>100*(AQ59-AQ58)</f>
        <v/>
      </c>
      <c r="AR193" s="21">
        <f>100*(AR59-AR58)</f>
        <v/>
      </c>
      <c r="AS193" s="21">
        <f>100*(AS59-AS58)</f>
        <v/>
      </c>
      <c r="AT193" s="21">
        <f>100*(AT59-AT58)</f>
        <v/>
      </c>
      <c r="AU193" s="21">
        <f>100*(AU59-AU58)</f>
        <v/>
      </c>
      <c r="AV193" s="21">
        <f>100*(AV59-AV58)</f>
        <v/>
      </c>
      <c r="AW193" s="21">
        <f>100*(AW59-AW58)</f>
        <v/>
      </c>
      <c r="AX193" s="21">
        <f>100*(AX59-AX58)</f>
        <v/>
      </c>
      <c r="AY193" s="21">
        <f>100*(AY59-AY58)</f>
        <v/>
      </c>
      <c r="AZ193" s="21">
        <f>100*(AZ59-AZ58)</f>
        <v/>
      </c>
      <c r="BA193" s="21">
        <f>100*(BA59-BA58)</f>
        <v/>
      </c>
      <c r="BB193" s="21">
        <f>100*(BB59-BB58)</f>
        <v/>
      </c>
      <c r="BC193" s="21">
        <f>100*(BC59-BC58)</f>
        <v/>
      </c>
      <c r="BD193" s="21">
        <f>100*(BD59-BD58)</f>
        <v/>
      </c>
      <c r="BE193" s="21">
        <f>100*(BE59-BE58)</f>
        <v/>
      </c>
      <c r="BF193" s="21">
        <f>100*(BF59-BF58)</f>
        <v/>
      </c>
      <c r="BG193" s="21">
        <f>100*(BG59-BG58)</f>
        <v/>
      </c>
      <c r="BH193" s="21">
        <f>AVERAGE(C193:BG193)</f>
        <v/>
      </c>
    </row>
    <row r="194">
      <c r="A194" s="19">
        <f>A60</f>
        <v/>
      </c>
      <c r="B194" s="20">
        <f>B60</f>
        <v/>
      </c>
      <c r="C194" s="21">
        <f>100*(C60-C59)</f>
        <v/>
      </c>
      <c r="D194" s="21">
        <f>100*(D60-D59)</f>
        <v/>
      </c>
      <c r="E194" s="21">
        <f>100*(E60-E59)</f>
        <v/>
      </c>
      <c r="F194" s="21">
        <f>100*(F60-F59)</f>
        <v/>
      </c>
      <c r="G194" s="21">
        <f>100*(G60-G59)</f>
        <v/>
      </c>
      <c r="H194" s="21">
        <f>100*(H60-H59)</f>
        <v/>
      </c>
      <c r="I194" s="21">
        <f>100*(I60-I59)</f>
        <v/>
      </c>
      <c r="J194" s="21">
        <f>100*(J60-J59)</f>
        <v/>
      </c>
      <c r="K194" s="21">
        <f>100*(K60-K59)</f>
        <v/>
      </c>
      <c r="L194" s="21">
        <f>100*(L60-L59)</f>
        <v/>
      </c>
      <c r="M194" s="21">
        <f>100*(M60-M59)</f>
        <v/>
      </c>
      <c r="N194" s="21">
        <f>100*(N60-N59)</f>
        <v/>
      </c>
      <c r="O194" s="21">
        <f>100*(O60-O59)</f>
        <v/>
      </c>
      <c r="P194" s="21">
        <f>100*(P60-P59)</f>
        <v/>
      </c>
      <c r="Q194" s="21">
        <f>100*(Q60-Q59)</f>
        <v/>
      </c>
      <c r="R194" s="21">
        <f>100*(R60-R59)</f>
        <v/>
      </c>
      <c r="S194" s="21">
        <f>100*(S60-S59)</f>
        <v/>
      </c>
      <c r="T194" s="21">
        <f>100*(T60-T59)</f>
        <v/>
      </c>
      <c r="U194" s="21">
        <f>100*(U60-U59)</f>
        <v/>
      </c>
      <c r="V194" s="21">
        <f>100*(V60-V59)</f>
        <v/>
      </c>
      <c r="W194" s="21">
        <f>100*(W60-W59)</f>
        <v/>
      </c>
      <c r="X194" s="21">
        <f>100*(X60-X59)</f>
        <v/>
      </c>
      <c r="Y194" s="21">
        <f>100*(Y60-Y59)</f>
        <v/>
      </c>
      <c r="Z194" s="21">
        <f>100*(Z60-Z59)</f>
        <v/>
      </c>
      <c r="AA194" s="21">
        <f>100*(AA60-AA59)</f>
        <v/>
      </c>
      <c r="AB194" s="21">
        <f>100*(AB60-AB59)</f>
        <v/>
      </c>
      <c r="AC194" s="21">
        <f>100*(AC60-AC59)</f>
        <v/>
      </c>
      <c r="AD194" s="21">
        <f>100*(AD60-AD59)</f>
        <v/>
      </c>
      <c r="AE194" s="21">
        <f>100*(AE60-AE59)</f>
        <v/>
      </c>
      <c r="AF194" s="21">
        <f>100*(AF60-AF59)</f>
        <v/>
      </c>
      <c r="AG194" s="21">
        <f>100*(AG60-AG59)</f>
        <v/>
      </c>
      <c r="AH194" s="21">
        <f>100*(AH60-AH59)</f>
        <v/>
      </c>
      <c r="AI194" s="21">
        <f>100*(AI60-AI59)</f>
        <v/>
      </c>
      <c r="AJ194" s="21">
        <f>100*(AJ60-AJ59)</f>
        <v/>
      </c>
      <c r="AK194" s="21">
        <f>100*(AK60-AK59)</f>
        <v/>
      </c>
      <c r="AL194" s="21">
        <f>100*(AL60-AL59)</f>
        <v/>
      </c>
      <c r="AM194" s="21">
        <f>100*(AM60-AM59)</f>
        <v/>
      </c>
      <c r="AN194" s="21">
        <f>100*(AN60-AN59)</f>
        <v/>
      </c>
      <c r="AO194" s="21">
        <f>100*(AO60-AO59)</f>
        <v/>
      </c>
      <c r="AP194" s="21">
        <f>100*(AP60-AP59)</f>
        <v/>
      </c>
      <c r="AQ194" s="21">
        <f>100*(AQ60-AQ59)</f>
        <v/>
      </c>
      <c r="AR194" s="21">
        <f>100*(AR60-AR59)</f>
        <v/>
      </c>
      <c r="AS194" s="21">
        <f>100*(AS60-AS59)</f>
        <v/>
      </c>
      <c r="AT194" s="21">
        <f>100*(AT60-AT59)</f>
        <v/>
      </c>
      <c r="AU194" s="21">
        <f>100*(AU60-AU59)</f>
        <v/>
      </c>
      <c r="AV194" s="21">
        <f>100*(AV60-AV59)</f>
        <v/>
      </c>
      <c r="AW194" s="21">
        <f>100*(AW60-AW59)</f>
        <v/>
      </c>
      <c r="AX194" s="21">
        <f>100*(AX60-AX59)</f>
        <v/>
      </c>
      <c r="AY194" s="21">
        <f>100*(AY60-AY59)</f>
        <v/>
      </c>
      <c r="AZ194" s="21">
        <f>100*(AZ60-AZ59)</f>
        <v/>
      </c>
      <c r="BA194" s="21">
        <f>100*(BA60-BA59)</f>
        <v/>
      </c>
      <c r="BB194" s="21">
        <f>100*(BB60-BB59)</f>
        <v/>
      </c>
      <c r="BC194" s="21">
        <f>100*(BC60-BC59)</f>
        <v/>
      </c>
      <c r="BD194" s="21">
        <f>100*(BD60-BD59)</f>
        <v/>
      </c>
      <c r="BE194" s="21">
        <f>100*(BE60-BE59)</f>
        <v/>
      </c>
      <c r="BF194" s="21">
        <f>100*(BF60-BF59)</f>
        <v/>
      </c>
      <c r="BG194" s="21">
        <f>100*(BG60-BG59)</f>
        <v/>
      </c>
      <c r="BH194" s="21">
        <f>AVERAGE(C194:BG194)</f>
        <v/>
      </c>
    </row>
    <row r="195">
      <c r="A195" s="19">
        <f>A61</f>
        <v/>
      </c>
      <c r="B195" s="20">
        <f>B61</f>
        <v/>
      </c>
      <c r="C195" s="21">
        <f>100*(C61-C60)</f>
        <v/>
      </c>
      <c r="D195" s="21">
        <f>100*(D61-D60)</f>
        <v/>
      </c>
      <c r="E195" s="21">
        <f>100*(E61-E60)</f>
        <v/>
      </c>
      <c r="F195" s="21">
        <f>100*(F61-F60)</f>
        <v/>
      </c>
      <c r="G195" s="21">
        <f>100*(G61-G60)</f>
        <v/>
      </c>
      <c r="H195" s="21">
        <f>100*(H61-H60)</f>
        <v/>
      </c>
      <c r="I195" s="21">
        <f>100*(I61-I60)</f>
        <v/>
      </c>
      <c r="J195" s="21">
        <f>100*(J61-J60)</f>
        <v/>
      </c>
      <c r="K195" s="21">
        <f>100*(K61-K60)</f>
        <v/>
      </c>
      <c r="L195" s="21">
        <f>100*(L61-L60)</f>
        <v/>
      </c>
      <c r="M195" s="21">
        <f>100*(M61-M60)</f>
        <v/>
      </c>
      <c r="N195" s="21">
        <f>100*(N61-N60)</f>
        <v/>
      </c>
      <c r="O195" s="21">
        <f>100*(O61-O60)</f>
        <v/>
      </c>
      <c r="P195" s="21">
        <f>100*(P61-P60)</f>
        <v/>
      </c>
      <c r="Q195" s="21">
        <f>100*(Q61-Q60)</f>
        <v/>
      </c>
      <c r="R195" s="21">
        <f>100*(R61-R60)</f>
        <v/>
      </c>
      <c r="S195" s="21">
        <f>100*(S61-S60)</f>
        <v/>
      </c>
      <c r="T195" s="21">
        <f>100*(T61-T60)</f>
        <v/>
      </c>
      <c r="U195" s="21">
        <f>100*(U61-U60)</f>
        <v/>
      </c>
      <c r="V195" s="21">
        <f>100*(V61-V60)</f>
        <v/>
      </c>
      <c r="W195" s="21">
        <f>100*(W61-W60)</f>
        <v/>
      </c>
      <c r="X195" s="21">
        <f>100*(X61-X60)</f>
        <v/>
      </c>
      <c r="Y195" s="21">
        <f>100*(Y61-Y60)</f>
        <v/>
      </c>
      <c r="Z195" s="21">
        <f>100*(Z61-Z60)</f>
        <v/>
      </c>
      <c r="AA195" s="21">
        <f>100*(AA61-AA60)</f>
        <v/>
      </c>
      <c r="AB195" s="21">
        <f>100*(AB61-AB60)</f>
        <v/>
      </c>
      <c r="AC195" s="21">
        <f>100*(AC61-AC60)</f>
        <v/>
      </c>
      <c r="AD195" s="21">
        <f>100*(AD61-AD60)</f>
        <v/>
      </c>
      <c r="AE195" s="21">
        <f>100*(AE61-AE60)</f>
        <v/>
      </c>
      <c r="AF195" s="21">
        <f>100*(AF61-AF60)</f>
        <v/>
      </c>
      <c r="AG195" s="21">
        <f>100*(AG61-AG60)</f>
        <v/>
      </c>
      <c r="AH195" s="21">
        <f>100*(AH61-AH60)</f>
        <v/>
      </c>
      <c r="AI195" s="21">
        <f>100*(AI61-AI60)</f>
        <v/>
      </c>
      <c r="AJ195" s="21">
        <f>100*(AJ61-AJ60)</f>
        <v/>
      </c>
      <c r="AK195" s="21">
        <f>100*(AK61-AK60)</f>
        <v/>
      </c>
      <c r="AL195" s="21">
        <f>100*(AL61-AL60)</f>
        <v/>
      </c>
      <c r="AM195" s="21">
        <f>100*(AM61-AM60)</f>
        <v/>
      </c>
      <c r="AN195" s="21">
        <f>100*(AN61-AN60)</f>
        <v/>
      </c>
      <c r="AO195" s="21">
        <f>100*(AO61-AO60)</f>
        <v/>
      </c>
      <c r="AP195" s="21">
        <f>100*(AP61-AP60)</f>
        <v/>
      </c>
      <c r="AQ195" s="21">
        <f>100*(AQ61-AQ60)</f>
        <v/>
      </c>
      <c r="AR195" s="21">
        <f>100*(AR61-AR60)</f>
        <v/>
      </c>
      <c r="AS195" s="21">
        <f>100*(AS61-AS60)</f>
        <v/>
      </c>
      <c r="AT195" s="21">
        <f>100*(AT61-AT60)</f>
        <v/>
      </c>
      <c r="AU195" s="21">
        <f>100*(AU61-AU60)</f>
        <v/>
      </c>
      <c r="AV195" s="21">
        <f>100*(AV61-AV60)</f>
        <v/>
      </c>
      <c r="AW195" s="21">
        <f>100*(AW61-AW60)</f>
        <v/>
      </c>
      <c r="AX195" s="21">
        <f>100*(AX61-AX60)</f>
        <v/>
      </c>
      <c r="AY195" s="21">
        <f>100*(AY61-AY60)</f>
        <v/>
      </c>
      <c r="AZ195" s="21">
        <f>100*(AZ61-AZ60)</f>
        <v/>
      </c>
      <c r="BA195" s="21">
        <f>100*(BA61-BA60)</f>
        <v/>
      </c>
      <c r="BB195" s="21">
        <f>100*(BB61-BB60)</f>
        <v/>
      </c>
      <c r="BC195" s="21">
        <f>100*(BC61-BC60)</f>
        <v/>
      </c>
      <c r="BD195" s="21">
        <f>100*(BD61-BD60)</f>
        <v/>
      </c>
      <c r="BE195" s="21">
        <f>100*(BE61-BE60)</f>
        <v/>
      </c>
      <c r="BF195" s="21">
        <f>100*(BF61-BF60)</f>
        <v/>
      </c>
      <c r="BG195" s="21">
        <f>100*(BG61-BG60)</f>
        <v/>
      </c>
      <c r="BH195" s="21">
        <f>AVERAGE(C195:BG195)</f>
        <v/>
      </c>
    </row>
    <row r="196">
      <c r="A196" s="19">
        <f>A62</f>
        <v/>
      </c>
      <c r="B196" s="20">
        <f>B62</f>
        <v/>
      </c>
      <c r="C196" s="21">
        <f>100*(C62-C61)</f>
        <v/>
      </c>
      <c r="D196" s="21">
        <f>100*(D62-D61)</f>
        <v/>
      </c>
      <c r="E196" s="21">
        <f>100*(E62-E61)</f>
        <v/>
      </c>
      <c r="F196" s="21">
        <f>100*(F62-F61)</f>
        <v/>
      </c>
      <c r="G196" s="21">
        <f>100*(G62-G61)</f>
        <v/>
      </c>
      <c r="H196" s="21">
        <f>100*(H62-H61)</f>
        <v/>
      </c>
      <c r="I196" s="21">
        <f>100*(I62-I61)</f>
        <v/>
      </c>
      <c r="J196" s="21">
        <f>100*(J62-J61)</f>
        <v/>
      </c>
      <c r="K196" s="21">
        <f>100*(K62-K61)</f>
        <v/>
      </c>
      <c r="L196" s="21">
        <f>100*(L62-L61)</f>
        <v/>
      </c>
      <c r="M196" s="21">
        <f>100*(M62-M61)</f>
        <v/>
      </c>
      <c r="N196" s="21">
        <f>100*(N62-N61)</f>
        <v/>
      </c>
      <c r="O196" s="21">
        <f>100*(O62-O61)</f>
        <v/>
      </c>
      <c r="P196" s="21">
        <f>100*(P62-P61)</f>
        <v/>
      </c>
      <c r="Q196" s="21">
        <f>100*(Q62-Q61)</f>
        <v/>
      </c>
      <c r="R196" s="21">
        <f>100*(R62-R61)</f>
        <v/>
      </c>
      <c r="S196" s="21">
        <f>100*(S62-S61)</f>
        <v/>
      </c>
      <c r="T196" s="21">
        <f>100*(T62-T61)</f>
        <v/>
      </c>
      <c r="U196" s="21">
        <f>100*(U62-U61)</f>
        <v/>
      </c>
      <c r="V196" s="21">
        <f>100*(V62-V61)</f>
        <v/>
      </c>
      <c r="W196" s="21">
        <f>100*(W62-W61)</f>
        <v/>
      </c>
      <c r="X196" s="21">
        <f>100*(X62-X61)</f>
        <v/>
      </c>
      <c r="Y196" s="21">
        <f>100*(Y62-Y61)</f>
        <v/>
      </c>
      <c r="Z196" s="21">
        <f>100*(Z62-Z61)</f>
        <v/>
      </c>
      <c r="AA196" s="21">
        <f>100*(AA62-AA61)</f>
        <v/>
      </c>
      <c r="AB196" s="21">
        <f>100*(AB62-AB61)</f>
        <v/>
      </c>
      <c r="AC196" s="21">
        <f>100*(AC62-AC61)</f>
        <v/>
      </c>
      <c r="AD196" s="21">
        <f>100*(AD62-AD61)</f>
        <v/>
      </c>
      <c r="AE196" s="21">
        <f>100*(AE62-AE61)</f>
        <v/>
      </c>
      <c r="AF196" s="21">
        <f>100*(AF62-AF61)</f>
        <v/>
      </c>
      <c r="AG196" s="21">
        <f>100*(AG62-AG61)</f>
        <v/>
      </c>
      <c r="AH196" s="21">
        <f>100*(AH62-AH61)</f>
        <v/>
      </c>
      <c r="AI196" s="21">
        <f>100*(AI62-AI61)</f>
        <v/>
      </c>
      <c r="AJ196" s="21">
        <f>100*(AJ62-AJ61)</f>
        <v/>
      </c>
      <c r="AK196" s="21">
        <f>100*(AK62-AK61)</f>
        <v/>
      </c>
      <c r="AL196" s="21">
        <f>100*(AL62-AL61)</f>
        <v/>
      </c>
      <c r="AM196" s="21">
        <f>100*(AM62-AM61)</f>
        <v/>
      </c>
      <c r="AN196" s="21">
        <f>100*(AN62-AN61)</f>
        <v/>
      </c>
      <c r="AO196" s="21">
        <f>100*(AO62-AO61)</f>
        <v/>
      </c>
      <c r="AP196" s="21">
        <f>100*(AP62-AP61)</f>
        <v/>
      </c>
      <c r="AQ196" s="21">
        <f>100*(AQ62-AQ61)</f>
        <v/>
      </c>
      <c r="AR196" s="21">
        <f>100*(AR62-AR61)</f>
        <v/>
      </c>
      <c r="AS196" s="21">
        <f>100*(AS62-AS61)</f>
        <v/>
      </c>
      <c r="AT196" s="21">
        <f>100*(AT62-AT61)</f>
        <v/>
      </c>
      <c r="AU196" s="21">
        <f>100*(AU62-AU61)</f>
        <v/>
      </c>
      <c r="AV196" s="21">
        <f>100*(AV62-AV61)</f>
        <v/>
      </c>
      <c r="AW196" s="21">
        <f>100*(AW62-AW61)</f>
        <v/>
      </c>
      <c r="AX196" s="21">
        <f>100*(AX62-AX61)</f>
        <v/>
      </c>
      <c r="AY196" s="21">
        <f>100*(AY62-AY61)</f>
        <v/>
      </c>
      <c r="AZ196" s="21">
        <f>100*(AZ62-AZ61)</f>
        <v/>
      </c>
      <c r="BA196" s="21">
        <f>100*(BA62-BA61)</f>
        <v/>
      </c>
      <c r="BB196" s="21">
        <f>100*(BB62-BB61)</f>
        <v/>
      </c>
      <c r="BC196" s="21">
        <f>100*(BC62-BC61)</f>
        <v/>
      </c>
      <c r="BD196" s="21">
        <f>100*(BD62-BD61)</f>
        <v/>
      </c>
      <c r="BE196" s="21">
        <f>100*(BE62-BE61)</f>
        <v/>
      </c>
      <c r="BF196" s="21">
        <f>100*(BF62-BF61)</f>
        <v/>
      </c>
      <c r="BG196" s="21">
        <f>100*(BG62-BG61)</f>
        <v/>
      </c>
      <c r="BH196" s="21">
        <f>AVERAGE(C196:BG196)</f>
        <v/>
      </c>
    </row>
    <row r="197">
      <c r="A197" s="19">
        <f>A63</f>
        <v/>
      </c>
      <c r="B197" s="20">
        <f>B63</f>
        <v/>
      </c>
      <c r="C197" s="21">
        <f>100*(C63-C62)</f>
        <v/>
      </c>
      <c r="D197" s="21">
        <f>100*(D63-D62)</f>
        <v/>
      </c>
      <c r="E197" s="21">
        <f>100*(E63-E62)</f>
        <v/>
      </c>
      <c r="F197" s="21">
        <f>100*(F63-F62)</f>
        <v/>
      </c>
      <c r="G197" s="21">
        <f>100*(G63-G62)</f>
        <v/>
      </c>
      <c r="H197" s="21">
        <f>100*(H63-H62)</f>
        <v/>
      </c>
      <c r="I197" s="21">
        <f>100*(I63-I62)</f>
        <v/>
      </c>
      <c r="J197" s="21">
        <f>100*(J63-J62)</f>
        <v/>
      </c>
      <c r="K197" s="21">
        <f>100*(K63-K62)</f>
        <v/>
      </c>
      <c r="L197" s="21">
        <f>100*(L63-L62)</f>
        <v/>
      </c>
      <c r="M197" s="21">
        <f>100*(M63-M62)</f>
        <v/>
      </c>
      <c r="N197" s="21">
        <f>100*(N63-N62)</f>
        <v/>
      </c>
      <c r="O197" s="21">
        <f>100*(O63-O62)</f>
        <v/>
      </c>
      <c r="P197" s="21">
        <f>100*(P63-P62)</f>
        <v/>
      </c>
      <c r="Q197" s="21">
        <f>100*(Q63-Q62)</f>
        <v/>
      </c>
      <c r="R197" s="21">
        <f>100*(R63-R62)</f>
        <v/>
      </c>
      <c r="S197" s="21">
        <f>100*(S63-S62)</f>
        <v/>
      </c>
      <c r="T197" s="21">
        <f>100*(T63-T62)</f>
        <v/>
      </c>
      <c r="U197" s="21">
        <f>100*(U63-U62)</f>
        <v/>
      </c>
      <c r="V197" s="21">
        <f>100*(V63-V62)</f>
        <v/>
      </c>
      <c r="W197" s="21">
        <f>100*(W63-W62)</f>
        <v/>
      </c>
      <c r="X197" s="21">
        <f>100*(X63-X62)</f>
        <v/>
      </c>
      <c r="Y197" s="21">
        <f>100*(Y63-Y62)</f>
        <v/>
      </c>
      <c r="Z197" s="21">
        <f>100*(Z63-Z62)</f>
        <v/>
      </c>
      <c r="AA197" s="21">
        <f>100*(AA63-AA62)</f>
        <v/>
      </c>
      <c r="AB197" s="21">
        <f>100*(AB63-AB62)</f>
        <v/>
      </c>
      <c r="AC197" s="21">
        <f>100*(AC63-AC62)</f>
        <v/>
      </c>
      <c r="AD197" s="21">
        <f>100*(AD63-AD62)</f>
        <v/>
      </c>
      <c r="AE197" s="21">
        <f>100*(AE63-AE62)</f>
        <v/>
      </c>
      <c r="AF197" s="21">
        <f>100*(AF63-AF62)</f>
        <v/>
      </c>
      <c r="AG197" s="21">
        <f>100*(AG63-AG62)</f>
        <v/>
      </c>
      <c r="AH197" s="21">
        <f>100*(AH63-AH62)</f>
        <v/>
      </c>
      <c r="AI197" s="21">
        <f>100*(AI63-AI62)</f>
        <v/>
      </c>
      <c r="AJ197" s="21">
        <f>100*(AJ63-AJ62)</f>
        <v/>
      </c>
      <c r="AK197" s="21">
        <f>100*(AK63-AK62)</f>
        <v/>
      </c>
      <c r="AL197" s="21">
        <f>100*(AL63-AL62)</f>
        <v/>
      </c>
      <c r="AM197" s="21">
        <f>100*(AM63-AM62)</f>
        <v/>
      </c>
      <c r="AN197" s="21">
        <f>100*(AN63-AN62)</f>
        <v/>
      </c>
      <c r="AO197" s="21">
        <f>100*(AO63-AO62)</f>
        <v/>
      </c>
      <c r="AP197" s="21">
        <f>100*(AP63-AP62)</f>
        <v/>
      </c>
      <c r="AQ197" s="21">
        <f>100*(AQ63-AQ62)</f>
        <v/>
      </c>
      <c r="AR197" s="21">
        <f>100*(AR63-AR62)</f>
        <v/>
      </c>
      <c r="AS197" s="21">
        <f>100*(AS63-AS62)</f>
        <v/>
      </c>
      <c r="AT197" s="21">
        <f>100*(AT63-AT62)</f>
        <v/>
      </c>
      <c r="AU197" s="21">
        <f>100*(AU63-AU62)</f>
        <v/>
      </c>
      <c r="AV197" s="21">
        <f>100*(AV63-AV62)</f>
        <v/>
      </c>
      <c r="AW197" s="21">
        <f>100*(AW63-AW62)</f>
        <v/>
      </c>
      <c r="AX197" s="21">
        <f>100*(AX63-AX62)</f>
        <v/>
      </c>
      <c r="AY197" s="21">
        <f>100*(AY63-AY62)</f>
        <v/>
      </c>
      <c r="AZ197" s="21">
        <f>100*(AZ63-AZ62)</f>
        <v/>
      </c>
      <c r="BA197" s="21">
        <f>100*(BA63-BA62)</f>
        <v/>
      </c>
      <c r="BB197" s="21">
        <f>100*(BB63-BB62)</f>
        <v/>
      </c>
      <c r="BC197" s="21">
        <f>100*(BC63-BC62)</f>
        <v/>
      </c>
      <c r="BD197" s="21">
        <f>100*(BD63-BD62)</f>
        <v/>
      </c>
      <c r="BE197" s="21">
        <f>100*(BE63-BE62)</f>
        <v/>
      </c>
      <c r="BF197" s="21">
        <f>100*(BF63-BF62)</f>
        <v/>
      </c>
      <c r="BG197" s="21">
        <f>100*(BG63-BG62)</f>
        <v/>
      </c>
      <c r="BH197" s="21">
        <f>AVERAGE(C197:BG197)</f>
        <v/>
      </c>
    </row>
    <row r="198">
      <c r="A198" s="19">
        <f>A64</f>
        <v/>
      </c>
      <c r="B198" s="20">
        <f>B64</f>
        <v/>
      </c>
      <c r="C198" s="21">
        <f>100*(C64-C63)</f>
        <v/>
      </c>
      <c r="D198" s="21">
        <f>100*(D64-D63)</f>
        <v/>
      </c>
      <c r="E198" s="21">
        <f>100*(E64-E63)</f>
        <v/>
      </c>
      <c r="F198" s="21">
        <f>100*(F64-F63)</f>
        <v/>
      </c>
      <c r="G198" s="21">
        <f>100*(G64-G63)</f>
        <v/>
      </c>
      <c r="H198" s="21">
        <f>100*(H64-H63)</f>
        <v/>
      </c>
      <c r="I198" s="21">
        <f>100*(I64-I63)</f>
        <v/>
      </c>
      <c r="J198" s="21">
        <f>100*(J64-J63)</f>
        <v/>
      </c>
      <c r="K198" s="21">
        <f>100*(K64-K63)</f>
        <v/>
      </c>
      <c r="L198" s="21">
        <f>100*(L64-L63)</f>
        <v/>
      </c>
      <c r="M198" s="21">
        <f>100*(M64-M63)</f>
        <v/>
      </c>
      <c r="N198" s="21">
        <f>100*(N64-N63)</f>
        <v/>
      </c>
      <c r="O198" s="21">
        <f>100*(O64-O63)</f>
        <v/>
      </c>
      <c r="P198" s="21">
        <f>100*(P64-P63)</f>
        <v/>
      </c>
      <c r="Q198" s="21">
        <f>100*(Q64-Q63)</f>
        <v/>
      </c>
      <c r="R198" s="21">
        <f>100*(R64-R63)</f>
        <v/>
      </c>
      <c r="S198" s="21">
        <f>100*(S64-S63)</f>
        <v/>
      </c>
      <c r="T198" s="21">
        <f>100*(T64-T63)</f>
        <v/>
      </c>
      <c r="U198" s="21">
        <f>100*(U64-U63)</f>
        <v/>
      </c>
      <c r="V198" s="21">
        <f>100*(V64-V63)</f>
        <v/>
      </c>
      <c r="W198" s="21">
        <f>100*(W64-W63)</f>
        <v/>
      </c>
      <c r="X198" s="21">
        <f>100*(X64-X63)</f>
        <v/>
      </c>
      <c r="Y198" s="21">
        <f>100*(Y64-Y63)</f>
        <v/>
      </c>
      <c r="Z198" s="21">
        <f>100*(Z64-Z63)</f>
        <v/>
      </c>
      <c r="AA198" s="21">
        <f>100*(AA64-AA63)</f>
        <v/>
      </c>
      <c r="AB198" s="21">
        <f>100*(AB64-AB63)</f>
        <v/>
      </c>
      <c r="AC198" s="21">
        <f>100*(AC64-AC63)</f>
        <v/>
      </c>
      <c r="AD198" s="21">
        <f>100*(AD64-AD63)</f>
        <v/>
      </c>
      <c r="AE198" s="21">
        <f>100*(AE64-AE63)</f>
        <v/>
      </c>
      <c r="AF198" s="21">
        <f>100*(AF64-AF63)</f>
        <v/>
      </c>
      <c r="AG198" s="21">
        <f>100*(AG64-AG63)</f>
        <v/>
      </c>
      <c r="AH198" s="21">
        <f>100*(AH64-AH63)</f>
        <v/>
      </c>
      <c r="AI198" s="21">
        <f>100*(AI64-AI63)</f>
        <v/>
      </c>
      <c r="AJ198" s="21">
        <f>100*(AJ64-AJ63)</f>
        <v/>
      </c>
      <c r="AK198" s="21">
        <f>100*(AK64-AK63)</f>
        <v/>
      </c>
      <c r="AL198" s="21">
        <f>100*(AL64-AL63)</f>
        <v/>
      </c>
      <c r="AM198" s="21">
        <f>100*(AM64-AM63)</f>
        <v/>
      </c>
      <c r="AN198" s="21">
        <f>100*(AN64-AN63)</f>
        <v/>
      </c>
      <c r="AO198" s="21">
        <f>100*(AO64-AO63)</f>
        <v/>
      </c>
      <c r="AP198" s="21">
        <f>100*(AP64-AP63)</f>
        <v/>
      </c>
      <c r="AQ198" s="21">
        <f>100*(AQ64-AQ63)</f>
        <v/>
      </c>
      <c r="AR198" s="21">
        <f>100*(AR64-AR63)</f>
        <v/>
      </c>
      <c r="AS198" s="21">
        <f>100*(AS64-AS63)</f>
        <v/>
      </c>
      <c r="AT198" s="21">
        <f>100*(AT64-AT63)</f>
        <v/>
      </c>
      <c r="AU198" s="21">
        <f>100*(AU64-AU63)</f>
        <v/>
      </c>
      <c r="AV198" s="21">
        <f>100*(AV64-AV63)</f>
        <v/>
      </c>
      <c r="AW198" s="21">
        <f>100*(AW64-AW63)</f>
        <v/>
      </c>
      <c r="AX198" s="21">
        <f>100*(AX64-AX63)</f>
        <v/>
      </c>
      <c r="AY198" s="21">
        <f>100*(AY64-AY63)</f>
        <v/>
      </c>
      <c r="AZ198" s="21">
        <f>100*(AZ64-AZ63)</f>
        <v/>
      </c>
      <c r="BA198" s="21">
        <f>100*(BA64-BA63)</f>
        <v/>
      </c>
      <c r="BB198" s="21">
        <f>100*(BB64-BB63)</f>
        <v/>
      </c>
      <c r="BC198" s="21">
        <f>100*(BC64-BC63)</f>
        <v/>
      </c>
      <c r="BD198" s="21">
        <f>100*(BD64-BD63)</f>
        <v/>
      </c>
      <c r="BE198" s="21">
        <f>100*(BE64-BE63)</f>
        <v/>
      </c>
      <c r="BF198" s="21">
        <f>100*(BF64-BF63)</f>
        <v/>
      </c>
      <c r="BG198" s="21">
        <f>100*(BG64-BG63)</f>
        <v/>
      </c>
      <c r="BH198" s="21">
        <f>AVERAGE(C198:BG198)</f>
        <v/>
      </c>
    </row>
    <row r="199">
      <c r="A199" s="19">
        <f>A65</f>
        <v/>
      </c>
      <c r="B199" s="20">
        <f>B65</f>
        <v/>
      </c>
      <c r="C199" s="21">
        <f>100*(C65-C64)</f>
        <v/>
      </c>
      <c r="D199" s="21">
        <f>100*(D65-D64)</f>
        <v/>
      </c>
      <c r="E199" s="21">
        <f>100*(E65-E64)</f>
        <v/>
      </c>
      <c r="F199" s="21">
        <f>100*(F65-F64)</f>
        <v/>
      </c>
      <c r="G199" s="21">
        <f>100*(G65-G64)</f>
        <v/>
      </c>
      <c r="H199" s="21">
        <f>100*(H65-H64)</f>
        <v/>
      </c>
      <c r="I199" s="21">
        <f>100*(I65-I64)</f>
        <v/>
      </c>
      <c r="J199" s="21">
        <f>100*(J65-J64)</f>
        <v/>
      </c>
      <c r="K199" s="21">
        <f>100*(K65-K64)</f>
        <v/>
      </c>
      <c r="L199" s="21">
        <f>100*(L65-L64)</f>
        <v/>
      </c>
      <c r="M199" s="21">
        <f>100*(M65-M64)</f>
        <v/>
      </c>
      <c r="N199" s="21">
        <f>100*(N65-N64)</f>
        <v/>
      </c>
      <c r="O199" s="21">
        <f>100*(O65-O64)</f>
        <v/>
      </c>
      <c r="P199" s="21">
        <f>100*(P65-P64)</f>
        <v/>
      </c>
      <c r="Q199" s="21">
        <f>100*(Q65-Q64)</f>
        <v/>
      </c>
      <c r="R199" s="21">
        <f>100*(R65-R64)</f>
        <v/>
      </c>
      <c r="S199" s="21">
        <f>100*(S65-S64)</f>
        <v/>
      </c>
      <c r="T199" s="21">
        <f>100*(T65-T64)</f>
        <v/>
      </c>
      <c r="U199" s="21">
        <f>100*(U65-U64)</f>
        <v/>
      </c>
      <c r="V199" s="21">
        <f>100*(V65-V64)</f>
        <v/>
      </c>
      <c r="W199" s="21">
        <f>100*(W65-W64)</f>
        <v/>
      </c>
      <c r="X199" s="21">
        <f>100*(X65-X64)</f>
        <v/>
      </c>
      <c r="Y199" s="21">
        <f>100*(Y65-Y64)</f>
        <v/>
      </c>
      <c r="Z199" s="21">
        <f>100*(Z65-Z64)</f>
        <v/>
      </c>
      <c r="AA199" s="21">
        <f>100*(AA65-AA64)</f>
        <v/>
      </c>
      <c r="AB199" s="21">
        <f>100*(AB65-AB64)</f>
        <v/>
      </c>
      <c r="AC199" s="21">
        <f>100*(AC65-AC64)</f>
        <v/>
      </c>
      <c r="AD199" s="21">
        <f>100*(AD65-AD64)</f>
        <v/>
      </c>
      <c r="AE199" s="21">
        <f>100*(AE65-AE64)</f>
        <v/>
      </c>
      <c r="AF199" s="21">
        <f>100*(AF65-AF64)</f>
        <v/>
      </c>
      <c r="AG199" s="21">
        <f>100*(AG65-AG64)</f>
        <v/>
      </c>
      <c r="AH199" s="21">
        <f>100*(AH65-AH64)</f>
        <v/>
      </c>
      <c r="AI199" s="21">
        <f>100*(AI65-AI64)</f>
        <v/>
      </c>
      <c r="AJ199" s="21">
        <f>100*(AJ65-AJ64)</f>
        <v/>
      </c>
      <c r="AK199" s="21">
        <f>100*(AK65-AK64)</f>
        <v/>
      </c>
      <c r="AL199" s="21">
        <f>100*(AL65-AL64)</f>
        <v/>
      </c>
      <c r="AM199" s="21">
        <f>100*(AM65-AM64)</f>
        <v/>
      </c>
      <c r="AN199" s="21">
        <f>100*(AN65-AN64)</f>
        <v/>
      </c>
      <c r="AO199" s="21">
        <f>100*(AO65-AO64)</f>
        <v/>
      </c>
      <c r="AP199" s="21">
        <f>100*(AP65-AP64)</f>
        <v/>
      </c>
      <c r="AQ199" s="21">
        <f>100*(AQ65-AQ64)</f>
        <v/>
      </c>
      <c r="AR199" s="21">
        <f>100*(AR65-AR64)</f>
        <v/>
      </c>
      <c r="AS199" s="21">
        <f>100*(AS65-AS64)</f>
        <v/>
      </c>
      <c r="AT199" s="21">
        <f>100*(AT65-AT64)</f>
        <v/>
      </c>
      <c r="AU199" s="21">
        <f>100*(AU65-AU64)</f>
        <v/>
      </c>
      <c r="AV199" s="21">
        <f>100*(AV65-AV64)</f>
        <v/>
      </c>
      <c r="AW199" s="21">
        <f>100*(AW65-AW64)</f>
        <v/>
      </c>
      <c r="AX199" s="21">
        <f>100*(AX65-AX64)</f>
        <v/>
      </c>
      <c r="AY199" s="21">
        <f>100*(AY65-AY64)</f>
        <v/>
      </c>
      <c r="AZ199" s="21">
        <f>100*(AZ65-AZ64)</f>
        <v/>
      </c>
      <c r="BA199" s="21">
        <f>100*(BA65-BA64)</f>
        <v/>
      </c>
      <c r="BB199" s="21">
        <f>100*(BB65-BB64)</f>
        <v/>
      </c>
      <c r="BC199" s="21">
        <f>100*(BC65-BC64)</f>
        <v/>
      </c>
      <c r="BD199" s="21">
        <f>100*(BD65-BD64)</f>
        <v/>
      </c>
      <c r="BE199" s="21">
        <f>100*(BE65-BE64)</f>
        <v/>
      </c>
      <c r="BF199" s="21">
        <f>100*(BF65-BF64)</f>
        <v/>
      </c>
      <c r="BG199" s="21">
        <f>100*(BG65-BG64)</f>
        <v/>
      </c>
      <c r="BH199" s="21">
        <f>AVERAGE(C199:BG199)</f>
        <v/>
      </c>
    </row>
    <row r="200">
      <c r="A200" s="19">
        <f>A66</f>
        <v/>
      </c>
      <c r="B200" s="20">
        <f>B66</f>
        <v/>
      </c>
      <c r="C200" s="21">
        <f>100*(C66-C65)</f>
        <v/>
      </c>
      <c r="D200" s="21">
        <f>100*(D66-D65)</f>
        <v/>
      </c>
      <c r="E200" s="21">
        <f>100*(E66-E65)</f>
        <v/>
      </c>
      <c r="F200" s="21">
        <f>100*(F66-F65)</f>
        <v/>
      </c>
      <c r="G200" s="21">
        <f>100*(G66-G65)</f>
        <v/>
      </c>
      <c r="H200" s="21">
        <f>100*(H66-H65)</f>
        <v/>
      </c>
      <c r="I200" s="21">
        <f>100*(I66-I65)</f>
        <v/>
      </c>
      <c r="J200" s="21">
        <f>100*(J66-J65)</f>
        <v/>
      </c>
      <c r="K200" s="21">
        <f>100*(K66-K65)</f>
        <v/>
      </c>
      <c r="L200" s="21">
        <f>100*(L66-L65)</f>
        <v/>
      </c>
      <c r="M200" s="21">
        <f>100*(M66-M65)</f>
        <v/>
      </c>
      <c r="N200" s="21">
        <f>100*(N66-N65)</f>
        <v/>
      </c>
      <c r="O200" s="21">
        <f>100*(O66-O65)</f>
        <v/>
      </c>
      <c r="P200" s="21">
        <f>100*(P66-P65)</f>
        <v/>
      </c>
      <c r="Q200" s="21">
        <f>100*(Q66-Q65)</f>
        <v/>
      </c>
      <c r="R200" s="21">
        <f>100*(R66-R65)</f>
        <v/>
      </c>
      <c r="S200" s="21">
        <f>100*(S66-S65)</f>
        <v/>
      </c>
      <c r="T200" s="21">
        <f>100*(T66-T65)</f>
        <v/>
      </c>
      <c r="U200" s="21">
        <f>100*(U66-U65)</f>
        <v/>
      </c>
      <c r="V200" s="21">
        <f>100*(V66-V65)</f>
        <v/>
      </c>
      <c r="W200" s="21">
        <f>100*(W66-W65)</f>
        <v/>
      </c>
      <c r="X200" s="21">
        <f>100*(X66-X65)</f>
        <v/>
      </c>
      <c r="Y200" s="21">
        <f>100*(Y66-Y65)</f>
        <v/>
      </c>
      <c r="Z200" s="21">
        <f>100*(Z66-Z65)</f>
        <v/>
      </c>
      <c r="AA200" s="21">
        <f>100*(AA66-AA65)</f>
        <v/>
      </c>
      <c r="AB200" s="21">
        <f>100*(AB66-AB65)</f>
        <v/>
      </c>
      <c r="AC200" s="21">
        <f>100*(AC66-AC65)</f>
        <v/>
      </c>
      <c r="AD200" s="21">
        <f>100*(AD66-AD65)</f>
        <v/>
      </c>
      <c r="AE200" s="21">
        <f>100*(AE66-AE65)</f>
        <v/>
      </c>
      <c r="AF200" s="21">
        <f>100*(AF66-AF65)</f>
        <v/>
      </c>
      <c r="AG200" s="21">
        <f>100*(AG66-AG65)</f>
        <v/>
      </c>
      <c r="AH200" s="21">
        <f>100*(AH66-AH65)</f>
        <v/>
      </c>
      <c r="AI200" s="21">
        <f>100*(AI66-AI65)</f>
        <v/>
      </c>
      <c r="AJ200" s="21">
        <f>100*(AJ66-AJ65)</f>
        <v/>
      </c>
      <c r="AK200" s="21">
        <f>100*(AK66-AK65)</f>
        <v/>
      </c>
      <c r="AL200" s="21">
        <f>100*(AL66-AL65)</f>
        <v/>
      </c>
      <c r="AM200" s="21">
        <f>100*(AM66-AM65)</f>
        <v/>
      </c>
      <c r="AN200" s="21">
        <f>100*(AN66-AN65)</f>
        <v/>
      </c>
      <c r="AO200" s="21">
        <f>100*(AO66-AO65)</f>
        <v/>
      </c>
      <c r="AP200" s="21">
        <f>100*(AP66-AP65)</f>
        <v/>
      </c>
      <c r="AQ200" s="21">
        <f>100*(AQ66-AQ65)</f>
        <v/>
      </c>
      <c r="AR200" s="21">
        <f>100*(AR66-AR65)</f>
        <v/>
      </c>
      <c r="AS200" s="21">
        <f>100*(AS66-AS65)</f>
        <v/>
      </c>
      <c r="AT200" s="21">
        <f>100*(AT66-AT65)</f>
        <v/>
      </c>
      <c r="AU200" s="21">
        <f>100*(AU66-AU65)</f>
        <v/>
      </c>
      <c r="AV200" s="21">
        <f>100*(AV66-AV65)</f>
        <v/>
      </c>
      <c r="AW200" s="21">
        <f>100*(AW66-AW65)</f>
        <v/>
      </c>
      <c r="AX200" s="21">
        <f>100*(AX66-AX65)</f>
        <v/>
      </c>
      <c r="AY200" s="21">
        <f>100*(AY66-AY65)</f>
        <v/>
      </c>
      <c r="AZ200" s="21">
        <f>100*(AZ66-AZ65)</f>
        <v/>
      </c>
      <c r="BA200" s="21">
        <f>100*(BA66-BA65)</f>
        <v/>
      </c>
      <c r="BB200" s="21">
        <f>100*(BB66-BB65)</f>
        <v/>
      </c>
      <c r="BC200" s="21">
        <f>100*(BC66-BC65)</f>
        <v/>
      </c>
      <c r="BD200" s="21">
        <f>100*(BD66-BD65)</f>
        <v/>
      </c>
      <c r="BE200" s="21">
        <f>100*(BE66-BE65)</f>
        <v/>
      </c>
      <c r="BF200" s="21">
        <f>100*(BF66-BF65)</f>
        <v/>
      </c>
      <c r="BG200" s="21">
        <f>100*(BG66-BG65)</f>
        <v/>
      </c>
      <c r="BH200" s="21">
        <f>AVERAGE(C200:BG200)</f>
        <v/>
      </c>
    </row>
    <row r="201">
      <c r="A201" s="19">
        <f>A67</f>
        <v/>
      </c>
      <c r="B201" s="20">
        <f>B67</f>
        <v/>
      </c>
      <c r="C201" s="21">
        <f>100*(C67-C66)</f>
        <v/>
      </c>
      <c r="D201" s="21">
        <f>100*(D67-D66)</f>
        <v/>
      </c>
      <c r="E201" s="21">
        <f>100*(E67-E66)</f>
        <v/>
      </c>
      <c r="F201" s="21">
        <f>100*(F67-F66)</f>
        <v/>
      </c>
      <c r="G201" s="21">
        <f>100*(G67-G66)</f>
        <v/>
      </c>
      <c r="H201" s="21">
        <f>100*(H67-H66)</f>
        <v/>
      </c>
      <c r="I201" s="21">
        <f>100*(I67-I66)</f>
        <v/>
      </c>
      <c r="J201" s="21">
        <f>100*(J67-J66)</f>
        <v/>
      </c>
      <c r="K201" s="21">
        <f>100*(K67-K66)</f>
        <v/>
      </c>
      <c r="L201" s="21">
        <f>100*(L67-L66)</f>
        <v/>
      </c>
      <c r="M201" s="21">
        <f>100*(M67-M66)</f>
        <v/>
      </c>
      <c r="N201" s="21">
        <f>100*(N67-N66)</f>
        <v/>
      </c>
      <c r="O201" s="21">
        <f>100*(O67-O66)</f>
        <v/>
      </c>
      <c r="P201" s="21">
        <f>100*(P67-P66)</f>
        <v/>
      </c>
      <c r="Q201" s="21">
        <f>100*(Q67-Q66)</f>
        <v/>
      </c>
      <c r="R201" s="21">
        <f>100*(R67-R66)</f>
        <v/>
      </c>
      <c r="S201" s="21">
        <f>100*(S67-S66)</f>
        <v/>
      </c>
      <c r="T201" s="21">
        <f>100*(T67-T66)</f>
        <v/>
      </c>
      <c r="U201" s="21">
        <f>100*(U67-U66)</f>
        <v/>
      </c>
      <c r="V201" s="21">
        <f>100*(V67-V66)</f>
        <v/>
      </c>
      <c r="W201" s="21">
        <f>100*(W67-W66)</f>
        <v/>
      </c>
      <c r="X201" s="21">
        <f>100*(X67-X66)</f>
        <v/>
      </c>
      <c r="Y201" s="21">
        <f>100*(Y67-Y66)</f>
        <v/>
      </c>
      <c r="Z201" s="21">
        <f>100*(Z67-Z66)</f>
        <v/>
      </c>
      <c r="AA201" s="21">
        <f>100*(AA67-AA66)</f>
        <v/>
      </c>
      <c r="AB201" s="21">
        <f>100*(AB67-AB66)</f>
        <v/>
      </c>
      <c r="AC201" s="21">
        <f>100*(AC67-AC66)</f>
        <v/>
      </c>
      <c r="AD201" s="21">
        <f>100*(AD67-AD66)</f>
        <v/>
      </c>
      <c r="AE201" s="21">
        <f>100*(AE67-AE66)</f>
        <v/>
      </c>
      <c r="AF201" s="21">
        <f>100*(AF67-AF66)</f>
        <v/>
      </c>
      <c r="AG201" s="21">
        <f>100*(AG67-AG66)</f>
        <v/>
      </c>
      <c r="AH201" s="21">
        <f>100*(AH67-AH66)</f>
        <v/>
      </c>
      <c r="AI201" s="21">
        <f>100*(AI67-AI66)</f>
        <v/>
      </c>
      <c r="AJ201" s="21">
        <f>100*(AJ67-AJ66)</f>
        <v/>
      </c>
      <c r="AK201" s="21">
        <f>100*(AK67-AK66)</f>
        <v/>
      </c>
      <c r="AL201" s="21">
        <f>100*(AL67-AL66)</f>
        <v/>
      </c>
      <c r="AM201" s="21">
        <f>100*(AM67-AM66)</f>
        <v/>
      </c>
      <c r="AN201" s="21">
        <f>100*(AN67-AN66)</f>
        <v/>
      </c>
      <c r="AO201" s="21">
        <f>100*(AO67-AO66)</f>
        <v/>
      </c>
      <c r="AP201" s="21">
        <f>100*(AP67-AP66)</f>
        <v/>
      </c>
      <c r="AQ201" s="21">
        <f>100*(AQ67-AQ66)</f>
        <v/>
      </c>
      <c r="AR201" s="21">
        <f>100*(AR67-AR66)</f>
        <v/>
      </c>
      <c r="AS201" s="21">
        <f>100*(AS67-AS66)</f>
        <v/>
      </c>
      <c r="AT201" s="21">
        <f>100*(AT67-AT66)</f>
        <v/>
      </c>
      <c r="AU201" s="21">
        <f>100*(AU67-AU66)</f>
        <v/>
      </c>
      <c r="AV201" s="21">
        <f>100*(AV67-AV66)</f>
        <v/>
      </c>
      <c r="AW201" s="21">
        <f>100*(AW67-AW66)</f>
        <v/>
      </c>
      <c r="AX201" s="21">
        <f>100*(AX67-AX66)</f>
        <v/>
      </c>
      <c r="AY201" s="21">
        <f>100*(AY67-AY66)</f>
        <v/>
      </c>
      <c r="AZ201" s="21">
        <f>100*(AZ67-AZ66)</f>
        <v/>
      </c>
      <c r="BA201" s="21">
        <f>100*(BA67-BA66)</f>
        <v/>
      </c>
      <c r="BB201" s="21">
        <f>100*(BB67-BB66)</f>
        <v/>
      </c>
      <c r="BC201" s="21">
        <f>100*(BC67-BC66)</f>
        <v/>
      </c>
      <c r="BD201" s="21">
        <f>100*(BD67-BD66)</f>
        <v/>
      </c>
      <c r="BE201" s="21">
        <f>100*(BE67-BE66)</f>
        <v/>
      </c>
      <c r="BF201" s="21">
        <f>100*(BF67-BF66)</f>
        <v/>
      </c>
      <c r="BG201" s="21">
        <f>100*(BG67-BG66)</f>
        <v/>
      </c>
      <c r="BH201" s="21">
        <f>AVERAGE(C201:BG201)</f>
        <v/>
      </c>
    </row>
    <row r="202">
      <c r="A202" s="19">
        <f>A68</f>
        <v/>
      </c>
      <c r="B202" s="20">
        <f>B68</f>
        <v/>
      </c>
      <c r="C202" s="21">
        <f>100*(C68-C67)</f>
        <v/>
      </c>
      <c r="D202" s="21">
        <f>100*(D68-D67)</f>
        <v/>
      </c>
      <c r="E202" s="21">
        <f>100*(E68-E67)</f>
        <v/>
      </c>
      <c r="F202" s="21">
        <f>100*(F68-F67)</f>
        <v/>
      </c>
      <c r="G202" s="21">
        <f>100*(G68-G67)</f>
        <v/>
      </c>
      <c r="H202" s="21">
        <f>100*(H68-H67)</f>
        <v/>
      </c>
      <c r="I202" s="21">
        <f>100*(I68-I67)</f>
        <v/>
      </c>
      <c r="J202" s="21">
        <f>100*(J68-J67)</f>
        <v/>
      </c>
      <c r="K202" s="21">
        <f>100*(K68-K67)</f>
        <v/>
      </c>
      <c r="L202" s="21">
        <f>100*(L68-L67)</f>
        <v/>
      </c>
      <c r="M202" s="21">
        <f>100*(M68-M67)</f>
        <v/>
      </c>
      <c r="N202" s="21">
        <f>100*(N68-N67)</f>
        <v/>
      </c>
      <c r="O202" s="21">
        <f>100*(O68-O67)</f>
        <v/>
      </c>
      <c r="P202" s="21">
        <f>100*(P68-P67)</f>
        <v/>
      </c>
      <c r="Q202" s="21">
        <f>100*(Q68-Q67)</f>
        <v/>
      </c>
      <c r="R202" s="21">
        <f>100*(R68-R67)</f>
        <v/>
      </c>
      <c r="S202" s="21">
        <f>100*(S68-S67)</f>
        <v/>
      </c>
      <c r="T202" s="21">
        <f>100*(T68-T67)</f>
        <v/>
      </c>
      <c r="U202" s="21">
        <f>100*(U68-U67)</f>
        <v/>
      </c>
      <c r="V202" s="21">
        <f>100*(V68-V67)</f>
        <v/>
      </c>
      <c r="W202" s="21">
        <f>100*(W68-W67)</f>
        <v/>
      </c>
      <c r="X202" s="21">
        <f>100*(X68-X67)</f>
        <v/>
      </c>
      <c r="Y202" s="21">
        <f>100*(Y68-Y67)</f>
        <v/>
      </c>
      <c r="Z202" s="21">
        <f>100*(Z68-Z67)</f>
        <v/>
      </c>
      <c r="AA202" s="21">
        <f>100*(AA68-AA67)</f>
        <v/>
      </c>
      <c r="AB202" s="21">
        <f>100*(AB68-AB67)</f>
        <v/>
      </c>
      <c r="AC202" s="21">
        <f>100*(AC68-AC67)</f>
        <v/>
      </c>
      <c r="AD202" s="21">
        <f>100*(AD68-AD67)</f>
        <v/>
      </c>
      <c r="AE202" s="21">
        <f>100*(AE68-AE67)</f>
        <v/>
      </c>
      <c r="AF202" s="21">
        <f>100*(AF68-AF67)</f>
        <v/>
      </c>
      <c r="AG202" s="21">
        <f>100*(AG68-AG67)</f>
        <v/>
      </c>
      <c r="AH202" s="21">
        <f>100*(AH68-AH67)</f>
        <v/>
      </c>
      <c r="AI202" s="21">
        <f>100*(AI68-AI67)</f>
        <v/>
      </c>
      <c r="AJ202" s="21">
        <f>100*(AJ68-AJ67)</f>
        <v/>
      </c>
      <c r="AK202" s="21">
        <f>100*(AK68-AK67)</f>
        <v/>
      </c>
      <c r="AL202" s="21">
        <f>100*(AL68-AL67)</f>
        <v/>
      </c>
      <c r="AM202" s="21">
        <f>100*(AM68-AM67)</f>
        <v/>
      </c>
      <c r="AN202" s="21">
        <f>100*(AN68-AN67)</f>
        <v/>
      </c>
      <c r="AO202" s="21">
        <f>100*(AO68-AO67)</f>
        <v/>
      </c>
      <c r="AP202" s="21">
        <f>100*(AP68-AP67)</f>
        <v/>
      </c>
      <c r="AQ202" s="21">
        <f>100*(AQ68-AQ67)</f>
        <v/>
      </c>
      <c r="AR202" s="21">
        <f>100*(AR68-AR67)</f>
        <v/>
      </c>
      <c r="AS202" s="21">
        <f>100*(AS68-AS67)</f>
        <v/>
      </c>
      <c r="AT202" s="21">
        <f>100*(AT68-AT67)</f>
        <v/>
      </c>
      <c r="AU202" s="21">
        <f>100*(AU68-AU67)</f>
        <v/>
      </c>
      <c r="AV202" s="21">
        <f>100*(AV68-AV67)</f>
        <v/>
      </c>
      <c r="AW202" s="21">
        <f>100*(AW68-AW67)</f>
        <v/>
      </c>
      <c r="AX202" s="21">
        <f>100*(AX68-AX67)</f>
        <v/>
      </c>
      <c r="AY202" s="21">
        <f>100*(AY68-AY67)</f>
        <v/>
      </c>
      <c r="AZ202" s="21">
        <f>100*(AZ68-AZ67)</f>
        <v/>
      </c>
      <c r="BA202" s="21">
        <f>100*(BA68-BA67)</f>
        <v/>
      </c>
      <c r="BB202" s="21">
        <f>100*(BB68-BB67)</f>
        <v/>
      </c>
      <c r="BC202" s="21">
        <f>100*(BC68-BC67)</f>
        <v/>
      </c>
      <c r="BD202" s="21">
        <f>100*(BD68-BD67)</f>
        <v/>
      </c>
      <c r="BE202" s="21">
        <f>100*(BE68-BE67)</f>
        <v/>
      </c>
      <c r="BF202" s="21">
        <f>100*(BF68-BF67)</f>
        <v/>
      </c>
      <c r="BG202" s="21">
        <f>100*(BG68-BG67)</f>
        <v/>
      </c>
      <c r="BH202" s="21">
        <f>AVERAGE(C202:BG202)</f>
        <v/>
      </c>
    </row>
    <row r="203">
      <c r="A203" s="19">
        <f>A69</f>
        <v/>
      </c>
      <c r="B203" s="20">
        <f>B69</f>
        <v/>
      </c>
      <c r="C203" s="21">
        <f>100*(C69-C68)</f>
        <v/>
      </c>
      <c r="D203" s="21">
        <f>100*(D69-D68)</f>
        <v/>
      </c>
      <c r="E203" s="21">
        <f>100*(E69-E68)</f>
        <v/>
      </c>
      <c r="F203" s="21">
        <f>100*(F69-F68)</f>
        <v/>
      </c>
      <c r="G203" s="21">
        <f>100*(G69-G68)</f>
        <v/>
      </c>
      <c r="H203" s="21">
        <f>100*(H69-H68)</f>
        <v/>
      </c>
      <c r="I203" s="21">
        <f>100*(I69-I68)</f>
        <v/>
      </c>
      <c r="J203" s="21">
        <f>100*(J69-J68)</f>
        <v/>
      </c>
      <c r="K203" s="21">
        <f>100*(K69-K68)</f>
        <v/>
      </c>
      <c r="L203" s="21">
        <f>100*(L69-L68)</f>
        <v/>
      </c>
      <c r="M203" s="21">
        <f>100*(M69-M68)</f>
        <v/>
      </c>
      <c r="N203" s="21">
        <f>100*(N69-N68)</f>
        <v/>
      </c>
      <c r="O203" s="21">
        <f>100*(O69-O68)</f>
        <v/>
      </c>
      <c r="P203" s="21">
        <f>100*(P69-P68)</f>
        <v/>
      </c>
      <c r="Q203" s="21">
        <f>100*(Q69-Q68)</f>
        <v/>
      </c>
      <c r="R203" s="21">
        <f>100*(R69-R68)</f>
        <v/>
      </c>
      <c r="S203" s="21">
        <f>100*(S69-S68)</f>
        <v/>
      </c>
      <c r="T203" s="21">
        <f>100*(T69-T68)</f>
        <v/>
      </c>
      <c r="U203" s="21">
        <f>100*(U69-U68)</f>
        <v/>
      </c>
      <c r="V203" s="21">
        <f>100*(V69-V68)</f>
        <v/>
      </c>
      <c r="W203" s="21">
        <f>100*(W69-W68)</f>
        <v/>
      </c>
      <c r="X203" s="21">
        <f>100*(X69-X68)</f>
        <v/>
      </c>
      <c r="Y203" s="21">
        <f>100*(Y69-Y68)</f>
        <v/>
      </c>
      <c r="Z203" s="21">
        <f>100*(Z69-Z68)</f>
        <v/>
      </c>
      <c r="AA203" s="21">
        <f>100*(AA69-AA68)</f>
        <v/>
      </c>
      <c r="AB203" s="21">
        <f>100*(AB69-AB68)</f>
        <v/>
      </c>
      <c r="AC203" s="21">
        <f>100*(AC69-AC68)</f>
        <v/>
      </c>
      <c r="AD203" s="21">
        <f>100*(AD69-AD68)</f>
        <v/>
      </c>
      <c r="AE203" s="21">
        <f>100*(AE69-AE68)</f>
        <v/>
      </c>
      <c r="AF203" s="21">
        <f>100*(AF69-AF68)</f>
        <v/>
      </c>
      <c r="AG203" s="21">
        <f>100*(AG69-AG68)</f>
        <v/>
      </c>
      <c r="AH203" s="21">
        <f>100*(AH69-AH68)</f>
        <v/>
      </c>
      <c r="AI203" s="21">
        <f>100*(AI69-AI68)</f>
        <v/>
      </c>
      <c r="AJ203" s="21">
        <f>100*(AJ69-AJ68)</f>
        <v/>
      </c>
      <c r="AK203" s="21">
        <f>100*(AK69-AK68)</f>
        <v/>
      </c>
      <c r="AL203" s="21">
        <f>100*(AL69-AL68)</f>
        <v/>
      </c>
      <c r="AM203" s="21">
        <f>100*(AM69-AM68)</f>
        <v/>
      </c>
      <c r="AN203" s="21">
        <f>100*(AN69-AN68)</f>
        <v/>
      </c>
      <c r="AO203" s="21">
        <f>100*(AO69-AO68)</f>
        <v/>
      </c>
      <c r="AP203" s="21">
        <f>100*(AP69-AP68)</f>
        <v/>
      </c>
      <c r="AQ203" s="21">
        <f>100*(AQ69-AQ68)</f>
        <v/>
      </c>
      <c r="AR203" s="21">
        <f>100*(AR69-AR68)</f>
        <v/>
      </c>
      <c r="AS203" s="21">
        <f>100*(AS69-AS68)</f>
        <v/>
      </c>
      <c r="AT203" s="21">
        <f>100*(AT69-AT68)</f>
        <v/>
      </c>
      <c r="AU203" s="21">
        <f>100*(AU69-AU68)</f>
        <v/>
      </c>
      <c r="AV203" s="21">
        <f>100*(AV69-AV68)</f>
        <v/>
      </c>
      <c r="AW203" s="21">
        <f>100*(AW69-AW68)</f>
        <v/>
      </c>
      <c r="AX203" s="21">
        <f>100*(AX69-AX68)</f>
        <v/>
      </c>
      <c r="AY203" s="21">
        <f>100*(AY69-AY68)</f>
        <v/>
      </c>
      <c r="AZ203" s="21">
        <f>100*(AZ69-AZ68)</f>
        <v/>
      </c>
      <c r="BA203" s="21">
        <f>100*(BA69-BA68)</f>
        <v/>
      </c>
      <c r="BB203" s="21">
        <f>100*(BB69-BB68)</f>
        <v/>
      </c>
      <c r="BC203" s="21">
        <f>100*(BC69-BC68)</f>
        <v/>
      </c>
      <c r="BD203" s="21">
        <f>100*(BD69-BD68)</f>
        <v/>
      </c>
      <c r="BE203" s="21">
        <f>100*(BE69-BE68)</f>
        <v/>
      </c>
      <c r="BF203" s="21">
        <f>100*(BF69-BF68)</f>
        <v/>
      </c>
      <c r="BG203" s="21">
        <f>100*(BG69-BG68)</f>
        <v/>
      </c>
      <c r="BH203" s="21">
        <f>AVERAGE(C203:BG203)</f>
        <v/>
      </c>
    </row>
    <row r="204">
      <c r="A204" s="19">
        <f>A70</f>
        <v/>
      </c>
      <c r="B204" s="20">
        <f>B70</f>
        <v/>
      </c>
      <c r="C204" s="21">
        <f>100*(C70-C69)</f>
        <v/>
      </c>
      <c r="D204" s="21">
        <f>100*(D70-D69)</f>
        <v/>
      </c>
      <c r="E204" s="21">
        <f>100*(E70-E69)</f>
        <v/>
      </c>
      <c r="F204" s="21">
        <f>100*(F70-F69)</f>
        <v/>
      </c>
      <c r="G204" s="21">
        <f>100*(G70-G69)</f>
        <v/>
      </c>
      <c r="H204" s="21">
        <f>100*(H70-H69)</f>
        <v/>
      </c>
      <c r="I204" s="21">
        <f>100*(I70-I69)</f>
        <v/>
      </c>
      <c r="J204" s="21">
        <f>100*(J70-J69)</f>
        <v/>
      </c>
      <c r="K204" s="21">
        <f>100*(K70-K69)</f>
        <v/>
      </c>
      <c r="L204" s="21">
        <f>100*(L70-L69)</f>
        <v/>
      </c>
      <c r="M204" s="21">
        <f>100*(M70-M69)</f>
        <v/>
      </c>
      <c r="N204" s="21">
        <f>100*(N70-N69)</f>
        <v/>
      </c>
      <c r="O204" s="21">
        <f>100*(O70-O69)</f>
        <v/>
      </c>
      <c r="P204" s="21">
        <f>100*(P70-P69)</f>
        <v/>
      </c>
      <c r="Q204" s="21">
        <f>100*(Q70-Q69)</f>
        <v/>
      </c>
      <c r="R204" s="21">
        <f>100*(R70-R69)</f>
        <v/>
      </c>
      <c r="S204" s="21">
        <f>100*(S70-S69)</f>
        <v/>
      </c>
      <c r="T204" s="21">
        <f>100*(T70-T69)</f>
        <v/>
      </c>
      <c r="U204" s="21">
        <f>100*(U70-U69)</f>
        <v/>
      </c>
      <c r="V204" s="21">
        <f>100*(V70-V69)</f>
        <v/>
      </c>
      <c r="W204" s="21">
        <f>100*(W70-W69)</f>
        <v/>
      </c>
      <c r="X204" s="21">
        <f>100*(X70-X69)</f>
        <v/>
      </c>
      <c r="Y204" s="21">
        <f>100*(Y70-Y69)</f>
        <v/>
      </c>
      <c r="Z204" s="21">
        <f>100*(Z70-Z69)</f>
        <v/>
      </c>
      <c r="AA204" s="21">
        <f>100*(AA70-AA69)</f>
        <v/>
      </c>
      <c r="AB204" s="21">
        <f>100*(AB70-AB69)</f>
        <v/>
      </c>
      <c r="AC204" s="21">
        <f>100*(AC70-AC69)</f>
        <v/>
      </c>
      <c r="AD204" s="21">
        <f>100*(AD70-AD69)</f>
        <v/>
      </c>
      <c r="AE204" s="21">
        <f>100*(AE70-AE69)</f>
        <v/>
      </c>
      <c r="AF204" s="21">
        <f>100*(AF70-AF69)</f>
        <v/>
      </c>
      <c r="AG204" s="21">
        <f>100*(AG70-AG69)</f>
        <v/>
      </c>
      <c r="AH204" s="21">
        <f>100*(AH70-AH69)</f>
        <v/>
      </c>
      <c r="AI204" s="21">
        <f>100*(AI70-AI69)</f>
        <v/>
      </c>
      <c r="AJ204" s="21">
        <f>100*(AJ70-AJ69)</f>
        <v/>
      </c>
      <c r="AK204" s="21">
        <f>100*(AK70-AK69)</f>
        <v/>
      </c>
      <c r="AL204" s="21">
        <f>100*(AL70-AL69)</f>
        <v/>
      </c>
      <c r="AM204" s="21">
        <f>100*(AM70-AM69)</f>
        <v/>
      </c>
      <c r="AN204" s="21">
        <f>100*(AN70-AN69)</f>
        <v/>
      </c>
      <c r="AO204" s="21">
        <f>100*(AO70-AO69)</f>
        <v/>
      </c>
      <c r="AP204" s="21">
        <f>100*(AP70-AP69)</f>
        <v/>
      </c>
      <c r="AQ204" s="21">
        <f>100*(AQ70-AQ69)</f>
        <v/>
      </c>
      <c r="AR204" s="21">
        <f>100*(AR70-AR69)</f>
        <v/>
      </c>
      <c r="AS204" s="21">
        <f>100*(AS70-AS69)</f>
        <v/>
      </c>
      <c r="AT204" s="21">
        <f>100*(AT70-AT69)</f>
        <v/>
      </c>
      <c r="AU204" s="21">
        <f>100*(AU70-AU69)</f>
        <v/>
      </c>
      <c r="AV204" s="21">
        <f>100*(AV70-AV69)</f>
        <v/>
      </c>
      <c r="AW204" s="21">
        <f>100*(AW70-AW69)</f>
        <v/>
      </c>
      <c r="AX204" s="21">
        <f>100*(AX70-AX69)</f>
        <v/>
      </c>
      <c r="AY204" s="21">
        <f>100*(AY70-AY69)</f>
        <v/>
      </c>
      <c r="AZ204" s="21">
        <f>100*(AZ70-AZ69)</f>
        <v/>
      </c>
      <c r="BA204" s="21">
        <f>100*(BA70-BA69)</f>
        <v/>
      </c>
      <c r="BB204" s="21">
        <f>100*(BB70-BB69)</f>
        <v/>
      </c>
      <c r="BC204" s="21">
        <f>100*(BC70-BC69)</f>
        <v/>
      </c>
      <c r="BD204" s="21">
        <f>100*(BD70-BD69)</f>
        <v/>
      </c>
      <c r="BE204" s="21">
        <f>100*(BE70-BE69)</f>
        <v/>
      </c>
      <c r="BF204" s="21">
        <f>100*(BF70-BF69)</f>
        <v/>
      </c>
      <c r="BG204" s="21">
        <f>100*(BG70-BG69)</f>
        <v/>
      </c>
      <c r="BH204" s="21">
        <f>AVERAGE(C204:BG204)</f>
        <v/>
      </c>
    </row>
    <row r="205">
      <c r="A205" s="19">
        <f>A71</f>
        <v/>
      </c>
      <c r="B205" s="20">
        <f>B71</f>
        <v/>
      </c>
      <c r="C205" s="21">
        <f>100*(C71-C70)</f>
        <v/>
      </c>
      <c r="D205" s="21">
        <f>100*(D71-D70)</f>
        <v/>
      </c>
      <c r="E205" s="21">
        <f>100*(E71-E70)</f>
        <v/>
      </c>
      <c r="F205" s="21">
        <f>100*(F71-F70)</f>
        <v/>
      </c>
      <c r="G205" s="21">
        <f>100*(G71-G70)</f>
        <v/>
      </c>
      <c r="H205" s="21">
        <f>100*(H71-H70)</f>
        <v/>
      </c>
      <c r="I205" s="21">
        <f>100*(I71-I70)</f>
        <v/>
      </c>
      <c r="J205" s="21">
        <f>100*(J71-J70)</f>
        <v/>
      </c>
      <c r="K205" s="21">
        <f>100*(K71-K70)</f>
        <v/>
      </c>
      <c r="L205" s="21">
        <f>100*(L71-L70)</f>
        <v/>
      </c>
      <c r="M205" s="21">
        <f>100*(M71-M70)</f>
        <v/>
      </c>
      <c r="N205" s="21">
        <f>100*(N71-N70)</f>
        <v/>
      </c>
      <c r="O205" s="21">
        <f>100*(O71-O70)</f>
        <v/>
      </c>
      <c r="P205" s="21">
        <f>100*(P71-P70)</f>
        <v/>
      </c>
      <c r="Q205" s="21">
        <f>100*(Q71-Q70)</f>
        <v/>
      </c>
      <c r="R205" s="21">
        <f>100*(R71-R70)</f>
        <v/>
      </c>
      <c r="S205" s="21">
        <f>100*(S71-S70)</f>
        <v/>
      </c>
      <c r="T205" s="21">
        <f>100*(T71-T70)</f>
        <v/>
      </c>
      <c r="U205" s="21">
        <f>100*(U71-U70)</f>
        <v/>
      </c>
      <c r="V205" s="21">
        <f>100*(V71-V70)</f>
        <v/>
      </c>
      <c r="W205" s="21">
        <f>100*(W71-W70)</f>
        <v/>
      </c>
      <c r="X205" s="21">
        <f>100*(X71-X70)</f>
        <v/>
      </c>
      <c r="Y205" s="21">
        <f>100*(Y71-Y70)</f>
        <v/>
      </c>
      <c r="Z205" s="21">
        <f>100*(Z71-Z70)</f>
        <v/>
      </c>
      <c r="AA205" s="21">
        <f>100*(AA71-AA70)</f>
        <v/>
      </c>
      <c r="AB205" s="21">
        <f>100*(AB71-AB70)</f>
        <v/>
      </c>
      <c r="AC205" s="21">
        <f>100*(AC71-AC70)</f>
        <v/>
      </c>
      <c r="AD205" s="21">
        <f>100*(AD71-AD70)</f>
        <v/>
      </c>
      <c r="AE205" s="21">
        <f>100*(AE71-AE70)</f>
        <v/>
      </c>
      <c r="AF205" s="21">
        <f>100*(AF71-AF70)</f>
        <v/>
      </c>
      <c r="AG205" s="21">
        <f>100*(AG71-AG70)</f>
        <v/>
      </c>
      <c r="AH205" s="21">
        <f>100*(AH71-AH70)</f>
        <v/>
      </c>
      <c r="AI205" s="21">
        <f>100*(AI71-AI70)</f>
        <v/>
      </c>
      <c r="AJ205" s="21">
        <f>100*(AJ71-AJ70)</f>
        <v/>
      </c>
      <c r="AK205" s="21">
        <f>100*(AK71-AK70)</f>
        <v/>
      </c>
      <c r="AL205" s="21">
        <f>100*(AL71-AL70)</f>
        <v/>
      </c>
      <c r="AM205" s="21">
        <f>100*(AM71-AM70)</f>
        <v/>
      </c>
      <c r="AN205" s="21">
        <f>100*(AN71-AN70)</f>
        <v/>
      </c>
      <c r="AO205" s="21">
        <f>100*(AO71-AO70)</f>
        <v/>
      </c>
      <c r="AP205" s="21">
        <f>100*(AP71-AP70)</f>
        <v/>
      </c>
      <c r="AQ205" s="21">
        <f>100*(AQ71-AQ70)</f>
        <v/>
      </c>
      <c r="AR205" s="21">
        <f>100*(AR71-AR70)</f>
        <v/>
      </c>
      <c r="AS205" s="21">
        <f>100*(AS71-AS70)</f>
        <v/>
      </c>
      <c r="AT205" s="21">
        <f>100*(AT71-AT70)</f>
        <v/>
      </c>
      <c r="AU205" s="21">
        <f>100*(AU71-AU70)</f>
        <v/>
      </c>
      <c r="AV205" s="21">
        <f>100*(AV71-AV70)</f>
        <v/>
      </c>
      <c r="AW205" s="21">
        <f>100*(AW71-AW70)</f>
        <v/>
      </c>
      <c r="AX205" s="21">
        <f>100*(AX71-AX70)</f>
        <v/>
      </c>
      <c r="AY205" s="21">
        <f>100*(AY71-AY70)</f>
        <v/>
      </c>
      <c r="AZ205" s="21">
        <f>100*(AZ71-AZ70)</f>
        <v/>
      </c>
      <c r="BA205" s="21">
        <f>100*(BA71-BA70)</f>
        <v/>
      </c>
      <c r="BB205" s="21">
        <f>100*(BB71-BB70)</f>
        <v/>
      </c>
      <c r="BC205" s="21">
        <f>100*(BC71-BC70)</f>
        <v/>
      </c>
      <c r="BD205" s="21">
        <f>100*(BD71-BD70)</f>
        <v/>
      </c>
      <c r="BE205" s="21">
        <f>100*(BE71-BE70)</f>
        <v/>
      </c>
      <c r="BF205" s="21">
        <f>100*(BF71-BF70)</f>
        <v/>
      </c>
      <c r="BG205" s="21">
        <f>100*(BG71-BG70)</f>
        <v/>
      </c>
      <c r="BH205" s="21">
        <f>AVERAGE(C205:BG205)</f>
        <v/>
      </c>
    </row>
    <row r="206">
      <c r="A206" s="19">
        <f>A72</f>
        <v/>
      </c>
      <c r="B206" s="20">
        <f>B72</f>
        <v/>
      </c>
      <c r="C206" s="21">
        <f>100*(C72-C71)</f>
        <v/>
      </c>
      <c r="D206" s="21">
        <f>100*(D72-D71)</f>
        <v/>
      </c>
      <c r="E206" s="21">
        <f>100*(E72-E71)</f>
        <v/>
      </c>
      <c r="F206" s="21">
        <f>100*(F72-F71)</f>
        <v/>
      </c>
      <c r="G206" s="21">
        <f>100*(G72-G71)</f>
        <v/>
      </c>
      <c r="H206" s="21">
        <f>100*(H72-H71)</f>
        <v/>
      </c>
      <c r="I206" s="21">
        <f>100*(I72-I71)</f>
        <v/>
      </c>
      <c r="J206" s="21">
        <f>100*(J72-J71)</f>
        <v/>
      </c>
      <c r="K206" s="21">
        <f>100*(K72-K71)</f>
        <v/>
      </c>
      <c r="L206" s="21">
        <f>100*(L72-L71)</f>
        <v/>
      </c>
      <c r="M206" s="21">
        <f>100*(M72-M71)</f>
        <v/>
      </c>
      <c r="N206" s="21">
        <f>100*(N72-N71)</f>
        <v/>
      </c>
      <c r="O206" s="21">
        <f>100*(O72-O71)</f>
        <v/>
      </c>
      <c r="P206" s="21">
        <f>100*(P72-P71)</f>
        <v/>
      </c>
      <c r="Q206" s="21">
        <f>100*(Q72-Q71)</f>
        <v/>
      </c>
      <c r="R206" s="21">
        <f>100*(R72-R71)</f>
        <v/>
      </c>
      <c r="S206" s="21">
        <f>100*(S72-S71)</f>
        <v/>
      </c>
      <c r="T206" s="21">
        <f>100*(T72-T71)</f>
        <v/>
      </c>
      <c r="U206" s="21">
        <f>100*(U72-U71)</f>
        <v/>
      </c>
      <c r="V206" s="21">
        <f>100*(V72-V71)</f>
        <v/>
      </c>
      <c r="W206" s="21">
        <f>100*(W72-W71)</f>
        <v/>
      </c>
      <c r="X206" s="21">
        <f>100*(X72-X71)</f>
        <v/>
      </c>
      <c r="Y206" s="21">
        <f>100*(Y72-Y71)</f>
        <v/>
      </c>
      <c r="Z206" s="21">
        <f>100*(Z72-Z71)</f>
        <v/>
      </c>
      <c r="AA206" s="21">
        <f>100*(AA72-AA71)</f>
        <v/>
      </c>
      <c r="AB206" s="21">
        <f>100*(AB72-AB71)</f>
        <v/>
      </c>
      <c r="AC206" s="21">
        <f>100*(AC72-AC71)</f>
        <v/>
      </c>
      <c r="AD206" s="21">
        <f>100*(AD72-AD71)</f>
        <v/>
      </c>
      <c r="AE206" s="21">
        <f>100*(AE72-AE71)</f>
        <v/>
      </c>
      <c r="AF206" s="21">
        <f>100*(AF72-AF71)</f>
        <v/>
      </c>
      <c r="AG206" s="21">
        <f>100*(AG72-AG71)</f>
        <v/>
      </c>
      <c r="AH206" s="21">
        <f>100*(AH72-AH71)</f>
        <v/>
      </c>
      <c r="AI206" s="21">
        <f>100*(AI72-AI71)</f>
        <v/>
      </c>
      <c r="AJ206" s="21">
        <f>100*(AJ72-AJ71)</f>
        <v/>
      </c>
      <c r="AK206" s="21">
        <f>100*(AK72-AK71)</f>
        <v/>
      </c>
      <c r="AL206" s="21">
        <f>100*(AL72-AL71)</f>
        <v/>
      </c>
      <c r="AM206" s="21">
        <f>100*(AM72-AM71)</f>
        <v/>
      </c>
      <c r="AN206" s="21">
        <f>100*(AN72-AN71)</f>
        <v/>
      </c>
      <c r="AO206" s="21">
        <f>100*(AO72-AO71)</f>
        <v/>
      </c>
      <c r="AP206" s="21">
        <f>100*(AP72-AP71)</f>
        <v/>
      </c>
      <c r="AQ206" s="21">
        <f>100*(AQ72-AQ71)</f>
        <v/>
      </c>
      <c r="AR206" s="21">
        <f>100*(AR72-AR71)</f>
        <v/>
      </c>
      <c r="AS206" s="21">
        <f>100*(AS72-AS71)</f>
        <v/>
      </c>
      <c r="AT206" s="21">
        <f>100*(AT72-AT71)</f>
        <v/>
      </c>
      <c r="AU206" s="21">
        <f>100*(AU72-AU71)</f>
        <v/>
      </c>
      <c r="AV206" s="21">
        <f>100*(AV72-AV71)</f>
        <v/>
      </c>
      <c r="AW206" s="21">
        <f>100*(AW72-AW71)</f>
        <v/>
      </c>
      <c r="AX206" s="21">
        <f>100*(AX72-AX71)</f>
        <v/>
      </c>
      <c r="AY206" s="21">
        <f>100*(AY72-AY71)</f>
        <v/>
      </c>
      <c r="AZ206" s="21">
        <f>100*(AZ72-AZ71)</f>
        <v/>
      </c>
      <c r="BA206" s="21">
        <f>100*(BA72-BA71)</f>
        <v/>
      </c>
      <c r="BB206" s="21">
        <f>100*(BB72-BB71)</f>
        <v/>
      </c>
      <c r="BC206" s="21">
        <f>100*(BC72-BC71)</f>
        <v/>
      </c>
      <c r="BD206" s="21">
        <f>100*(BD72-BD71)</f>
        <v/>
      </c>
      <c r="BE206" s="21">
        <f>100*(BE72-BE71)</f>
        <v/>
      </c>
      <c r="BF206" s="21">
        <f>100*(BF72-BF71)</f>
        <v/>
      </c>
      <c r="BG206" s="21">
        <f>100*(BG72-BG71)</f>
        <v/>
      </c>
      <c r="BH206" s="21">
        <f>AVERAGE(C206:BG206)</f>
        <v/>
      </c>
    </row>
    <row r="207">
      <c r="A207" s="19">
        <f>A73</f>
        <v/>
      </c>
      <c r="B207" s="20">
        <f>B73</f>
        <v/>
      </c>
      <c r="C207" s="21">
        <f>100*(C73-C72)</f>
        <v/>
      </c>
      <c r="D207" s="21">
        <f>100*(D73-D72)</f>
        <v/>
      </c>
      <c r="E207" s="21">
        <f>100*(E73-E72)</f>
        <v/>
      </c>
      <c r="F207" s="21">
        <f>100*(F73-F72)</f>
        <v/>
      </c>
      <c r="G207" s="21">
        <f>100*(G73-G72)</f>
        <v/>
      </c>
      <c r="H207" s="21">
        <f>100*(H73-H72)</f>
        <v/>
      </c>
      <c r="I207" s="21">
        <f>100*(I73-I72)</f>
        <v/>
      </c>
      <c r="J207" s="21">
        <f>100*(J73-J72)</f>
        <v/>
      </c>
      <c r="K207" s="21">
        <f>100*(K73-K72)</f>
        <v/>
      </c>
      <c r="L207" s="21">
        <f>100*(L73-L72)</f>
        <v/>
      </c>
      <c r="M207" s="21">
        <f>100*(M73-M72)</f>
        <v/>
      </c>
      <c r="N207" s="21">
        <f>100*(N73-N72)</f>
        <v/>
      </c>
      <c r="O207" s="21">
        <f>100*(O73-O72)</f>
        <v/>
      </c>
      <c r="P207" s="21">
        <f>100*(P73-P72)</f>
        <v/>
      </c>
      <c r="Q207" s="21">
        <f>100*(Q73-Q72)</f>
        <v/>
      </c>
      <c r="R207" s="21">
        <f>100*(R73-R72)</f>
        <v/>
      </c>
      <c r="S207" s="21">
        <f>100*(S73-S72)</f>
        <v/>
      </c>
      <c r="T207" s="21">
        <f>100*(T73-T72)</f>
        <v/>
      </c>
      <c r="U207" s="21">
        <f>100*(U73-U72)</f>
        <v/>
      </c>
      <c r="V207" s="21">
        <f>100*(V73-V72)</f>
        <v/>
      </c>
      <c r="W207" s="21">
        <f>100*(W73-W72)</f>
        <v/>
      </c>
      <c r="X207" s="21">
        <f>100*(X73-X72)</f>
        <v/>
      </c>
      <c r="Y207" s="21">
        <f>100*(Y73-Y72)</f>
        <v/>
      </c>
      <c r="Z207" s="21">
        <f>100*(Z73-Z72)</f>
        <v/>
      </c>
      <c r="AA207" s="21">
        <f>100*(AA73-AA72)</f>
        <v/>
      </c>
      <c r="AB207" s="21">
        <f>100*(AB73-AB72)</f>
        <v/>
      </c>
      <c r="AC207" s="21">
        <f>100*(AC73-AC72)</f>
        <v/>
      </c>
      <c r="AD207" s="21">
        <f>100*(AD73-AD72)</f>
        <v/>
      </c>
      <c r="AE207" s="21">
        <f>100*(AE73-AE72)</f>
        <v/>
      </c>
      <c r="AF207" s="21">
        <f>100*(AF73-AF72)</f>
        <v/>
      </c>
      <c r="AG207" s="21">
        <f>100*(AG73-AG72)</f>
        <v/>
      </c>
      <c r="AH207" s="21">
        <f>100*(AH73-AH72)</f>
        <v/>
      </c>
      <c r="AI207" s="21">
        <f>100*(AI73-AI72)</f>
        <v/>
      </c>
      <c r="AJ207" s="21">
        <f>100*(AJ73-AJ72)</f>
        <v/>
      </c>
      <c r="AK207" s="21">
        <f>100*(AK73-AK72)</f>
        <v/>
      </c>
      <c r="AL207" s="21">
        <f>100*(AL73-AL72)</f>
        <v/>
      </c>
      <c r="AM207" s="21">
        <f>100*(AM73-AM72)</f>
        <v/>
      </c>
      <c r="AN207" s="21">
        <f>100*(AN73-AN72)</f>
        <v/>
      </c>
      <c r="AO207" s="21">
        <f>100*(AO73-AO72)</f>
        <v/>
      </c>
      <c r="AP207" s="21">
        <f>100*(AP73-AP72)</f>
        <v/>
      </c>
      <c r="AQ207" s="21">
        <f>100*(AQ73-AQ72)</f>
        <v/>
      </c>
      <c r="AR207" s="21">
        <f>100*(AR73-AR72)</f>
        <v/>
      </c>
      <c r="AS207" s="21">
        <f>100*(AS73-AS72)</f>
        <v/>
      </c>
      <c r="AT207" s="21">
        <f>100*(AT73-AT72)</f>
        <v/>
      </c>
      <c r="AU207" s="21">
        <f>100*(AU73-AU72)</f>
        <v/>
      </c>
      <c r="AV207" s="21">
        <f>100*(AV73-AV72)</f>
        <v/>
      </c>
      <c r="AW207" s="21">
        <f>100*(AW73-AW72)</f>
        <v/>
      </c>
      <c r="AX207" s="21">
        <f>100*(AX73-AX72)</f>
        <v/>
      </c>
      <c r="AY207" s="21">
        <f>100*(AY73-AY72)</f>
        <v/>
      </c>
      <c r="AZ207" s="21">
        <f>100*(AZ73-AZ72)</f>
        <v/>
      </c>
      <c r="BA207" s="21">
        <f>100*(BA73-BA72)</f>
        <v/>
      </c>
      <c r="BB207" s="21">
        <f>100*(BB73-BB72)</f>
        <v/>
      </c>
      <c r="BC207" s="21">
        <f>100*(BC73-BC72)</f>
        <v/>
      </c>
      <c r="BD207" s="21">
        <f>100*(BD73-BD72)</f>
        <v/>
      </c>
      <c r="BE207" s="21">
        <f>100*(BE73-BE72)</f>
        <v/>
      </c>
      <c r="BF207" s="21">
        <f>100*(BF73-BF72)</f>
        <v/>
      </c>
      <c r="BG207" s="21">
        <f>100*(BG73-BG72)</f>
        <v/>
      </c>
      <c r="BH207" s="21">
        <f>AVERAGE(C207:BG207)</f>
        <v/>
      </c>
    </row>
    <row r="208">
      <c r="A208" s="19">
        <f>A74</f>
        <v/>
      </c>
      <c r="B208" s="20">
        <f>B74</f>
        <v/>
      </c>
      <c r="C208" s="21">
        <f>100*(C74-C73)</f>
        <v/>
      </c>
      <c r="D208" s="21">
        <f>100*(D74-D73)</f>
        <v/>
      </c>
      <c r="E208" s="21">
        <f>100*(E74-E73)</f>
        <v/>
      </c>
      <c r="F208" s="21">
        <f>100*(F74-F73)</f>
        <v/>
      </c>
      <c r="G208" s="21">
        <f>100*(G74-G73)</f>
        <v/>
      </c>
      <c r="H208" s="21">
        <f>100*(H74-H73)</f>
        <v/>
      </c>
      <c r="I208" s="21">
        <f>100*(I74-I73)</f>
        <v/>
      </c>
      <c r="J208" s="21">
        <f>100*(J74-J73)</f>
        <v/>
      </c>
      <c r="K208" s="21">
        <f>100*(K74-K73)</f>
        <v/>
      </c>
      <c r="L208" s="21">
        <f>100*(L74-L73)</f>
        <v/>
      </c>
      <c r="M208" s="21">
        <f>100*(M74-M73)</f>
        <v/>
      </c>
      <c r="N208" s="21">
        <f>100*(N74-N73)</f>
        <v/>
      </c>
      <c r="O208" s="21">
        <f>100*(O74-O73)</f>
        <v/>
      </c>
      <c r="P208" s="21">
        <f>100*(P74-P73)</f>
        <v/>
      </c>
      <c r="Q208" s="21">
        <f>100*(Q74-Q73)</f>
        <v/>
      </c>
      <c r="R208" s="21">
        <f>100*(R74-R73)</f>
        <v/>
      </c>
      <c r="S208" s="21">
        <f>100*(S74-S73)</f>
        <v/>
      </c>
      <c r="T208" s="21">
        <f>100*(T74-T73)</f>
        <v/>
      </c>
      <c r="U208" s="21">
        <f>100*(U74-U73)</f>
        <v/>
      </c>
      <c r="V208" s="21">
        <f>100*(V74-V73)</f>
        <v/>
      </c>
      <c r="W208" s="21">
        <f>100*(W74-W73)</f>
        <v/>
      </c>
      <c r="X208" s="21">
        <f>100*(X74-X73)</f>
        <v/>
      </c>
      <c r="Y208" s="21">
        <f>100*(Y74-Y73)</f>
        <v/>
      </c>
      <c r="Z208" s="21">
        <f>100*(Z74-Z73)</f>
        <v/>
      </c>
      <c r="AA208" s="21">
        <f>100*(AA74-AA73)</f>
        <v/>
      </c>
      <c r="AB208" s="21">
        <f>100*(AB74-AB73)</f>
        <v/>
      </c>
      <c r="AC208" s="21">
        <f>100*(AC74-AC73)</f>
        <v/>
      </c>
      <c r="AD208" s="21">
        <f>100*(AD74-AD73)</f>
        <v/>
      </c>
      <c r="AE208" s="21">
        <f>100*(AE74-AE73)</f>
        <v/>
      </c>
      <c r="AF208" s="21">
        <f>100*(AF74-AF73)</f>
        <v/>
      </c>
      <c r="AG208" s="21">
        <f>100*(AG74-AG73)</f>
        <v/>
      </c>
      <c r="AH208" s="21">
        <f>100*(AH74-AH73)</f>
        <v/>
      </c>
      <c r="AI208" s="21">
        <f>100*(AI74-AI73)</f>
        <v/>
      </c>
      <c r="AJ208" s="21">
        <f>100*(AJ74-AJ73)</f>
        <v/>
      </c>
      <c r="AK208" s="21">
        <f>100*(AK74-AK73)</f>
        <v/>
      </c>
      <c r="AL208" s="21">
        <f>100*(AL74-AL73)</f>
        <v/>
      </c>
      <c r="AM208" s="21">
        <f>100*(AM74-AM73)</f>
        <v/>
      </c>
      <c r="AN208" s="21">
        <f>100*(AN74-AN73)</f>
        <v/>
      </c>
      <c r="AO208" s="21">
        <f>100*(AO74-AO73)</f>
        <v/>
      </c>
      <c r="AP208" s="21">
        <f>100*(AP74-AP73)</f>
        <v/>
      </c>
      <c r="AQ208" s="21">
        <f>100*(AQ74-AQ73)</f>
        <v/>
      </c>
      <c r="AR208" s="21">
        <f>100*(AR74-AR73)</f>
        <v/>
      </c>
      <c r="AS208" s="21">
        <f>100*(AS74-AS73)</f>
        <v/>
      </c>
      <c r="AT208" s="21">
        <f>100*(AT74-AT73)</f>
        <v/>
      </c>
      <c r="AU208" s="21">
        <f>100*(AU74-AU73)</f>
        <v/>
      </c>
      <c r="AV208" s="21">
        <f>100*(AV74-AV73)</f>
        <v/>
      </c>
      <c r="AW208" s="21">
        <f>100*(AW74-AW73)</f>
        <v/>
      </c>
      <c r="AX208" s="21">
        <f>100*(AX74-AX73)</f>
        <v/>
      </c>
      <c r="AY208" s="21">
        <f>100*(AY74-AY73)</f>
        <v/>
      </c>
      <c r="AZ208" s="21">
        <f>100*(AZ74-AZ73)</f>
        <v/>
      </c>
      <c r="BA208" s="21">
        <f>100*(BA74-BA73)</f>
        <v/>
      </c>
      <c r="BB208" s="21">
        <f>100*(BB74-BB73)</f>
        <v/>
      </c>
      <c r="BC208" s="21">
        <f>100*(BC74-BC73)</f>
        <v/>
      </c>
      <c r="BD208" s="21">
        <f>100*(BD74-BD73)</f>
        <v/>
      </c>
      <c r="BE208" s="21">
        <f>100*(BE74-BE73)</f>
        <v/>
      </c>
      <c r="BF208" s="21">
        <f>100*(BF74-BF73)</f>
        <v/>
      </c>
      <c r="BG208" s="21">
        <f>100*(BG74-BG73)</f>
        <v/>
      </c>
      <c r="BH208" s="21">
        <f>AVERAGE(C208:BG208)</f>
        <v/>
      </c>
    </row>
    <row r="209">
      <c r="A209" s="19">
        <f>A75</f>
        <v/>
      </c>
      <c r="B209" s="20">
        <f>B75</f>
        <v/>
      </c>
      <c r="C209" s="21">
        <f>100*(C75-C74)</f>
        <v/>
      </c>
      <c r="D209" s="21">
        <f>100*(D75-D74)</f>
        <v/>
      </c>
      <c r="E209" s="21">
        <f>100*(E75-E74)</f>
        <v/>
      </c>
      <c r="F209" s="21">
        <f>100*(F75-F74)</f>
        <v/>
      </c>
      <c r="G209" s="21">
        <f>100*(G75-G74)</f>
        <v/>
      </c>
      <c r="H209" s="21">
        <f>100*(H75-H74)</f>
        <v/>
      </c>
      <c r="I209" s="21">
        <f>100*(I75-I74)</f>
        <v/>
      </c>
      <c r="J209" s="21">
        <f>100*(J75-J74)</f>
        <v/>
      </c>
      <c r="K209" s="21">
        <f>100*(K75-K74)</f>
        <v/>
      </c>
      <c r="L209" s="21">
        <f>100*(L75-L74)</f>
        <v/>
      </c>
      <c r="M209" s="21">
        <f>100*(M75-M74)</f>
        <v/>
      </c>
      <c r="N209" s="21">
        <f>100*(N75-N74)</f>
        <v/>
      </c>
      <c r="O209" s="21">
        <f>100*(O75-O74)</f>
        <v/>
      </c>
      <c r="P209" s="21">
        <f>100*(P75-P74)</f>
        <v/>
      </c>
      <c r="Q209" s="21">
        <f>100*(Q75-Q74)</f>
        <v/>
      </c>
      <c r="R209" s="21">
        <f>100*(R75-R74)</f>
        <v/>
      </c>
      <c r="S209" s="21">
        <f>100*(S75-S74)</f>
        <v/>
      </c>
      <c r="T209" s="21">
        <f>100*(T75-T74)</f>
        <v/>
      </c>
      <c r="U209" s="21">
        <f>100*(U75-U74)</f>
        <v/>
      </c>
      <c r="V209" s="21">
        <f>100*(V75-V74)</f>
        <v/>
      </c>
      <c r="W209" s="21">
        <f>100*(W75-W74)</f>
        <v/>
      </c>
      <c r="X209" s="21">
        <f>100*(X75-X74)</f>
        <v/>
      </c>
      <c r="Y209" s="21">
        <f>100*(Y75-Y74)</f>
        <v/>
      </c>
      <c r="Z209" s="21">
        <f>100*(Z75-Z74)</f>
        <v/>
      </c>
      <c r="AA209" s="21">
        <f>100*(AA75-AA74)</f>
        <v/>
      </c>
      <c r="AB209" s="21">
        <f>100*(AB75-AB74)</f>
        <v/>
      </c>
      <c r="AC209" s="21">
        <f>100*(AC75-AC74)</f>
        <v/>
      </c>
      <c r="AD209" s="21">
        <f>100*(AD75-AD74)</f>
        <v/>
      </c>
      <c r="AE209" s="21">
        <f>100*(AE75-AE74)</f>
        <v/>
      </c>
      <c r="AF209" s="21">
        <f>100*(AF75-AF74)</f>
        <v/>
      </c>
      <c r="AG209" s="21">
        <f>100*(AG75-AG74)</f>
        <v/>
      </c>
      <c r="AH209" s="21">
        <f>100*(AH75-AH74)</f>
        <v/>
      </c>
      <c r="AI209" s="21">
        <f>100*(AI75-AI74)</f>
        <v/>
      </c>
      <c r="AJ209" s="21">
        <f>100*(AJ75-AJ74)</f>
        <v/>
      </c>
      <c r="AK209" s="21">
        <f>100*(AK75-AK74)</f>
        <v/>
      </c>
      <c r="AL209" s="21">
        <f>100*(AL75-AL74)</f>
        <v/>
      </c>
      <c r="AM209" s="21">
        <f>100*(AM75-AM74)</f>
        <v/>
      </c>
      <c r="AN209" s="21">
        <f>100*(AN75-AN74)</f>
        <v/>
      </c>
      <c r="AO209" s="21">
        <f>100*(AO75-AO74)</f>
        <v/>
      </c>
      <c r="AP209" s="21">
        <f>100*(AP75-AP74)</f>
        <v/>
      </c>
      <c r="AQ209" s="21">
        <f>100*(AQ75-AQ74)</f>
        <v/>
      </c>
      <c r="AR209" s="21">
        <f>100*(AR75-AR74)</f>
        <v/>
      </c>
      <c r="AS209" s="21">
        <f>100*(AS75-AS74)</f>
        <v/>
      </c>
      <c r="AT209" s="21">
        <f>100*(AT75-AT74)</f>
        <v/>
      </c>
      <c r="AU209" s="21">
        <f>100*(AU75-AU74)</f>
        <v/>
      </c>
      <c r="AV209" s="21">
        <f>100*(AV75-AV74)</f>
        <v/>
      </c>
      <c r="AW209" s="21">
        <f>100*(AW75-AW74)</f>
        <v/>
      </c>
      <c r="AX209" s="21">
        <f>100*(AX75-AX74)</f>
        <v/>
      </c>
      <c r="AY209" s="21">
        <f>100*(AY75-AY74)</f>
        <v/>
      </c>
      <c r="AZ209" s="21">
        <f>100*(AZ75-AZ74)</f>
        <v/>
      </c>
      <c r="BA209" s="21">
        <f>100*(BA75-BA74)</f>
        <v/>
      </c>
      <c r="BB209" s="21">
        <f>100*(BB75-BB74)</f>
        <v/>
      </c>
      <c r="BC209" s="21">
        <f>100*(BC75-BC74)</f>
        <v/>
      </c>
      <c r="BD209" s="21">
        <f>100*(BD75-BD74)</f>
        <v/>
      </c>
      <c r="BE209" s="21">
        <f>100*(BE75-BE74)</f>
        <v/>
      </c>
      <c r="BF209" s="21">
        <f>100*(BF75-BF74)</f>
        <v/>
      </c>
      <c r="BG209" s="21">
        <f>100*(BG75-BG74)</f>
        <v/>
      </c>
      <c r="BH209" s="21">
        <f>AVERAGE(C209:BG209)</f>
        <v/>
      </c>
    </row>
    <row r="210">
      <c r="A210" s="19">
        <f>A76</f>
        <v/>
      </c>
      <c r="B210" s="20">
        <f>B76</f>
        <v/>
      </c>
      <c r="C210" s="21">
        <f>100*(C76-C75)</f>
        <v/>
      </c>
      <c r="D210" s="21">
        <f>100*(D76-D75)</f>
        <v/>
      </c>
      <c r="E210" s="21">
        <f>100*(E76-E75)</f>
        <v/>
      </c>
      <c r="F210" s="21">
        <f>100*(F76-F75)</f>
        <v/>
      </c>
      <c r="G210" s="21">
        <f>100*(G76-G75)</f>
        <v/>
      </c>
      <c r="H210" s="21">
        <f>100*(H76-H75)</f>
        <v/>
      </c>
      <c r="I210" s="21">
        <f>100*(I76-I75)</f>
        <v/>
      </c>
      <c r="J210" s="21">
        <f>100*(J76-J75)</f>
        <v/>
      </c>
      <c r="K210" s="21">
        <f>100*(K76-K75)</f>
        <v/>
      </c>
      <c r="L210" s="21">
        <f>100*(L76-L75)</f>
        <v/>
      </c>
      <c r="M210" s="21">
        <f>100*(M76-M75)</f>
        <v/>
      </c>
      <c r="N210" s="21">
        <f>100*(N76-N75)</f>
        <v/>
      </c>
      <c r="O210" s="21">
        <f>100*(O76-O75)</f>
        <v/>
      </c>
      <c r="P210" s="21">
        <f>100*(P76-P75)</f>
        <v/>
      </c>
      <c r="Q210" s="21">
        <f>100*(Q76-Q75)</f>
        <v/>
      </c>
      <c r="R210" s="21">
        <f>100*(R76-R75)</f>
        <v/>
      </c>
      <c r="S210" s="21">
        <f>100*(S76-S75)</f>
        <v/>
      </c>
      <c r="T210" s="21">
        <f>100*(T76-T75)</f>
        <v/>
      </c>
      <c r="U210" s="21">
        <f>100*(U76-U75)</f>
        <v/>
      </c>
      <c r="V210" s="21">
        <f>100*(V76-V75)</f>
        <v/>
      </c>
      <c r="W210" s="21">
        <f>100*(W76-W75)</f>
        <v/>
      </c>
      <c r="X210" s="21">
        <f>100*(X76-X75)</f>
        <v/>
      </c>
      <c r="Y210" s="21">
        <f>100*(Y76-Y75)</f>
        <v/>
      </c>
      <c r="Z210" s="21">
        <f>100*(Z76-Z75)</f>
        <v/>
      </c>
      <c r="AA210" s="21">
        <f>100*(AA76-AA75)</f>
        <v/>
      </c>
      <c r="AB210" s="21">
        <f>100*(AB76-AB75)</f>
        <v/>
      </c>
      <c r="AC210" s="21">
        <f>100*(AC76-AC75)</f>
        <v/>
      </c>
      <c r="AD210" s="21">
        <f>100*(AD76-AD75)</f>
        <v/>
      </c>
      <c r="AE210" s="21">
        <f>100*(AE76-AE75)</f>
        <v/>
      </c>
      <c r="AF210" s="21">
        <f>100*(AF76-AF75)</f>
        <v/>
      </c>
      <c r="AG210" s="21">
        <f>100*(AG76-AG75)</f>
        <v/>
      </c>
      <c r="AH210" s="21">
        <f>100*(AH76-AH75)</f>
        <v/>
      </c>
      <c r="AI210" s="21">
        <f>100*(AI76-AI75)</f>
        <v/>
      </c>
      <c r="AJ210" s="21">
        <f>100*(AJ76-AJ75)</f>
        <v/>
      </c>
      <c r="AK210" s="21">
        <f>100*(AK76-AK75)</f>
        <v/>
      </c>
      <c r="AL210" s="21">
        <f>100*(AL76-AL75)</f>
        <v/>
      </c>
      <c r="AM210" s="21">
        <f>100*(AM76-AM75)</f>
        <v/>
      </c>
      <c r="AN210" s="21">
        <f>100*(AN76-AN75)</f>
        <v/>
      </c>
      <c r="AO210" s="21">
        <f>100*(AO76-AO75)</f>
        <v/>
      </c>
      <c r="AP210" s="21">
        <f>100*(AP76-AP75)</f>
        <v/>
      </c>
      <c r="AQ210" s="21">
        <f>100*(AQ76-AQ75)</f>
        <v/>
      </c>
      <c r="AR210" s="21">
        <f>100*(AR76-AR75)</f>
        <v/>
      </c>
      <c r="AS210" s="21">
        <f>100*(AS76-AS75)</f>
        <v/>
      </c>
      <c r="AT210" s="21">
        <f>100*(AT76-AT75)</f>
        <v/>
      </c>
      <c r="AU210" s="21">
        <f>100*(AU76-AU75)</f>
        <v/>
      </c>
      <c r="AV210" s="21">
        <f>100*(AV76-AV75)</f>
        <v/>
      </c>
      <c r="AW210" s="21">
        <f>100*(AW76-AW75)</f>
        <v/>
      </c>
      <c r="AX210" s="21">
        <f>100*(AX76-AX75)</f>
        <v/>
      </c>
      <c r="AY210" s="21">
        <f>100*(AY76-AY75)</f>
        <v/>
      </c>
      <c r="AZ210" s="21">
        <f>100*(AZ76-AZ75)</f>
        <v/>
      </c>
      <c r="BA210" s="21">
        <f>100*(BA76-BA75)</f>
        <v/>
      </c>
      <c r="BB210" s="21">
        <f>100*(BB76-BB75)</f>
        <v/>
      </c>
      <c r="BC210" s="21">
        <f>100*(BC76-BC75)</f>
        <v/>
      </c>
      <c r="BD210" s="21">
        <f>100*(BD76-BD75)</f>
        <v/>
      </c>
      <c r="BE210" s="21">
        <f>100*(BE76-BE75)</f>
        <v/>
      </c>
      <c r="BF210" s="21">
        <f>100*(BF76-BF75)</f>
        <v/>
      </c>
      <c r="BG210" s="21">
        <f>100*(BG76-BG75)</f>
        <v/>
      </c>
      <c r="BH210" s="21">
        <f>AVERAGE(C210:BG210)</f>
        <v/>
      </c>
    </row>
    <row r="211">
      <c r="A211" s="19">
        <f>A77</f>
        <v/>
      </c>
      <c r="B211" s="20">
        <f>B77</f>
        <v/>
      </c>
      <c r="C211" s="21">
        <f>100*(C77-C76)</f>
        <v/>
      </c>
      <c r="D211" s="21">
        <f>100*(D77-D76)</f>
        <v/>
      </c>
      <c r="E211" s="21">
        <f>100*(E77-E76)</f>
        <v/>
      </c>
      <c r="F211" s="21">
        <f>100*(F77-F76)</f>
        <v/>
      </c>
      <c r="G211" s="21">
        <f>100*(G77-G76)</f>
        <v/>
      </c>
      <c r="H211" s="21">
        <f>100*(H77-H76)</f>
        <v/>
      </c>
      <c r="I211" s="21">
        <f>100*(I77-I76)</f>
        <v/>
      </c>
      <c r="J211" s="21">
        <f>100*(J77-J76)</f>
        <v/>
      </c>
      <c r="K211" s="21">
        <f>100*(K77-K76)</f>
        <v/>
      </c>
      <c r="L211" s="21">
        <f>100*(L77-L76)</f>
        <v/>
      </c>
      <c r="M211" s="21">
        <f>100*(M77-M76)</f>
        <v/>
      </c>
      <c r="N211" s="21">
        <f>100*(N77-N76)</f>
        <v/>
      </c>
      <c r="O211" s="21">
        <f>100*(O77-O76)</f>
        <v/>
      </c>
      <c r="P211" s="21">
        <f>100*(P77-P76)</f>
        <v/>
      </c>
      <c r="Q211" s="21">
        <f>100*(Q77-Q76)</f>
        <v/>
      </c>
      <c r="R211" s="21">
        <f>100*(R77-R76)</f>
        <v/>
      </c>
      <c r="S211" s="21">
        <f>100*(S77-S76)</f>
        <v/>
      </c>
      <c r="T211" s="21">
        <f>100*(T77-T76)</f>
        <v/>
      </c>
      <c r="U211" s="21">
        <f>100*(U77-U76)</f>
        <v/>
      </c>
      <c r="V211" s="21">
        <f>100*(V77-V76)</f>
        <v/>
      </c>
      <c r="W211" s="21">
        <f>100*(W77-W76)</f>
        <v/>
      </c>
      <c r="X211" s="21">
        <f>100*(X77-X76)</f>
        <v/>
      </c>
      <c r="Y211" s="21">
        <f>100*(Y77-Y76)</f>
        <v/>
      </c>
      <c r="Z211" s="21">
        <f>100*(Z77-Z76)</f>
        <v/>
      </c>
      <c r="AA211" s="21">
        <f>100*(AA77-AA76)</f>
        <v/>
      </c>
      <c r="AB211" s="21">
        <f>100*(AB77-AB76)</f>
        <v/>
      </c>
      <c r="AC211" s="21">
        <f>100*(AC77-AC76)</f>
        <v/>
      </c>
      <c r="AD211" s="21">
        <f>100*(AD77-AD76)</f>
        <v/>
      </c>
      <c r="AE211" s="21">
        <f>100*(AE77-AE76)</f>
        <v/>
      </c>
      <c r="AF211" s="21">
        <f>100*(AF77-AF76)</f>
        <v/>
      </c>
      <c r="AG211" s="21">
        <f>100*(AG77-AG76)</f>
        <v/>
      </c>
      <c r="AH211" s="21">
        <f>100*(AH77-AH76)</f>
        <v/>
      </c>
      <c r="AI211" s="21">
        <f>100*(AI77-AI76)</f>
        <v/>
      </c>
      <c r="AJ211" s="21">
        <f>100*(AJ77-AJ76)</f>
        <v/>
      </c>
      <c r="AK211" s="21">
        <f>100*(AK77-AK76)</f>
        <v/>
      </c>
      <c r="AL211" s="21">
        <f>100*(AL77-AL76)</f>
        <v/>
      </c>
      <c r="AM211" s="21">
        <f>100*(AM77-AM76)</f>
        <v/>
      </c>
      <c r="AN211" s="21">
        <f>100*(AN77-AN76)</f>
        <v/>
      </c>
      <c r="AO211" s="21">
        <f>100*(AO77-AO76)</f>
        <v/>
      </c>
      <c r="AP211" s="21">
        <f>100*(AP77-AP76)</f>
        <v/>
      </c>
      <c r="AQ211" s="21">
        <f>100*(AQ77-AQ76)</f>
        <v/>
      </c>
      <c r="AR211" s="21">
        <f>100*(AR77-AR76)</f>
        <v/>
      </c>
      <c r="AS211" s="21">
        <f>100*(AS77-AS76)</f>
        <v/>
      </c>
      <c r="AT211" s="21">
        <f>100*(AT77-AT76)</f>
        <v/>
      </c>
      <c r="AU211" s="21">
        <f>100*(AU77-AU76)</f>
        <v/>
      </c>
      <c r="AV211" s="21">
        <f>100*(AV77-AV76)</f>
        <v/>
      </c>
      <c r="AW211" s="21">
        <f>100*(AW77-AW76)</f>
        <v/>
      </c>
      <c r="AX211" s="21">
        <f>100*(AX77-AX76)</f>
        <v/>
      </c>
      <c r="AY211" s="21">
        <f>100*(AY77-AY76)</f>
        <v/>
      </c>
      <c r="AZ211" s="21">
        <f>100*(AZ77-AZ76)</f>
        <v/>
      </c>
      <c r="BA211" s="21">
        <f>100*(BA77-BA76)</f>
        <v/>
      </c>
      <c r="BB211" s="21">
        <f>100*(BB77-BB76)</f>
        <v/>
      </c>
      <c r="BC211" s="21">
        <f>100*(BC77-BC76)</f>
        <v/>
      </c>
      <c r="BD211" s="21">
        <f>100*(BD77-BD76)</f>
        <v/>
      </c>
      <c r="BE211" s="21">
        <f>100*(BE77-BE76)</f>
        <v/>
      </c>
      <c r="BF211" s="21">
        <f>100*(BF77-BF76)</f>
        <v/>
      </c>
      <c r="BG211" s="21">
        <f>100*(BG77-BG76)</f>
        <v/>
      </c>
      <c r="BH211" s="21">
        <f>AVERAGE(C211:BG211)</f>
        <v/>
      </c>
    </row>
    <row r="212">
      <c r="A212" s="19">
        <f>A78</f>
        <v/>
      </c>
      <c r="B212" s="20">
        <f>B78</f>
        <v/>
      </c>
      <c r="C212" s="21">
        <f>100*(C78-C77)</f>
        <v/>
      </c>
      <c r="D212" s="21">
        <f>100*(D78-D77)</f>
        <v/>
      </c>
      <c r="E212" s="21">
        <f>100*(E78-E77)</f>
        <v/>
      </c>
      <c r="F212" s="21">
        <f>100*(F78-F77)</f>
        <v/>
      </c>
      <c r="G212" s="21">
        <f>100*(G78-G77)</f>
        <v/>
      </c>
      <c r="H212" s="21">
        <f>100*(H78-H77)</f>
        <v/>
      </c>
      <c r="I212" s="21">
        <f>100*(I78-I77)</f>
        <v/>
      </c>
      <c r="J212" s="21">
        <f>100*(J78-J77)</f>
        <v/>
      </c>
      <c r="K212" s="21">
        <f>100*(K78-K77)</f>
        <v/>
      </c>
      <c r="L212" s="21">
        <f>100*(L78-L77)</f>
        <v/>
      </c>
      <c r="M212" s="21">
        <f>100*(M78-M77)</f>
        <v/>
      </c>
      <c r="N212" s="21">
        <f>100*(N78-N77)</f>
        <v/>
      </c>
      <c r="O212" s="21">
        <f>100*(O78-O77)</f>
        <v/>
      </c>
      <c r="P212" s="21">
        <f>100*(P78-P77)</f>
        <v/>
      </c>
      <c r="Q212" s="21">
        <f>100*(Q78-Q77)</f>
        <v/>
      </c>
      <c r="R212" s="21">
        <f>100*(R78-R77)</f>
        <v/>
      </c>
      <c r="S212" s="21">
        <f>100*(S78-S77)</f>
        <v/>
      </c>
      <c r="T212" s="21">
        <f>100*(T78-T77)</f>
        <v/>
      </c>
      <c r="U212" s="21">
        <f>100*(U78-U77)</f>
        <v/>
      </c>
      <c r="V212" s="21">
        <f>100*(V78-V77)</f>
        <v/>
      </c>
      <c r="W212" s="21">
        <f>100*(W78-W77)</f>
        <v/>
      </c>
      <c r="X212" s="21">
        <f>100*(X78-X77)</f>
        <v/>
      </c>
      <c r="Y212" s="21">
        <f>100*(Y78-Y77)</f>
        <v/>
      </c>
      <c r="Z212" s="21">
        <f>100*(Z78-Z77)</f>
        <v/>
      </c>
      <c r="AA212" s="21">
        <f>100*(AA78-AA77)</f>
        <v/>
      </c>
      <c r="AB212" s="21">
        <f>100*(AB78-AB77)</f>
        <v/>
      </c>
      <c r="AC212" s="21">
        <f>100*(AC78-AC77)</f>
        <v/>
      </c>
      <c r="AD212" s="21">
        <f>100*(AD78-AD77)</f>
        <v/>
      </c>
      <c r="AE212" s="21">
        <f>100*(AE78-AE77)</f>
        <v/>
      </c>
      <c r="AF212" s="21">
        <f>100*(AF78-AF77)</f>
        <v/>
      </c>
      <c r="AG212" s="21">
        <f>100*(AG78-AG77)</f>
        <v/>
      </c>
      <c r="AH212" s="21">
        <f>100*(AH78-AH77)</f>
        <v/>
      </c>
      <c r="AI212" s="21">
        <f>100*(AI78-AI77)</f>
        <v/>
      </c>
      <c r="AJ212" s="21">
        <f>100*(AJ78-AJ77)</f>
        <v/>
      </c>
      <c r="AK212" s="21">
        <f>100*(AK78-AK77)</f>
        <v/>
      </c>
      <c r="AL212" s="21">
        <f>100*(AL78-AL77)</f>
        <v/>
      </c>
      <c r="AM212" s="21">
        <f>100*(AM78-AM77)</f>
        <v/>
      </c>
      <c r="AN212" s="21">
        <f>100*(AN78-AN77)</f>
        <v/>
      </c>
      <c r="AO212" s="21">
        <f>100*(AO78-AO77)</f>
        <v/>
      </c>
      <c r="AP212" s="21">
        <f>100*(AP78-AP77)</f>
        <v/>
      </c>
      <c r="AQ212" s="21">
        <f>100*(AQ78-AQ77)</f>
        <v/>
      </c>
      <c r="AR212" s="21">
        <f>100*(AR78-AR77)</f>
        <v/>
      </c>
      <c r="AS212" s="21">
        <f>100*(AS78-AS77)</f>
        <v/>
      </c>
      <c r="AT212" s="21">
        <f>100*(AT78-AT77)</f>
        <v/>
      </c>
      <c r="AU212" s="21">
        <f>100*(AU78-AU77)</f>
        <v/>
      </c>
      <c r="AV212" s="21">
        <f>100*(AV78-AV77)</f>
        <v/>
      </c>
      <c r="AW212" s="21">
        <f>100*(AW78-AW77)</f>
        <v/>
      </c>
      <c r="AX212" s="21">
        <f>100*(AX78-AX77)</f>
        <v/>
      </c>
      <c r="AY212" s="21">
        <f>100*(AY78-AY77)</f>
        <v/>
      </c>
      <c r="AZ212" s="21">
        <f>100*(AZ78-AZ77)</f>
        <v/>
      </c>
      <c r="BA212" s="21">
        <f>100*(BA78-BA77)</f>
        <v/>
      </c>
      <c r="BB212" s="21">
        <f>100*(BB78-BB77)</f>
        <v/>
      </c>
      <c r="BC212" s="21">
        <f>100*(BC78-BC77)</f>
        <v/>
      </c>
      <c r="BD212" s="21">
        <f>100*(BD78-BD77)</f>
        <v/>
      </c>
      <c r="BE212" s="21">
        <f>100*(BE78-BE77)</f>
        <v/>
      </c>
      <c r="BF212" s="21">
        <f>100*(BF78-BF77)</f>
        <v/>
      </c>
      <c r="BG212" s="21">
        <f>100*(BG78-BG77)</f>
        <v/>
      </c>
      <c r="BH212" s="21">
        <f>AVERAGE(C212:BG212)</f>
        <v/>
      </c>
    </row>
    <row r="213">
      <c r="A213" s="19">
        <f>A79</f>
        <v/>
      </c>
      <c r="B213" s="20">
        <f>B79</f>
        <v/>
      </c>
      <c r="C213" s="21">
        <f>100*(C79-C78)</f>
        <v/>
      </c>
      <c r="D213" s="21">
        <f>100*(D79-D78)</f>
        <v/>
      </c>
      <c r="E213" s="21">
        <f>100*(E79-E78)</f>
        <v/>
      </c>
      <c r="F213" s="21">
        <f>100*(F79-F78)</f>
        <v/>
      </c>
      <c r="G213" s="21">
        <f>100*(G79-G78)</f>
        <v/>
      </c>
      <c r="H213" s="21">
        <f>100*(H79-H78)</f>
        <v/>
      </c>
      <c r="I213" s="21">
        <f>100*(I79-I78)</f>
        <v/>
      </c>
      <c r="J213" s="21">
        <f>100*(J79-J78)</f>
        <v/>
      </c>
      <c r="K213" s="21">
        <f>100*(K79-K78)</f>
        <v/>
      </c>
      <c r="L213" s="21">
        <f>100*(L79-L78)</f>
        <v/>
      </c>
      <c r="M213" s="21">
        <f>100*(M79-M78)</f>
        <v/>
      </c>
      <c r="N213" s="21">
        <f>100*(N79-N78)</f>
        <v/>
      </c>
      <c r="O213" s="21">
        <f>100*(O79-O78)</f>
        <v/>
      </c>
      <c r="P213" s="21">
        <f>100*(P79-P78)</f>
        <v/>
      </c>
      <c r="Q213" s="21">
        <f>100*(Q79-Q78)</f>
        <v/>
      </c>
      <c r="R213" s="21">
        <f>100*(R79-R78)</f>
        <v/>
      </c>
      <c r="S213" s="21">
        <f>100*(S79-S78)</f>
        <v/>
      </c>
      <c r="T213" s="21">
        <f>100*(T79-T78)</f>
        <v/>
      </c>
      <c r="U213" s="21">
        <f>100*(U79-U78)</f>
        <v/>
      </c>
      <c r="V213" s="21">
        <f>100*(V79-V78)</f>
        <v/>
      </c>
      <c r="W213" s="21">
        <f>100*(W79-W78)</f>
        <v/>
      </c>
      <c r="X213" s="21">
        <f>100*(X79-X78)</f>
        <v/>
      </c>
      <c r="Y213" s="21">
        <f>100*(Y79-Y78)</f>
        <v/>
      </c>
      <c r="Z213" s="21">
        <f>100*(Z79-Z78)</f>
        <v/>
      </c>
      <c r="AA213" s="21">
        <f>100*(AA79-AA78)</f>
        <v/>
      </c>
      <c r="AB213" s="21">
        <f>100*(AB79-AB78)</f>
        <v/>
      </c>
      <c r="AC213" s="21">
        <f>100*(AC79-AC78)</f>
        <v/>
      </c>
      <c r="AD213" s="21">
        <f>100*(AD79-AD78)</f>
        <v/>
      </c>
      <c r="AE213" s="21">
        <f>100*(AE79-AE78)</f>
        <v/>
      </c>
      <c r="AF213" s="21">
        <f>100*(AF79-AF78)</f>
        <v/>
      </c>
      <c r="AG213" s="21">
        <f>100*(AG79-AG78)</f>
        <v/>
      </c>
      <c r="AH213" s="21">
        <f>100*(AH79-AH78)</f>
        <v/>
      </c>
      <c r="AI213" s="21">
        <f>100*(AI79-AI78)</f>
        <v/>
      </c>
      <c r="AJ213" s="21">
        <f>100*(AJ79-AJ78)</f>
        <v/>
      </c>
      <c r="AK213" s="21">
        <f>100*(AK79-AK78)</f>
        <v/>
      </c>
      <c r="AL213" s="21">
        <f>100*(AL79-AL78)</f>
        <v/>
      </c>
      <c r="AM213" s="21">
        <f>100*(AM79-AM78)</f>
        <v/>
      </c>
      <c r="AN213" s="21">
        <f>100*(AN79-AN78)</f>
        <v/>
      </c>
      <c r="AO213" s="21">
        <f>100*(AO79-AO78)</f>
        <v/>
      </c>
      <c r="AP213" s="21">
        <f>100*(AP79-AP78)</f>
        <v/>
      </c>
      <c r="AQ213" s="21">
        <f>100*(AQ79-AQ78)</f>
        <v/>
      </c>
      <c r="AR213" s="21">
        <f>100*(AR79-AR78)</f>
        <v/>
      </c>
      <c r="AS213" s="21">
        <f>100*(AS79-AS78)</f>
        <v/>
      </c>
      <c r="AT213" s="21">
        <f>100*(AT79-AT78)</f>
        <v/>
      </c>
      <c r="AU213" s="21">
        <f>100*(AU79-AU78)</f>
        <v/>
      </c>
      <c r="AV213" s="21">
        <f>100*(AV79-AV78)</f>
        <v/>
      </c>
      <c r="AW213" s="21">
        <f>100*(AW79-AW78)</f>
        <v/>
      </c>
      <c r="AX213" s="21">
        <f>100*(AX79-AX78)</f>
        <v/>
      </c>
      <c r="AY213" s="21">
        <f>100*(AY79-AY78)</f>
        <v/>
      </c>
      <c r="AZ213" s="21">
        <f>100*(AZ79-AZ78)</f>
        <v/>
      </c>
      <c r="BA213" s="21">
        <f>100*(BA79-BA78)</f>
        <v/>
      </c>
      <c r="BB213" s="21">
        <f>100*(BB79-BB78)</f>
        <v/>
      </c>
      <c r="BC213" s="21">
        <f>100*(BC79-BC78)</f>
        <v/>
      </c>
      <c r="BD213" s="21">
        <f>100*(BD79-BD78)</f>
        <v/>
      </c>
      <c r="BE213" s="21">
        <f>100*(BE79-BE78)</f>
        <v/>
      </c>
      <c r="BF213" s="21">
        <f>100*(BF79-BF78)</f>
        <v/>
      </c>
      <c r="BG213" s="21">
        <f>100*(BG79-BG78)</f>
        <v/>
      </c>
      <c r="BH213" s="21">
        <f>AVERAGE(C213:BG213)</f>
        <v/>
      </c>
    </row>
    <row r="214">
      <c r="A214" s="19">
        <f>A80</f>
        <v/>
      </c>
      <c r="B214" s="20">
        <f>B80</f>
        <v/>
      </c>
      <c r="C214" s="21">
        <f>100*(C80-C79)</f>
        <v/>
      </c>
      <c r="D214" s="21">
        <f>100*(D80-D79)</f>
        <v/>
      </c>
      <c r="E214" s="21">
        <f>100*(E80-E79)</f>
        <v/>
      </c>
      <c r="F214" s="21">
        <f>100*(F80-F79)</f>
        <v/>
      </c>
      <c r="G214" s="21">
        <f>100*(G80-G79)</f>
        <v/>
      </c>
      <c r="H214" s="21">
        <f>100*(H80-H79)</f>
        <v/>
      </c>
      <c r="I214" s="21">
        <f>100*(I80-I79)</f>
        <v/>
      </c>
      <c r="J214" s="21">
        <f>100*(J80-J79)</f>
        <v/>
      </c>
      <c r="K214" s="21">
        <f>100*(K80-K79)</f>
        <v/>
      </c>
      <c r="L214" s="21">
        <f>100*(L80-L79)</f>
        <v/>
      </c>
      <c r="M214" s="21">
        <f>100*(M80-M79)</f>
        <v/>
      </c>
      <c r="N214" s="21">
        <f>100*(N80-N79)</f>
        <v/>
      </c>
      <c r="O214" s="21">
        <f>100*(O80-O79)</f>
        <v/>
      </c>
      <c r="P214" s="21">
        <f>100*(P80-P79)</f>
        <v/>
      </c>
      <c r="Q214" s="21">
        <f>100*(Q80-Q79)</f>
        <v/>
      </c>
      <c r="R214" s="21">
        <f>100*(R80-R79)</f>
        <v/>
      </c>
      <c r="S214" s="21">
        <f>100*(S80-S79)</f>
        <v/>
      </c>
      <c r="T214" s="21">
        <f>100*(T80-T79)</f>
        <v/>
      </c>
      <c r="U214" s="21">
        <f>100*(U80-U79)</f>
        <v/>
      </c>
      <c r="V214" s="21">
        <f>100*(V80-V79)</f>
        <v/>
      </c>
      <c r="W214" s="21">
        <f>100*(W80-W79)</f>
        <v/>
      </c>
      <c r="X214" s="21">
        <f>100*(X80-X79)</f>
        <v/>
      </c>
      <c r="Y214" s="21">
        <f>100*(Y80-Y79)</f>
        <v/>
      </c>
      <c r="Z214" s="21">
        <f>100*(Z80-Z79)</f>
        <v/>
      </c>
      <c r="AA214" s="21">
        <f>100*(AA80-AA79)</f>
        <v/>
      </c>
      <c r="AB214" s="21">
        <f>100*(AB80-AB79)</f>
        <v/>
      </c>
      <c r="AC214" s="21">
        <f>100*(AC80-AC79)</f>
        <v/>
      </c>
      <c r="AD214" s="21">
        <f>100*(AD80-AD79)</f>
        <v/>
      </c>
      <c r="AE214" s="21">
        <f>100*(AE80-AE79)</f>
        <v/>
      </c>
      <c r="AF214" s="21">
        <f>100*(AF80-AF79)</f>
        <v/>
      </c>
      <c r="AG214" s="21">
        <f>100*(AG80-AG79)</f>
        <v/>
      </c>
      <c r="AH214" s="21">
        <f>100*(AH80-AH79)</f>
        <v/>
      </c>
      <c r="AI214" s="21">
        <f>100*(AI80-AI79)</f>
        <v/>
      </c>
      <c r="AJ214" s="21">
        <f>100*(AJ80-AJ79)</f>
        <v/>
      </c>
      <c r="AK214" s="21">
        <f>100*(AK80-AK79)</f>
        <v/>
      </c>
      <c r="AL214" s="21">
        <f>100*(AL80-AL79)</f>
        <v/>
      </c>
      <c r="AM214" s="21">
        <f>100*(AM80-AM79)</f>
        <v/>
      </c>
      <c r="AN214" s="21">
        <f>100*(AN80-AN79)</f>
        <v/>
      </c>
      <c r="AO214" s="21">
        <f>100*(AO80-AO79)</f>
        <v/>
      </c>
      <c r="AP214" s="21">
        <f>100*(AP80-AP79)</f>
        <v/>
      </c>
      <c r="AQ214" s="21">
        <f>100*(AQ80-AQ79)</f>
        <v/>
      </c>
      <c r="AR214" s="21">
        <f>100*(AR80-AR79)</f>
        <v/>
      </c>
      <c r="AS214" s="21">
        <f>100*(AS80-AS79)</f>
        <v/>
      </c>
      <c r="AT214" s="21">
        <f>100*(AT80-AT79)</f>
        <v/>
      </c>
      <c r="AU214" s="21">
        <f>100*(AU80-AU79)</f>
        <v/>
      </c>
      <c r="AV214" s="21">
        <f>100*(AV80-AV79)</f>
        <v/>
      </c>
      <c r="AW214" s="21">
        <f>100*(AW80-AW79)</f>
        <v/>
      </c>
      <c r="AX214" s="21">
        <f>100*(AX80-AX79)</f>
        <v/>
      </c>
      <c r="AY214" s="21">
        <f>100*(AY80-AY79)</f>
        <v/>
      </c>
      <c r="AZ214" s="21">
        <f>100*(AZ80-AZ79)</f>
        <v/>
      </c>
      <c r="BA214" s="21">
        <f>100*(BA80-BA79)</f>
        <v/>
      </c>
      <c r="BB214" s="21">
        <f>100*(BB80-BB79)</f>
        <v/>
      </c>
      <c r="BC214" s="21">
        <f>100*(BC80-BC79)</f>
        <v/>
      </c>
      <c r="BD214" s="21">
        <f>100*(BD80-BD79)</f>
        <v/>
      </c>
      <c r="BE214" s="21">
        <f>100*(BE80-BE79)</f>
        <v/>
      </c>
      <c r="BF214" s="21">
        <f>100*(BF80-BF79)</f>
        <v/>
      </c>
      <c r="BG214" s="21">
        <f>100*(BG80-BG79)</f>
        <v/>
      </c>
      <c r="BH214" s="21">
        <f>AVERAGE(C214:BG214)</f>
        <v/>
      </c>
    </row>
    <row r="215">
      <c r="A215" s="19">
        <f>A81</f>
        <v/>
      </c>
      <c r="B215" s="20">
        <f>B81</f>
        <v/>
      </c>
      <c r="C215" s="21">
        <f>100*(C81-C80)</f>
        <v/>
      </c>
      <c r="D215" s="21">
        <f>100*(D81-D80)</f>
        <v/>
      </c>
      <c r="E215" s="21">
        <f>100*(E81-E80)</f>
        <v/>
      </c>
      <c r="F215" s="21">
        <f>100*(F81-F80)</f>
        <v/>
      </c>
      <c r="G215" s="21">
        <f>100*(G81-G80)</f>
        <v/>
      </c>
      <c r="H215" s="21">
        <f>100*(H81-H80)</f>
        <v/>
      </c>
      <c r="I215" s="21">
        <f>100*(I81-I80)</f>
        <v/>
      </c>
      <c r="J215" s="21">
        <f>100*(J81-J80)</f>
        <v/>
      </c>
      <c r="K215" s="21">
        <f>100*(K81-K80)</f>
        <v/>
      </c>
      <c r="L215" s="21">
        <f>100*(L81-L80)</f>
        <v/>
      </c>
      <c r="M215" s="21">
        <f>100*(M81-M80)</f>
        <v/>
      </c>
      <c r="N215" s="21">
        <f>100*(N81-N80)</f>
        <v/>
      </c>
      <c r="O215" s="21">
        <f>100*(O81-O80)</f>
        <v/>
      </c>
      <c r="P215" s="21">
        <f>100*(P81-P80)</f>
        <v/>
      </c>
      <c r="Q215" s="21">
        <f>100*(Q81-Q80)</f>
        <v/>
      </c>
      <c r="R215" s="21">
        <f>100*(R81-R80)</f>
        <v/>
      </c>
      <c r="S215" s="21">
        <f>100*(S81-S80)</f>
        <v/>
      </c>
      <c r="T215" s="21">
        <f>100*(T81-T80)</f>
        <v/>
      </c>
      <c r="U215" s="21">
        <f>100*(U81-U80)</f>
        <v/>
      </c>
      <c r="V215" s="21">
        <f>100*(V81-V80)</f>
        <v/>
      </c>
      <c r="W215" s="21">
        <f>100*(W81-W80)</f>
        <v/>
      </c>
      <c r="X215" s="21">
        <f>100*(X81-X80)</f>
        <v/>
      </c>
      <c r="Y215" s="21">
        <f>100*(Y81-Y80)</f>
        <v/>
      </c>
      <c r="Z215" s="21">
        <f>100*(Z81-Z80)</f>
        <v/>
      </c>
      <c r="AA215" s="21">
        <f>100*(AA81-AA80)</f>
        <v/>
      </c>
      <c r="AB215" s="21">
        <f>100*(AB81-AB80)</f>
        <v/>
      </c>
      <c r="AC215" s="21">
        <f>100*(AC81-AC80)</f>
        <v/>
      </c>
      <c r="AD215" s="21">
        <f>100*(AD81-AD80)</f>
        <v/>
      </c>
      <c r="AE215" s="21">
        <f>100*(AE81-AE80)</f>
        <v/>
      </c>
      <c r="AF215" s="21">
        <f>100*(AF81-AF80)</f>
        <v/>
      </c>
      <c r="AG215" s="21">
        <f>100*(AG81-AG80)</f>
        <v/>
      </c>
      <c r="AH215" s="21">
        <f>100*(AH81-AH80)</f>
        <v/>
      </c>
      <c r="AI215" s="21">
        <f>100*(AI81-AI80)</f>
        <v/>
      </c>
      <c r="AJ215" s="21">
        <f>100*(AJ81-AJ80)</f>
        <v/>
      </c>
      <c r="AK215" s="21">
        <f>100*(AK81-AK80)</f>
        <v/>
      </c>
      <c r="AL215" s="21">
        <f>100*(AL81-AL80)</f>
        <v/>
      </c>
      <c r="AM215" s="21">
        <f>100*(AM81-AM80)</f>
        <v/>
      </c>
      <c r="AN215" s="21">
        <f>100*(AN81-AN80)</f>
        <v/>
      </c>
      <c r="AO215" s="21">
        <f>100*(AO81-AO80)</f>
        <v/>
      </c>
      <c r="AP215" s="21">
        <f>100*(AP81-AP80)</f>
        <v/>
      </c>
      <c r="AQ215" s="21">
        <f>100*(AQ81-AQ80)</f>
        <v/>
      </c>
      <c r="AR215" s="21">
        <f>100*(AR81-AR80)</f>
        <v/>
      </c>
      <c r="AS215" s="21">
        <f>100*(AS81-AS80)</f>
        <v/>
      </c>
      <c r="AT215" s="21">
        <f>100*(AT81-AT80)</f>
        <v/>
      </c>
      <c r="AU215" s="21">
        <f>100*(AU81-AU80)</f>
        <v/>
      </c>
      <c r="AV215" s="21">
        <f>100*(AV81-AV80)</f>
        <v/>
      </c>
      <c r="AW215" s="21">
        <f>100*(AW81-AW80)</f>
        <v/>
      </c>
      <c r="AX215" s="21">
        <f>100*(AX81-AX80)</f>
        <v/>
      </c>
      <c r="AY215" s="21">
        <f>100*(AY81-AY80)</f>
        <v/>
      </c>
      <c r="AZ215" s="21">
        <f>100*(AZ81-AZ80)</f>
        <v/>
      </c>
      <c r="BA215" s="21">
        <f>100*(BA81-BA80)</f>
        <v/>
      </c>
      <c r="BB215" s="21">
        <f>100*(BB81-BB80)</f>
        <v/>
      </c>
      <c r="BC215" s="21">
        <f>100*(BC81-BC80)</f>
        <v/>
      </c>
      <c r="BD215" s="21">
        <f>100*(BD81-BD80)</f>
        <v/>
      </c>
      <c r="BE215" s="21">
        <f>100*(BE81-BE80)</f>
        <v/>
      </c>
      <c r="BF215" s="21">
        <f>100*(BF81-BF80)</f>
        <v/>
      </c>
      <c r="BG215" s="21">
        <f>100*(BG81-BG80)</f>
        <v/>
      </c>
      <c r="BH215" s="21">
        <f>AVERAGE(C215:BG215)</f>
        <v/>
      </c>
    </row>
    <row r="216">
      <c r="A216" s="19">
        <f>A82</f>
        <v/>
      </c>
      <c r="B216" s="20">
        <f>B82</f>
        <v/>
      </c>
      <c r="C216" s="21">
        <f>100*(C82-C81)</f>
        <v/>
      </c>
      <c r="D216" s="21">
        <f>100*(D82-D81)</f>
        <v/>
      </c>
      <c r="E216" s="21">
        <f>100*(E82-E81)</f>
        <v/>
      </c>
      <c r="F216" s="21">
        <f>100*(F82-F81)</f>
        <v/>
      </c>
      <c r="G216" s="21">
        <f>100*(G82-G81)</f>
        <v/>
      </c>
      <c r="H216" s="21">
        <f>100*(H82-H81)</f>
        <v/>
      </c>
      <c r="I216" s="21">
        <f>100*(I82-I81)</f>
        <v/>
      </c>
      <c r="J216" s="21">
        <f>100*(J82-J81)</f>
        <v/>
      </c>
      <c r="K216" s="21">
        <f>100*(K82-K81)</f>
        <v/>
      </c>
      <c r="L216" s="21">
        <f>100*(L82-L81)</f>
        <v/>
      </c>
      <c r="M216" s="21">
        <f>100*(M82-M81)</f>
        <v/>
      </c>
      <c r="N216" s="21">
        <f>100*(N82-N81)</f>
        <v/>
      </c>
      <c r="O216" s="21">
        <f>100*(O82-O81)</f>
        <v/>
      </c>
      <c r="P216" s="21">
        <f>100*(P82-P81)</f>
        <v/>
      </c>
      <c r="Q216" s="21">
        <f>100*(Q82-Q81)</f>
        <v/>
      </c>
      <c r="R216" s="21">
        <f>100*(R82-R81)</f>
        <v/>
      </c>
      <c r="S216" s="21">
        <f>100*(S82-S81)</f>
        <v/>
      </c>
      <c r="T216" s="21">
        <f>100*(T82-T81)</f>
        <v/>
      </c>
      <c r="U216" s="21">
        <f>100*(U82-U81)</f>
        <v/>
      </c>
      <c r="V216" s="21">
        <f>100*(V82-V81)</f>
        <v/>
      </c>
      <c r="W216" s="21">
        <f>100*(W82-W81)</f>
        <v/>
      </c>
      <c r="X216" s="21">
        <f>100*(X82-X81)</f>
        <v/>
      </c>
      <c r="Y216" s="21">
        <f>100*(Y82-Y81)</f>
        <v/>
      </c>
      <c r="Z216" s="21">
        <f>100*(Z82-Z81)</f>
        <v/>
      </c>
      <c r="AA216" s="21">
        <f>100*(AA82-AA81)</f>
        <v/>
      </c>
      <c r="AB216" s="21">
        <f>100*(AB82-AB81)</f>
        <v/>
      </c>
      <c r="AC216" s="21">
        <f>100*(AC82-AC81)</f>
        <v/>
      </c>
      <c r="AD216" s="21">
        <f>100*(AD82-AD81)</f>
        <v/>
      </c>
      <c r="AE216" s="21">
        <f>100*(AE82-AE81)</f>
        <v/>
      </c>
      <c r="AF216" s="21">
        <f>100*(AF82-AF81)</f>
        <v/>
      </c>
      <c r="AG216" s="21">
        <f>100*(AG82-AG81)</f>
        <v/>
      </c>
      <c r="AH216" s="21">
        <f>100*(AH82-AH81)</f>
        <v/>
      </c>
      <c r="AI216" s="21">
        <f>100*(AI82-AI81)</f>
        <v/>
      </c>
      <c r="AJ216" s="21">
        <f>100*(AJ82-AJ81)</f>
        <v/>
      </c>
      <c r="AK216" s="21">
        <f>100*(AK82-AK81)</f>
        <v/>
      </c>
      <c r="AL216" s="21">
        <f>100*(AL82-AL81)</f>
        <v/>
      </c>
      <c r="AM216" s="21">
        <f>100*(AM82-AM81)</f>
        <v/>
      </c>
      <c r="AN216" s="21">
        <f>100*(AN82-AN81)</f>
        <v/>
      </c>
      <c r="AO216" s="21">
        <f>100*(AO82-AO81)</f>
        <v/>
      </c>
      <c r="AP216" s="21">
        <f>100*(AP82-AP81)</f>
        <v/>
      </c>
      <c r="AQ216" s="21">
        <f>100*(AQ82-AQ81)</f>
        <v/>
      </c>
      <c r="AR216" s="21">
        <f>100*(AR82-AR81)</f>
        <v/>
      </c>
      <c r="AS216" s="21">
        <f>100*(AS82-AS81)</f>
        <v/>
      </c>
      <c r="AT216" s="21">
        <f>100*(AT82-AT81)</f>
        <v/>
      </c>
      <c r="AU216" s="21">
        <f>100*(AU82-AU81)</f>
        <v/>
      </c>
      <c r="AV216" s="21">
        <f>100*(AV82-AV81)</f>
        <v/>
      </c>
      <c r="AW216" s="21">
        <f>100*(AW82-AW81)</f>
        <v/>
      </c>
      <c r="AX216" s="21">
        <f>100*(AX82-AX81)</f>
        <v/>
      </c>
      <c r="AY216" s="21">
        <f>100*(AY82-AY81)</f>
        <v/>
      </c>
      <c r="AZ216" s="21">
        <f>100*(AZ82-AZ81)</f>
        <v/>
      </c>
      <c r="BA216" s="21">
        <f>100*(BA82-BA81)</f>
        <v/>
      </c>
      <c r="BB216" s="21">
        <f>100*(BB82-BB81)</f>
        <v/>
      </c>
      <c r="BC216" s="21">
        <f>100*(BC82-BC81)</f>
        <v/>
      </c>
      <c r="BD216" s="21">
        <f>100*(BD82-BD81)</f>
        <v/>
      </c>
      <c r="BE216" s="21">
        <f>100*(BE82-BE81)</f>
        <v/>
      </c>
      <c r="BF216" s="21">
        <f>100*(BF82-BF81)</f>
        <v/>
      </c>
      <c r="BG216" s="21">
        <f>100*(BG82-BG81)</f>
        <v/>
      </c>
      <c r="BH216" s="21">
        <f>AVERAGE(C216:BG216)</f>
        <v/>
      </c>
    </row>
    <row r="217">
      <c r="A217" s="19">
        <f>A83</f>
        <v/>
      </c>
      <c r="B217" s="20">
        <f>B83</f>
        <v/>
      </c>
      <c r="C217" s="21">
        <f>100*(C83-C82)</f>
        <v/>
      </c>
      <c r="D217" s="21">
        <f>100*(D83-D82)</f>
        <v/>
      </c>
      <c r="E217" s="21">
        <f>100*(E83-E82)</f>
        <v/>
      </c>
      <c r="F217" s="21">
        <f>100*(F83-F82)</f>
        <v/>
      </c>
      <c r="G217" s="21">
        <f>100*(G83-G82)</f>
        <v/>
      </c>
      <c r="H217" s="21">
        <f>100*(H83-H82)</f>
        <v/>
      </c>
      <c r="I217" s="21">
        <f>100*(I83-I82)</f>
        <v/>
      </c>
      <c r="J217" s="21">
        <f>100*(J83-J82)</f>
        <v/>
      </c>
      <c r="K217" s="21">
        <f>100*(K83-K82)</f>
        <v/>
      </c>
      <c r="L217" s="21">
        <f>100*(L83-L82)</f>
        <v/>
      </c>
      <c r="M217" s="21">
        <f>100*(M83-M82)</f>
        <v/>
      </c>
      <c r="N217" s="21">
        <f>100*(N83-N82)</f>
        <v/>
      </c>
      <c r="O217" s="21">
        <f>100*(O83-O82)</f>
        <v/>
      </c>
      <c r="P217" s="21">
        <f>100*(P83-P82)</f>
        <v/>
      </c>
      <c r="Q217" s="21">
        <f>100*(Q83-Q82)</f>
        <v/>
      </c>
      <c r="R217" s="21">
        <f>100*(R83-R82)</f>
        <v/>
      </c>
      <c r="S217" s="21">
        <f>100*(S83-S82)</f>
        <v/>
      </c>
      <c r="T217" s="21">
        <f>100*(T83-T82)</f>
        <v/>
      </c>
      <c r="U217" s="21">
        <f>100*(U83-U82)</f>
        <v/>
      </c>
      <c r="V217" s="21">
        <f>100*(V83-V82)</f>
        <v/>
      </c>
      <c r="W217" s="21">
        <f>100*(W83-W82)</f>
        <v/>
      </c>
      <c r="X217" s="21">
        <f>100*(X83-X82)</f>
        <v/>
      </c>
      <c r="Y217" s="21">
        <f>100*(Y83-Y82)</f>
        <v/>
      </c>
      <c r="Z217" s="21">
        <f>100*(Z83-Z82)</f>
        <v/>
      </c>
      <c r="AA217" s="21">
        <f>100*(AA83-AA82)</f>
        <v/>
      </c>
      <c r="AB217" s="21">
        <f>100*(AB83-AB82)</f>
        <v/>
      </c>
      <c r="AC217" s="21">
        <f>100*(AC83-AC82)</f>
        <v/>
      </c>
      <c r="AD217" s="21">
        <f>100*(AD83-AD82)</f>
        <v/>
      </c>
      <c r="AE217" s="21">
        <f>100*(AE83-AE82)</f>
        <v/>
      </c>
      <c r="AF217" s="21">
        <f>100*(AF83-AF82)</f>
        <v/>
      </c>
      <c r="AG217" s="21">
        <f>100*(AG83-AG82)</f>
        <v/>
      </c>
      <c r="AH217" s="21">
        <f>100*(AH83-AH82)</f>
        <v/>
      </c>
      <c r="AI217" s="21">
        <f>100*(AI83-AI82)</f>
        <v/>
      </c>
      <c r="AJ217" s="21">
        <f>100*(AJ83-AJ82)</f>
        <v/>
      </c>
      <c r="AK217" s="21">
        <f>100*(AK83-AK82)</f>
        <v/>
      </c>
      <c r="AL217" s="21">
        <f>100*(AL83-AL82)</f>
        <v/>
      </c>
      <c r="AM217" s="21">
        <f>100*(AM83-AM82)</f>
        <v/>
      </c>
      <c r="AN217" s="21">
        <f>100*(AN83-AN82)</f>
        <v/>
      </c>
      <c r="AO217" s="21">
        <f>100*(AO83-AO82)</f>
        <v/>
      </c>
      <c r="AP217" s="21">
        <f>100*(AP83-AP82)</f>
        <v/>
      </c>
      <c r="AQ217" s="21">
        <f>100*(AQ83-AQ82)</f>
        <v/>
      </c>
      <c r="AR217" s="21">
        <f>100*(AR83-AR82)</f>
        <v/>
      </c>
      <c r="AS217" s="21">
        <f>100*(AS83-AS82)</f>
        <v/>
      </c>
      <c r="AT217" s="21">
        <f>100*(AT83-AT82)</f>
        <v/>
      </c>
      <c r="AU217" s="21">
        <f>100*(AU83-AU82)</f>
        <v/>
      </c>
      <c r="AV217" s="21">
        <f>100*(AV83-AV82)</f>
        <v/>
      </c>
      <c r="AW217" s="21">
        <f>100*(AW83-AW82)</f>
        <v/>
      </c>
      <c r="AX217" s="21">
        <f>100*(AX83-AX82)</f>
        <v/>
      </c>
      <c r="AY217" s="21">
        <f>100*(AY83-AY82)</f>
        <v/>
      </c>
      <c r="AZ217" s="21">
        <f>100*(AZ83-AZ82)</f>
        <v/>
      </c>
      <c r="BA217" s="21">
        <f>100*(BA83-BA82)</f>
        <v/>
      </c>
      <c r="BB217" s="21">
        <f>100*(BB83-BB82)</f>
        <v/>
      </c>
      <c r="BC217" s="21">
        <f>100*(BC83-BC82)</f>
        <v/>
      </c>
      <c r="BD217" s="21">
        <f>100*(BD83-BD82)</f>
        <v/>
      </c>
      <c r="BE217" s="21">
        <f>100*(BE83-BE82)</f>
        <v/>
      </c>
      <c r="BF217" s="21">
        <f>100*(BF83-BF82)</f>
        <v/>
      </c>
      <c r="BG217" s="21">
        <f>100*(BG83-BG82)</f>
        <v/>
      </c>
      <c r="BH217" s="21">
        <f>AVERAGE(C217:BG217)</f>
        <v/>
      </c>
    </row>
    <row r="218">
      <c r="A218" s="19">
        <f>A84</f>
        <v/>
      </c>
      <c r="B218" s="20">
        <f>B84</f>
        <v/>
      </c>
      <c r="C218" s="21">
        <f>100*(C84-C83)</f>
        <v/>
      </c>
      <c r="D218" s="21">
        <f>100*(D84-D83)</f>
        <v/>
      </c>
      <c r="E218" s="21">
        <f>100*(E84-E83)</f>
        <v/>
      </c>
      <c r="F218" s="21">
        <f>100*(F84-F83)</f>
        <v/>
      </c>
      <c r="G218" s="21">
        <f>100*(G84-G83)</f>
        <v/>
      </c>
      <c r="H218" s="21">
        <f>100*(H84-H83)</f>
        <v/>
      </c>
      <c r="I218" s="21">
        <f>100*(I84-I83)</f>
        <v/>
      </c>
      <c r="J218" s="21">
        <f>100*(J84-J83)</f>
        <v/>
      </c>
      <c r="K218" s="21">
        <f>100*(K84-K83)</f>
        <v/>
      </c>
      <c r="L218" s="21">
        <f>100*(L84-L83)</f>
        <v/>
      </c>
      <c r="M218" s="21">
        <f>100*(M84-M83)</f>
        <v/>
      </c>
      <c r="N218" s="21">
        <f>100*(N84-N83)</f>
        <v/>
      </c>
      <c r="O218" s="21">
        <f>100*(O84-O83)</f>
        <v/>
      </c>
      <c r="P218" s="21">
        <f>100*(P84-P83)</f>
        <v/>
      </c>
      <c r="Q218" s="21">
        <f>100*(Q84-Q83)</f>
        <v/>
      </c>
      <c r="R218" s="21">
        <f>100*(R84-R83)</f>
        <v/>
      </c>
      <c r="S218" s="21">
        <f>100*(S84-S83)</f>
        <v/>
      </c>
      <c r="T218" s="21">
        <f>100*(T84-T83)</f>
        <v/>
      </c>
      <c r="U218" s="21">
        <f>100*(U84-U83)</f>
        <v/>
      </c>
      <c r="V218" s="21">
        <f>100*(V84-V83)</f>
        <v/>
      </c>
      <c r="W218" s="21">
        <f>100*(W84-W83)</f>
        <v/>
      </c>
      <c r="X218" s="21">
        <f>100*(X84-X83)</f>
        <v/>
      </c>
      <c r="Y218" s="21">
        <f>100*(Y84-Y83)</f>
        <v/>
      </c>
      <c r="Z218" s="21">
        <f>100*(Z84-Z83)</f>
        <v/>
      </c>
      <c r="AA218" s="21">
        <f>100*(AA84-AA83)</f>
        <v/>
      </c>
      <c r="AB218" s="21">
        <f>100*(AB84-AB83)</f>
        <v/>
      </c>
      <c r="AC218" s="21">
        <f>100*(AC84-AC83)</f>
        <v/>
      </c>
      <c r="AD218" s="21">
        <f>100*(AD84-AD83)</f>
        <v/>
      </c>
      <c r="AE218" s="21">
        <f>100*(AE84-AE83)</f>
        <v/>
      </c>
      <c r="AF218" s="21">
        <f>100*(AF84-AF83)</f>
        <v/>
      </c>
      <c r="AG218" s="21">
        <f>100*(AG84-AG83)</f>
        <v/>
      </c>
      <c r="AH218" s="21">
        <f>100*(AH84-AH83)</f>
        <v/>
      </c>
      <c r="AI218" s="21">
        <f>100*(AI84-AI83)</f>
        <v/>
      </c>
      <c r="AJ218" s="21">
        <f>100*(AJ84-AJ83)</f>
        <v/>
      </c>
      <c r="AK218" s="21">
        <f>100*(AK84-AK83)</f>
        <v/>
      </c>
      <c r="AL218" s="21">
        <f>100*(AL84-AL83)</f>
        <v/>
      </c>
      <c r="AM218" s="21">
        <f>100*(AM84-AM83)</f>
        <v/>
      </c>
      <c r="AN218" s="21">
        <f>100*(AN84-AN83)</f>
        <v/>
      </c>
      <c r="AO218" s="21">
        <f>100*(AO84-AO83)</f>
        <v/>
      </c>
      <c r="AP218" s="21">
        <f>100*(AP84-AP83)</f>
        <v/>
      </c>
      <c r="AQ218" s="21">
        <f>100*(AQ84-AQ83)</f>
        <v/>
      </c>
      <c r="AR218" s="21">
        <f>100*(AR84-AR83)</f>
        <v/>
      </c>
      <c r="AS218" s="21">
        <f>100*(AS84-AS83)</f>
        <v/>
      </c>
      <c r="AT218" s="21">
        <f>100*(AT84-AT83)</f>
        <v/>
      </c>
      <c r="AU218" s="21">
        <f>100*(AU84-AU83)</f>
        <v/>
      </c>
      <c r="AV218" s="21">
        <f>100*(AV84-AV83)</f>
        <v/>
      </c>
      <c r="AW218" s="21">
        <f>100*(AW84-AW83)</f>
        <v/>
      </c>
      <c r="AX218" s="21">
        <f>100*(AX84-AX83)</f>
        <v/>
      </c>
      <c r="AY218" s="21">
        <f>100*(AY84-AY83)</f>
        <v/>
      </c>
      <c r="AZ218" s="21">
        <f>100*(AZ84-AZ83)</f>
        <v/>
      </c>
      <c r="BA218" s="21">
        <f>100*(BA84-BA83)</f>
        <v/>
      </c>
      <c r="BB218" s="21">
        <f>100*(BB84-BB83)</f>
        <v/>
      </c>
      <c r="BC218" s="21">
        <f>100*(BC84-BC83)</f>
        <v/>
      </c>
      <c r="BD218" s="21">
        <f>100*(BD84-BD83)</f>
        <v/>
      </c>
      <c r="BE218" s="21">
        <f>100*(BE84-BE83)</f>
        <v/>
      </c>
      <c r="BF218" s="21">
        <f>100*(BF84-BF83)</f>
        <v/>
      </c>
      <c r="BG218" s="21">
        <f>100*(BG84-BG83)</f>
        <v/>
      </c>
      <c r="BH218" s="21">
        <f>AVERAGE(C218:BG218)</f>
        <v/>
      </c>
    </row>
    <row r="219">
      <c r="A219" s="19">
        <f>A85</f>
        <v/>
      </c>
      <c r="B219" s="20">
        <f>B85</f>
        <v/>
      </c>
      <c r="C219" s="21">
        <f>100*(C85-C84)</f>
        <v/>
      </c>
      <c r="D219" s="21">
        <f>100*(D85-D84)</f>
        <v/>
      </c>
      <c r="E219" s="21">
        <f>100*(E85-E84)</f>
        <v/>
      </c>
      <c r="F219" s="21">
        <f>100*(F85-F84)</f>
        <v/>
      </c>
      <c r="G219" s="21">
        <f>100*(G85-G84)</f>
        <v/>
      </c>
      <c r="H219" s="21">
        <f>100*(H85-H84)</f>
        <v/>
      </c>
      <c r="I219" s="21">
        <f>100*(I85-I84)</f>
        <v/>
      </c>
      <c r="J219" s="21">
        <f>100*(J85-J84)</f>
        <v/>
      </c>
      <c r="K219" s="21">
        <f>100*(K85-K84)</f>
        <v/>
      </c>
      <c r="L219" s="21">
        <f>100*(L85-L84)</f>
        <v/>
      </c>
      <c r="M219" s="21">
        <f>100*(M85-M84)</f>
        <v/>
      </c>
      <c r="N219" s="21">
        <f>100*(N85-N84)</f>
        <v/>
      </c>
      <c r="O219" s="21">
        <f>100*(O85-O84)</f>
        <v/>
      </c>
      <c r="P219" s="21">
        <f>100*(P85-P84)</f>
        <v/>
      </c>
      <c r="Q219" s="21">
        <f>100*(Q85-Q84)</f>
        <v/>
      </c>
      <c r="R219" s="21">
        <f>100*(R85-R84)</f>
        <v/>
      </c>
      <c r="S219" s="21">
        <f>100*(S85-S84)</f>
        <v/>
      </c>
      <c r="T219" s="21">
        <f>100*(T85-T84)</f>
        <v/>
      </c>
      <c r="U219" s="21">
        <f>100*(U85-U84)</f>
        <v/>
      </c>
      <c r="V219" s="21">
        <f>100*(V85-V84)</f>
        <v/>
      </c>
      <c r="W219" s="21">
        <f>100*(W85-W84)</f>
        <v/>
      </c>
      <c r="X219" s="21">
        <f>100*(X85-X84)</f>
        <v/>
      </c>
      <c r="Y219" s="21">
        <f>100*(Y85-Y84)</f>
        <v/>
      </c>
      <c r="Z219" s="21">
        <f>100*(Z85-Z84)</f>
        <v/>
      </c>
      <c r="AA219" s="21">
        <f>100*(AA85-AA84)</f>
        <v/>
      </c>
      <c r="AB219" s="21">
        <f>100*(AB85-AB84)</f>
        <v/>
      </c>
      <c r="AC219" s="21">
        <f>100*(AC85-AC84)</f>
        <v/>
      </c>
      <c r="AD219" s="21">
        <f>100*(AD85-AD84)</f>
        <v/>
      </c>
      <c r="AE219" s="21">
        <f>100*(AE85-AE84)</f>
        <v/>
      </c>
      <c r="AF219" s="21">
        <f>100*(AF85-AF84)</f>
        <v/>
      </c>
      <c r="AG219" s="21">
        <f>100*(AG85-AG84)</f>
        <v/>
      </c>
      <c r="AH219" s="21">
        <f>100*(AH85-AH84)</f>
        <v/>
      </c>
      <c r="AI219" s="21">
        <f>100*(AI85-AI84)</f>
        <v/>
      </c>
      <c r="AJ219" s="21">
        <f>100*(AJ85-AJ84)</f>
        <v/>
      </c>
      <c r="AK219" s="21">
        <f>100*(AK85-AK84)</f>
        <v/>
      </c>
      <c r="AL219" s="21">
        <f>100*(AL85-AL84)</f>
        <v/>
      </c>
      <c r="AM219" s="21">
        <f>100*(AM85-AM84)</f>
        <v/>
      </c>
      <c r="AN219" s="21">
        <f>100*(AN85-AN84)</f>
        <v/>
      </c>
      <c r="AO219" s="21">
        <f>100*(AO85-AO84)</f>
        <v/>
      </c>
      <c r="AP219" s="21">
        <f>100*(AP85-AP84)</f>
        <v/>
      </c>
      <c r="AQ219" s="21">
        <f>100*(AQ85-AQ84)</f>
        <v/>
      </c>
      <c r="AR219" s="21">
        <f>100*(AR85-AR84)</f>
        <v/>
      </c>
      <c r="AS219" s="21">
        <f>100*(AS85-AS84)</f>
        <v/>
      </c>
      <c r="AT219" s="21">
        <f>100*(AT85-AT84)</f>
        <v/>
      </c>
      <c r="AU219" s="21">
        <f>100*(AU85-AU84)</f>
        <v/>
      </c>
      <c r="AV219" s="21">
        <f>100*(AV85-AV84)</f>
        <v/>
      </c>
      <c r="AW219" s="21">
        <f>100*(AW85-AW84)</f>
        <v/>
      </c>
      <c r="AX219" s="21">
        <f>100*(AX85-AX84)</f>
        <v/>
      </c>
      <c r="AY219" s="21">
        <f>100*(AY85-AY84)</f>
        <v/>
      </c>
      <c r="AZ219" s="21">
        <f>100*(AZ85-AZ84)</f>
        <v/>
      </c>
      <c r="BA219" s="21">
        <f>100*(BA85-BA84)</f>
        <v/>
      </c>
      <c r="BB219" s="21">
        <f>100*(BB85-BB84)</f>
        <v/>
      </c>
      <c r="BC219" s="21">
        <f>100*(BC85-BC84)</f>
        <v/>
      </c>
      <c r="BD219" s="21">
        <f>100*(BD85-BD84)</f>
        <v/>
      </c>
      <c r="BE219" s="21">
        <f>100*(BE85-BE84)</f>
        <v/>
      </c>
      <c r="BF219" s="21">
        <f>100*(BF85-BF84)</f>
        <v/>
      </c>
      <c r="BG219" s="21">
        <f>100*(BG85-BG84)</f>
        <v/>
      </c>
      <c r="BH219" s="21">
        <f>AVERAGE(C219:BG219)</f>
        <v/>
      </c>
    </row>
    <row r="220">
      <c r="A220" s="19">
        <f>A86</f>
        <v/>
      </c>
      <c r="B220" s="20">
        <f>B86</f>
        <v/>
      </c>
      <c r="C220" s="21">
        <f>100*(C86-C85)</f>
        <v/>
      </c>
      <c r="D220" s="21">
        <f>100*(D86-D85)</f>
        <v/>
      </c>
      <c r="E220" s="21">
        <f>100*(E86-E85)</f>
        <v/>
      </c>
      <c r="F220" s="21">
        <f>100*(F86-F85)</f>
        <v/>
      </c>
      <c r="G220" s="21">
        <f>100*(G86-G85)</f>
        <v/>
      </c>
      <c r="H220" s="21">
        <f>100*(H86-H85)</f>
        <v/>
      </c>
      <c r="I220" s="21">
        <f>100*(I86-I85)</f>
        <v/>
      </c>
      <c r="J220" s="21">
        <f>100*(J86-J85)</f>
        <v/>
      </c>
      <c r="K220" s="21">
        <f>100*(K86-K85)</f>
        <v/>
      </c>
      <c r="L220" s="21">
        <f>100*(L86-L85)</f>
        <v/>
      </c>
      <c r="M220" s="21">
        <f>100*(M86-M85)</f>
        <v/>
      </c>
      <c r="N220" s="21">
        <f>100*(N86-N85)</f>
        <v/>
      </c>
      <c r="O220" s="21">
        <f>100*(O86-O85)</f>
        <v/>
      </c>
      <c r="P220" s="21">
        <f>100*(P86-P85)</f>
        <v/>
      </c>
      <c r="Q220" s="21">
        <f>100*(Q86-Q85)</f>
        <v/>
      </c>
      <c r="R220" s="21">
        <f>100*(R86-R85)</f>
        <v/>
      </c>
      <c r="S220" s="21">
        <f>100*(S86-S85)</f>
        <v/>
      </c>
      <c r="T220" s="21">
        <f>100*(T86-T85)</f>
        <v/>
      </c>
      <c r="U220" s="21">
        <f>100*(U86-U85)</f>
        <v/>
      </c>
      <c r="V220" s="21">
        <f>100*(V86-V85)</f>
        <v/>
      </c>
      <c r="W220" s="21">
        <f>100*(W86-W85)</f>
        <v/>
      </c>
      <c r="X220" s="21">
        <f>100*(X86-X85)</f>
        <v/>
      </c>
      <c r="Y220" s="21">
        <f>100*(Y86-Y85)</f>
        <v/>
      </c>
      <c r="Z220" s="21">
        <f>100*(Z86-Z85)</f>
        <v/>
      </c>
      <c r="AA220" s="21">
        <f>100*(AA86-AA85)</f>
        <v/>
      </c>
      <c r="AB220" s="21">
        <f>100*(AB86-AB85)</f>
        <v/>
      </c>
      <c r="AC220" s="21">
        <f>100*(AC86-AC85)</f>
        <v/>
      </c>
      <c r="AD220" s="21">
        <f>100*(AD86-AD85)</f>
        <v/>
      </c>
      <c r="AE220" s="21">
        <f>100*(AE86-AE85)</f>
        <v/>
      </c>
      <c r="AF220" s="21">
        <f>100*(AF86-AF85)</f>
        <v/>
      </c>
      <c r="AG220" s="21">
        <f>100*(AG86-AG85)</f>
        <v/>
      </c>
      <c r="AH220" s="21">
        <f>100*(AH86-AH85)</f>
        <v/>
      </c>
      <c r="AI220" s="21">
        <f>100*(AI86-AI85)</f>
        <v/>
      </c>
      <c r="AJ220" s="21">
        <f>100*(AJ86-AJ85)</f>
        <v/>
      </c>
      <c r="AK220" s="21">
        <f>100*(AK86-AK85)</f>
        <v/>
      </c>
      <c r="AL220" s="21">
        <f>100*(AL86-AL85)</f>
        <v/>
      </c>
      <c r="AM220" s="21">
        <f>100*(AM86-AM85)</f>
        <v/>
      </c>
      <c r="AN220" s="21">
        <f>100*(AN86-AN85)</f>
        <v/>
      </c>
      <c r="AO220" s="21">
        <f>100*(AO86-AO85)</f>
        <v/>
      </c>
      <c r="AP220" s="21">
        <f>100*(AP86-AP85)</f>
        <v/>
      </c>
      <c r="AQ220" s="21">
        <f>100*(AQ86-AQ85)</f>
        <v/>
      </c>
      <c r="AR220" s="21">
        <f>100*(AR86-AR85)</f>
        <v/>
      </c>
      <c r="AS220" s="21">
        <f>100*(AS86-AS85)</f>
        <v/>
      </c>
      <c r="AT220" s="21">
        <f>100*(AT86-AT85)</f>
        <v/>
      </c>
      <c r="AU220" s="21">
        <f>100*(AU86-AU85)</f>
        <v/>
      </c>
      <c r="AV220" s="21">
        <f>100*(AV86-AV85)</f>
        <v/>
      </c>
      <c r="AW220" s="21">
        <f>100*(AW86-AW85)</f>
        <v/>
      </c>
      <c r="AX220" s="21">
        <f>100*(AX86-AX85)</f>
        <v/>
      </c>
      <c r="AY220" s="21">
        <f>100*(AY86-AY85)</f>
        <v/>
      </c>
      <c r="AZ220" s="21">
        <f>100*(AZ86-AZ85)</f>
        <v/>
      </c>
      <c r="BA220" s="21">
        <f>100*(BA86-BA85)</f>
        <v/>
      </c>
      <c r="BB220" s="21">
        <f>100*(BB86-BB85)</f>
        <v/>
      </c>
      <c r="BC220" s="21">
        <f>100*(BC86-BC85)</f>
        <v/>
      </c>
      <c r="BD220" s="21">
        <f>100*(BD86-BD85)</f>
        <v/>
      </c>
      <c r="BE220" s="21">
        <f>100*(BE86-BE85)</f>
        <v/>
      </c>
      <c r="BF220" s="21">
        <f>100*(BF86-BF85)</f>
        <v/>
      </c>
      <c r="BG220" s="21">
        <f>100*(BG86-BG85)</f>
        <v/>
      </c>
      <c r="BH220" s="21">
        <f>AVERAGE(C220:BG220)</f>
        <v/>
      </c>
    </row>
    <row r="221">
      <c r="A221" s="19">
        <f>A87</f>
        <v/>
      </c>
      <c r="B221" s="20">
        <f>B87</f>
        <v/>
      </c>
      <c r="C221" s="21">
        <f>100*(C87-C86)</f>
        <v/>
      </c>
      <c r="D221" s="21">
        <f>100*(D87-D86)</f>
        <v/>
      </c>
      <c r="E221" s="21">
        <f>100*(E87-E86)</f>
        <v/>
      </c>
      <c r="F221" s="21">
        <f>100*(F87-F86)</f>
        <v/>
      </c>
      <c r="G221" s="21">
        <f>100*(G87-G86)</f>
        <v/>
      </c>
      <c r="H221" s="21">
        <f>100*(H87-H86)</f>
        <v/>
      </c>
      <c r="I221" s="21">
        <f>100*(I87-I86)</f>
        <v/>
      </c>
      <c r="J221" s="21">
        <f>100*(J87-J86)</f>
        <v/>
      </c>
      <c r="K221" s="21">
        <f>100*(K87-K86)</f>
        <v/>
      </c>
      <c r="L221" s="21">
        <f>100*(L87-L86)</f>
        <v/>
      </c>
      <c r="M221" s="21">
        <f>100*(M87-M86)</f>
        <v/>
      </c>
      <c r="N221" s="21">
        <f>100*(N87-N86)</f>
        <v/>
      </c>
      <c r="O221" s="21">
        <f>100*(O87-O86)</f>
        <v/>
      </c>
      <c r="P221" s="21">
        <f>100*(P87-P86)</f>
        <v/>
      </c>
      <c r="Q221" s="21">
        <f>100*(Q87-Q86)</f>
        <v/>
      </c>
      <c r="R221" s="21">
        <f>100*(R87-R86)</f>
        <v/>
      </c>
      <c r="S221" s="21">
        <f>100*(S87-S86)</f>
        <v/>
      </c>
      <c r="T221" s="21">
        <f>100*(T87-T86)</f>
        <v/>
      </c>
      <c r="U221" s="21">
        <f>100*(U87-U86)</f>
        <v/>
      </c>
      <c r="V221" s="21">
        <f>100*(V87-V86)</f>
        <v/>
      </c>
      <c r="W221" s="21">
        <f>100*(W87-W86)</f>
        <v/>
      </c>
      <c r="X221" s="21">
        <f>100*(X87-X86)</f>
        <v/>
      </c>
      <c r="Y221" s="21">
        <f>100*(Y87-Y86)</f>
        <v/>
      </c>
      <c r="Z221" s="21">
        <f>100*(Z87-Z86)</f>
        <v/>
      </c>
      <c r="AA221" s="21">
        <f>100*(AA87-AA86)</f>
        <v/>
      </c>
      <c r="AB221" s="21">
        <f>100*(AB87-AB86)</f>
        <v/>
      </c>
      <c r="AC221" s="21">
        <f>100*(AC87-AC86)</f>
        <v/>
      </c>
      <c r="AD221" s="21">
        <f>100*(AD87-AD86)</f>
        <v/>
      </c>
      <c r="AE221" s="21">
        <f>100*(AE87-AE86)</f>
        <v/>
      </c>
      <c r="AF221" s="21">
        <f>100*(AF87-AF86)</f>
        <v/>
      </c>
      <c r="AG221" s="21">
        <f>100*(AG87-AG86)</f>
        <v/>
      </c>
      <c r="AH221" s="21">
        <f>100*(AH87-AH86)</f>
        <v/>
      </c>
      <c r="AI221" s="21">
        <f>100*(AI87-AI86)</f>
        <v/>
      </c>
      <c r="AJ221" s="21">
        <f>100*(AJ87-AJ86)</f>
        <v/>
      </c>
      <c r="AK221" s="21">
        <f>100*(AK87-AK86)</f>
        <v/>
      </c>
      <c r="AL221" s="21">
        <f>100*(AL87-AL86)</f>
        <v/>
      </c>
      <c r="AM221" s="21">
        <f>100*(AM87-AM86)</f>
        <v/>
      </c>
      <c r="AN221" s="21">
        <f>100*(AN87-AN86)</f>
        <v/>
      </c>
      <c r="AO221" s="21">
        <f>100*(AO87-AO86)</f>
        <v/>
      </c>
      <c r="AP221" s="21">
        <f>100*(AP87-AP86)</f>
        <v/>
      </c>
      <c r="AQ221" s="21">
        <f>100*(AQ87-AQ86)</f>
        <v/>
      </c>
      <c r="AR221" s="21">
        <f>100*(AR87-AR86)</f>
        <v/>
      </c>
      <c r="AS221" s="21">
        <f>100*(AS87-AS86)</f>
        <v/>
      </c>
      <c r="AT221" s="21">
        <f>100*(AT87-AT86)</f>
        <v/>
      </c>
      <c r="AU221" s="21">
        <f>100*(AU87-AU86)</f>
        <v/>
      </c>
      <c r="AV221" s="21">
        <f>100*(AV87-AV86)</f>
        <v/>
      </c>
      <c r="AW221" s="21">
        <f>100*(AW87-AW86)</f>
        <v/>
      </c>
      <c r="AX221" s="21">
        <f>100*(AX87-AX86)</f>
        <v/>
      </c>
      <c r="AY221" s="21">
        <f>100*(AY87-AY86)</f>
        <v/>
      </c>
      <c r="AZ221" s="21">
        <f>100*(AZ87-AZ86)</f>
        <v/>
      </c>
      <c r="BA221" s="21">
        <f>100*(BA87-BA86)</f>
        <v/>
      </c>
      <c r="BB221" s="21">
        <f>100*(BB87-BB86)</f>
        <v/>
      </c>
      <c r="BC221" s="21">
        <f>100*(BC87-BC86)</f>
        <v/>
      </c>
      <c r="BD221" s="21">
        <f>100*(BD87-BD86)</f>
        <v/>
      </c>
      <c r="BE221" s="21">
        <f>100*(BE87-BE86)</f>
        <v/>
      </c>
      <c r="BF221" s="21">
        <f>100*(BF87-BF86)</f>
        <v/>
      </c>
      <c r="BG221" s="21">
        <f>100*(BG87-BG86)</f>
        <v/>
      </c>
      <c r="BH221" s="21">
        <f>AVERAGE(C221:BG221)</f>
        <v/>
      </c>
    </row>
    <row r="222">
      <c r="A222" s="19">
        <f>A88</f>
        <v/>
      </c>
      <c r="B222" s="20">
        <f>B88</f>
        <v/>
      </c>
      <c r="C222" s="21">
        <f>100*(C88-C87)</f>
        <v/>
      </c>
      <c r="D222" s="21">
        <f>100*(D88-D87)</f>
        <v/>
      </c>
      <c r="E222" s="21">
        <f>100*(E88-E87)</f>
        <v/>
      </c>
      <c r="F222" s="21">
        <f>100*(F88-F87)</f>
        <v/>
      </c>
      <c r="G222" s="21">
        <f>100*(G88-G87)</f>
        <v/>
      </c>
      <c r="H222" s="21">
        <f>100*(H88-H87)</f>
        <v/>
      </c>
      <c r="I222" s="21">
        <f>100*(I88-I87)</f>
        <v/>
      </c>
      <c r="J222" s="21">
        <f>100*(J88-J87)</f>
        <v/>
      </c>
      <c r="K222" s="21">
        <f>100*(K88-K87)</f>
        <v/>
      </c>
      <c r="L222" s="21">
        <f>100*(L88-L87)</f>
        <v/>
      </c>
      <c r="M222" s="21">
        <f>100*(M88-M87)</f>
        <v/>
      </c>
      <c r="N222" s="21">
        <f>100*(N88-N87)</f>
        <v/>
      </c>
      <c r="O222" s="21">
        <f>100*(O88-O87)</f>
        <v/>
      </c>
      <c r="P222" s="21">
        <f>100*(P88-P87)</f>
        <v/>
      </c>
      <c r="Q222" s="21">
        <f>100*(Q88-Q87)</f>
        <v/>
      </c>
      <c r="R222" s="21">
        <f>100*(R88-R87)</f>
        <v/>
      </c>
      <c r="S222" s="21">
        <f>100*(S88-S87)</f>
        <v/>
      </c>
      <c r="T222" s="21">
        <f>100*(T88-T87)</f>
        <v/>
      </c>
      <c r="U222" s="21">
        <f>100*(U88-U87)</f>
        <v/>
      </c>
      <c r="V222" s="21">
        <f>100*(V88-V87)</f>
        <v/>
      </c>
      <c r="W222" s="21">
        <f>100*(W88-W87)</f>
        <v/>
      </c>
      <c r="X222" s="21">
        <f>100*(X88-X87)</f>
        <v/>
      </c>
      <c r="Y222" s="21">
        <f>100*(Y88-Y87)</f>
        <v/>
      </c>
      <c r="Z222" s="21">
        <f>100*(Z88-Z87)</f>
        <v/>
      </c>
      <c r="AA222" s="21">
        <f>100*(AA88-AA87)</f>
        <v/>
      </c>
      <c r="AB222" s="21">
        <f>100*(AB88-AB87)</f>
        <v/>
      </c>
      <c r="AC222" s="21">
        <f>100*(AC88-AC87)</f>
        <v/>
      </c>
      <c r="AD222" s="21">
        <f>100*(AD88-AD87)</f>
        <v/>
      </c>
      <c r="AE222" s="21">
        <f>100*(AE88-AE87)</f>
        <v/>
      </c>
      <c r="AF222" s="21">
        <f>100*(AF88-AF87)</f>
        <v/>
      </c>
      <c r="AG222" s="21">
        <f>100*(AG88-AG87)</f>
        <v/>
      </c>
      <c r="AH222" s="21">
        <f>100*(AH88-AH87)</f>
        <v/>
      </c>
      <c r="AI222" s="21">
        <f>100*(AI88-AI87)</f>
        <v/>
      </c>
      <c r="AJ222" s="21">
        <f>100*(AJ88-AJ87)</f>
        <v/>
      </c>
      <c r="AK222" s="21">
        <f>100*(AK88-AK87)</f>
        <v/>
      </c>
      <c r="AL222" s="21">
        <f>100*(AL88-AL87)</f>
        <v/>
      </c>
      <c r="AM222" s="21">
        <f>100*(AM88-AM87)</f>
        <v/>
      </c>
      <c r="AN222" s="21">
        <f>100*(AN88-AN87)</f>
        <v/>
      </c>
      <c r="AO222" s="21">
        <f>100*(AO88-AO87)</f>
        <v/>
      </c>
      <c r="AP222" s="21">
        <f>100*(AP88-AP87)</f>
        <v/>
      </c>
      <c r="AQ222" s="21">
        <f>100*(AQ88-AQ87)</f>
        <v/>
      </c>
      <c r="AR222" s="21">
        <f>100*(AR88-AR87)</f>
        <v/>
      </c>
      <c r="AS222" s="21">
        <f>100*(AS88-AS87)</f>
        <v/>
      </c>
      <c r="AT222" s="21">
        <f>100*(AT88-AT87)</f>
        <v/>
      </c>
      <c r="AU222" s="21">
        <f>100*(AU88-AU87)</f>
        <v/>
      </c>
      <c r="AV222" s="21">
        <f>100*(AV88-AV87)</f>
        <v/>
      </c>
      <c r="AW222" s="21">
        <f>100*(AW88-AW87)</f>
        <v/>
      </c>
      <c r="AX222" s="21">
        <f>100*(AX88-AX87)</f>
        <v/>
      </c>
      <c r="AY222" s="21">
        <f>100*(AY88-AY87)</f>
        <v/>
      </c>
      <c r="AZ222" s="21">
        <f>100*(AZ88-AZ87)</f>
        <v/>
      </c>
      <c r="BA222" s="21">
        <f>100*(BA88-BA87)</f>
        <v/>
      </c>
      <c r="BB222" s="21">
        <f>100*(BB88-BB87)</f>
        <v/>
      </c>
      <c r="BC222" s="21">
        <f>100*(BC88-BC87)</f>
        <v/>
      </c>
      <c r="BD222" s="21">
        <f>100*(BD88-BD87)</f>
        <v/>
      </c>
      <c r="BE222" s="21">
        <f>100*(BE88-BE87)</f>
        <v/>
      </c>
      <c r="BF222" s="21">
        <f>100*(BF88-BF87)</f>
        <v/>
      </c>
      <c r="BG222" s="21">
        <f>100*(BG88-BG87)</f>
        <v/>
      </c>
      <c r="BH222" s="21">
        <f>AVERAGE(C222:BG222)</f>
        <v/>
      </c>
    </row>
    <row r="223">
      <c r="A223" s="19">
        <f>A89</f>
        <v/>
      </c>
      <c r="B223" s="20">
        <f>B89</f>
        <v/>
      </c>
      <c r="C223" s="21">
        <f>100*(C89-C88)</f>
        <v/>
      </c>
      <c r="D223" s="21">
        <f>100*(D89-D88)</f>
        <v/>
      </c>
      <c r="E223" s="21">
        <f>100*(E89-E88)</f>
        <v/>
      </c>
      <c r="F223" s="21">
        <f>100*(F89-F88)</f>
        <v/>
      </c>
      <c r="G223" s="21">
        <f>100*(G89-G88)</f>
        <v/>
      </c>
      <c r="H223" s="21">
        <f>100*(H89-H88)</f>
        <v/>
      </c>
      <c r="I223" s="21">
        <f>100*(I89-I88)</f>
        <v/>
      </c>
      <c r="J223" s="21">
        <f>100*(J89-J88)</f>
        <v/>
      </c>
      <c r="K223" s="21">
        <f>100*(K89-K88)</f>
        <v/>
      </c>
      <c r="L223" s="21">
        <f>100*(L89-L88)</f>
        <v/>
      </c>
      <c r="M223" s="21">
        <f>100*(M89-M88)</f>
        <v/>
      </c>
      <c r="N223" s="21">
        <f>100*(N89-N88)</f>
        <v/>
      </c>
      <c r="O223" s="21">
        <f>100*(O89-O88)</f>
        <v/>
      </c>
      <c r="P223" s="21">
        <f>100*(P89-P88)</f>
        <v/>
      </c>
      <c r="Q223" s="21">
        <f>100*(Q89-Q88)</f>
        <v/>
      </c>
      <c r="R223" s="21">
        <f>100*(R89-R88)</f>
        <v/>
      </c>
      <c r="S223" s="21">
        <f>100*(S89-S88)</f>
        <v/>
      </c>
      <c r="T223" s="21">
        <f>100*(T89-T88)</f>
        <v/>
      </c>
      <c r="U223" s="21">
        <f>100*(U89-U88)</f>
        <v/>
      </c>
      <c r="V223" s="21">
        <f>100*(V89-V88)</f>
        <v/>
      </c>
      <c r="W223" s="21">
        <f>100*(W89-W88)</f>
        <v/>
      </c>
      <c r="X223" s="21">
        <f>100*(X89-X88)</f>
        <v/>
      </c>
      <c r="Y223" s="21">
        <f>100*(Y89-Y88)</f>
        <v/>
      </c>
      <c r="Z223" s="21">
        <f>100*(Z89-Z88)</f>
        <v/>
      </c>
      <c r="AA223" s="21">
        <f>100*(AA89-AA88)</f>
        <v/>
      </c>
      <c r="AB223" s="21">
        <f>100*(AB89-AB88)</f>
        <v/>
      </c>
      <c r="AC223" s="21">
        <f>100*(AC89-AC88)</f>
        <v/>
      </c>
      <c r="AD223" s="21">
        <f>100*(AD89-AD88)</f>
        <v/>
      </c>
      <c r="AE223" s="21">
        <f>100*(AE89-AE88)</f>
        <v/>
      </c>
      <c r="AF223" s="21">
        <f>100*(AF89-AF88)</f>
        <v/>
      </c>
      <c r="AG223" s="21">
        <f>100*(AG89-AG88)</f>
        <v/>
      </c>
      <c r="AH223" s="21">
        <f>100*(AH89-AH88)</f>
        <v/>
      </c>
      <c r="AI223" s="21">
        <f>100*(AI89-AI88)</f>
        <v/>
      </c>
      <c r="AJ223" s="21">
        <f>100*(AJ89-AJ88)</f>
        <v/>
      </c>
      <c r="AK223" s="21">
        <f>100*(AK89-AK88)</f>
        <v/>
      </c>
      <c r="AL223" s="21">
        <f>100*(AL89-AL88)</f>
        <v/>
      </c>
      <c r="AM223" s="21">
        <f>100*(AM89-AM88)</f>
        <v/>
      </c>
      <c r="AN223" s="21">
        <f>100*(AN89-AN88)</f>
        <v/>
      </c>
      <c r="AO223" s="21">
        <f>100*(AO89-AO88)</f>
        <v/>
      </c>
      <c r="AP223" s="21">
        <f>100*(AP89-AP88)</f>
        <v/>
      </c>
      <c r="AQ223" s="21">
        <f>100*(AQ89-AQ88)</f>
        <v/>
      </c>
      <c r="AR223" s="21">
        <f>100*(AR89-AR88)</f>
        <v/>
      </c>
      <c r="AS223" s="21">
        <f>100*(AS89-AS88)</f>
        <v/>
      </c>
      <c r="AT223" s="21">
        <f>100*(AT89-AT88)</f>
        <v/>
      </c>
      <c r="AU223" s="21">
        <f>100*(AU89-AU88)</f>
        <v/>
      </c>
      <c r="AV223" s="21">
        <f>100*(AV89-AV88)</f>
        <v/>
      </c>
      <c r="AW223" s="21">
        <f>100*(AW89-AW88)</f>
        <v/>
      </c>
      <c r="AX223" s="21">
        <f>100*(AX89-AX88)</f>
        <v/>
      </c>
      <c r="AY223" s="21">
        <f>100*(AY89-AY88)</f>
        <v/>
      </c>
      <c r="AZ223" s="21">
        <f>100*(AZ89-AZ88)</f>
        <v/>
      </c>
      <c r="BA223" s="21">
        <f>100*(BA89-BA88)</f>
        <v/>
      </c>
      <c r="BB223" s="21">
        <f>100*(BB89-BB88)</f>
        <v/>
      </c>
      <c r="BC223" s="21">
        <f>100*(BC89-BC88)</f>
        <v/>
      </c>
      <c r="BD223" s="21">
        <f>100*(BD89-BD88)</f>
        <v/>
      </c>
      <c r="BE223" s="21">
        <f>100*(BE89-BE88)</f>
        <v/>
      </c>
      <c r="BF223" s="21">
        <f>100*(BF89-BF88)</f>
        <v/>
      </c>
      <c r="BG223" s="21">
        <f>100*(BG89-BG88)</f>
        <v/>
      </c>
      <c r="BH223" s="21">
        <f>AVERAGE(C223:BG223)</f>
        <v/>
      </c>
    </row>
    <row r="224">
      <c r="A224" s="19">
        <f>A90</f>
        <v/>
      </c>
      <c r="B224" s="20">
        <f>B90</f>
        <v/>
      </c>
      <c r="C224" s="21">
        <f>100*(C90-C89)</f>
        <v/>
      </c>
      <c r="D224" s="21">
        <f>100*(D90-D89)</f>
        <v/>
      </c>
      <c r="E224" s="21">
        <f>100*(E90-E89)</f>
        <v/>
      </c>
      <c r="F224" s="21">
        <f>100*(F90-F89)</f>
        <v/>
      </c>
      <c r="G224" s="21">
        <f>100*(G90-G89)</f>
        <v/>
      </c>
      <c r="H224" s="21">
        <f>100*(H90-H89)</f>
        <v/>
      </c>
      <c r="I224" s="21">
        <f>100*(I90-I89)</f>
        <v/>
      </c>
      <c r="J224" s="21">
        <f>100*(J90-J89)</f>
        <v/>
      </c>
      <c r="K224" s="21">
        <f>100*(K90-K89)</f>
        <v/>
      </c>
      <c r="L224" s="21">
        <f>100*(L90-L89)</f>
        <v/>
      </c>
      <c r="M224" s="21">
        <f>100*(M90-M89)</f>
        <v/>
      </c>
      <c r="N224" s="21">
        <f>100*(N90-N89)</f>
        <v/>
      </c>
      <c r="O224" s="21">
        <f>100*(O90-O89)</f>
        <v/>
      </c>
      <c r="P224" s="21">
        <f>100*(P90-P89)</f>
        <v/>
      </c>
      <c r="Q224" s="21">
        <f>100*(Q90-Q89)</f>
        <v/>
      </c>
      <c r="R224" s="21">
        <f>100*(R90-R89)</f>
        <v/>
      </c>
      <c r="S224" s="21">
        <f>100*(S90-S89)</f>
        <v/>
      </c>
      <c r="T224" s="21">
        <f>100*(T90-T89)</f>
        <v/>
      </c>
      <c r="U224" s="21">
        <f>100*(U90-U89)</f>
        <v/>
      </c>
      <c r="V224" s="21">
        <f>100*(V90-V89)</f>
        <v/>
      </c>
      <c r="W224" s="21">
        <f>100*(W90-W89)</f>
        <v/>
      </c>
      <c r="X224" s="21">
        <f>100*(X90-X89)</f>
        <v/>
      </c>
      <c r="Y224" s="21">
        <f>100*(Y90-Y89)</f>
        <v/>
      </c>
      <c r="Z224" s="21">
        <f>100*(Z90-Z89)</f>
        <v/>
      </c>
      <c r="AA224" s="21">
        <f>100*(AA90-AA89)</f>
        <v/>
      </c>
      <c r="AB224" s="21">
        <f>100*(AB90-AB89)</f>
        <v/>
      </c>
      <c r="AC224" s="21">
        <f>100*(AC90-AC89)</f>
        <v/>
      </c>
      <c r="AD224" s="21">
        <f>100*(AD90-AD89)</f>
        <v/>
      </c>
      <c r="AE224" s="21">
        <f>100*(AE90-AE89)</f>
        <v/>
      </c>
      <c r="AF224" s="21">
        <f>100*(AF90-AF89)</f>
        <v/>
      </c>
      <c r="AG224" s="21">
        <f>100*(AG90-AG89)</f>
        <v/>
      </c>
      <c r="AH224" s="21">
        <f>100*(AH90-AH89)</f>
        <v/>
      </c>
      <c r="AI224" s="21">
        <f>100*(AI90-AI89)</f>
        <v/>
      </c>
      <c r="AJ224" s="21">
        <f>100*(AJ90-AJ89)</f>
        <v/>
      </c>
      <c r="AK224" s="21">
        <f>100*(AK90-AK89)</f>
        <v/>
      </c>
      <c r="AL224" s="21">
        <f>100*(AL90-AL89)</f>
        <v/>
      </c>
      <c r="AM224" s="21">
        <f>100*(AM90-AM89)</f>
        <v/>
      </c>
      <c r="AN224" s="21">
        <f>100*(AN90-AN89)</f>
        <v/>
      </c>
      <c r="AO224" s="21">
        <f>100*(AO90-AO89)</f>
        <v/>
      </c>
      <c r="AP224" s="21">
        <f>100*(AP90-AP89)</f>
        <v/>
      </c>
      <c r="AQ224" s="21">
        <f>100*(AQ90-AQ89)</f>
        <v/>
      </c>
      <c r="AR224" s="21">
        <f>100*(AR90-AR89)</f>
        <v/>
      </c>
      <c r="AS224" s="21">
        <f>100*(AS90-AS89)</f>
        <v/>
      </c>
      <c r="AT224" s="21">
        <f>100*(AT90-AT89)</f>
        <v/>
      </c>
      <c r="AU224" s="21">
        <f>100*(AU90-AU89)</f>
        <v/>
      </c>
      <c r="AV224" s="21">
        <f>100*(AV90-AV89)</f>
        <v/>
      </c>
      <c r="AW224" s="21">
        <f>100*(AW90-AW89)</f>
        <v/>
      </c>
      <c r="AX224" s="21">
        <f>100*(AX90-AX89)</f>
        <v/>
      </c>
      <c r="AY224" s="21">
        <f>100*(AY90-AY89)</f>
        <v/>
      </c>
      <c r="AZ224" s="21">
        <f>100*(AZ90-AZ89)</f>
        <v/>
      </c>
      <c r="BA224" s="21">
        <f>100*(BA90-BA89)</f>
        <v/>
      </c>
      <c r="BB224" s="21">
        <f>100*(BB90-BB89)</f>
        <v/>
      </c>
      <c r="BC224" s="21">
        <f>100*(BC90-BC89)</f>
        <v/>
      </c>
      <c r="BD224" s="21">
        <f>100*(BD90-BD89)</f>
        <v/>
      </c>
      <c r="BE224" s="21">
        <f>100*(BE90-BE89)</f>
        <v/>
      </c>
      <c r="BF224" s="21">
        <f>100*(BF90-BF89)</f>
        <v/>
      </c>
      <c r="BG224" s="21">
        <f>100*(BG90-BG89)</f>
        <v/>
      </c>
      <c r="BH224" s="21">
        <f>AVERAGE(C224:BG224)</f>
        <v/>
      </c>
    </row>
    <row r="225">
      <c r="A225" s="19">
        <f>A91</f>
        <v/>
      </c>
      <c r="B225" s="20">
        <f>B91</f>
        <v/>
      </c>
      <c r="C225" s="21">
        <f>100*(C91-C90)</f>
        <v/>
      </c>
      <c r="D225" s="21">
        <f>100*(D91-D90)</f>
        <v/>
      </c>
      <c r="E225" s="21">
        <f>100*(E91-E90)</f>
        <v/>
      </c>
      <c r="F225" s="21">
        <f>100*(F91-F90)</f>
        <v/>
      </c>
      <c r="G225" s="21">
        <f>100*(G91-G90)</f>
        <v/>
      </c>
      <c r="H225" s="21">
        <f>100*(H91-H90)</f>
        <v/>
      </c>
      <c r="I225" s="21">
        <f>100*(I91-I90)</f>
        <v/>
      </c>
      <c r="J225" s="21">
        <f>100*(J91-J90)</f>
        <v/>
      </c>
      <c r="K225" s="21">
        <f>100*(K91-K90)</f>
        <v/>
      </c>
      <c r="L225" s="21">
        <f>100*(L91-L90)</f>
        <v/>
      </c>
      <c r="M225" s="21">
        <f>100*(M91-M90)</f>
        <v/>
      </c>
      <c r="N225" s="21">
        <f>100*(N91-N90)</f>
        <v/>
      </c>
      <c r="O225" s="21">
        <f>100*(O91-O90)</f>
        <v/>
      </c>
      <c r="P225" s="21">
        <f>100*(P91-P90)</f>
        <v/>
      </c>
      <c r="Q225" s="21">
        <f>100*(Q91-Q90)</f>
        <v/>
      </c>
      <c r="R225" s="21">
        <f>100*(R91-R90)</f>
        <v/>
      </c>
      <c r="S225" s="21">
        <f>100*(S91-S90)</f>
        <v/>
      </c>
      <c r="T225" s="21">
        <f>100*(T91-T90)</f>
        <v/>
      </c>
      <c r="U225" s="21">
        <f>100*(U91-U90)</f>
        <v/>
      </c>
      <c r="V225" s="21">
        <f>100*(V91-V90)</f>
        <v/>
      </c>
      <c r="W225" s="21">
        <f>100*(W91-W90)</f>
        <v/>
      </c>
      <c r="X225" s="21">
        <f>100*(X91-X90)</f>
        <v/>
      </c>
      <c r="Y225" s="21">
        <f>100*(Y91-Y90)</f>
        <v/>
      </c>
      <c r="Z225" s="21">
        <f>100*(Z91-Z90)</f>
        <v/>
      </c>
      <c r="AA225" s="21">
        <f>100*(AA91-AA90)</f>
        <v/>
      </c>
      <c r="AB225" s="21">
        <f>100*(AB91-AB90)</f>
        <v/>
      </c>
      <c r="AC225" s="21">
        <f>100*(AC91-AC90)</f>
        <v/>
      </c>
      <c r="AD225" s="21">
        <f>100*(AD91-AD90)</f>
        <v/>
      </c>
      <c r="AE225" s="21">
        <f>100*(AE91-AE90)</f>
        <v/>
      </c>
      <c r="AF225" s="21">
        <f>100*(AF91-AF90)</f>
        <v/>
      </c>
      <c r="AG225" s="21">
        <f>100*(AG91-AG90)</f>
        <v/>
      </c>
      <c r="AH225" s="21">
        <f>100*(AH91-AH90)</f>
        <v/>
      </c>
      <c r="AI225" s="21">
        <f>100*(AI91-AI90)</f>
        <v/>
      </c>
      <c r="AJ225" s="21">
        <f>100*(AJ91-AJ90)</f>
        <v/>
      </c>
      <c r="AK225" s="21">
        <f>100*(AK91-AK90)</f>
        <v/>
      </c>
      <c r="AL225" s="21">
        <f>100*(AL91-AL90)</f>
        <v/>
      </c>
      <c r="AM225" s="21">
        <f>100*(AM91-AM90)</f>
        <v/>
      </c>
      <c r="AN225" s="21">
        <f>100*(AN91-AN90)</f>
        <v/>
      </c>
      <c r="AO225" s="21">
        <f>100*(AO91-AO90)</f>
        <v/>
      </c>
      <c r="AP225" s="21">
        <f>100*(AP91-AP90)</f>
        <v/>
      </c>
      <c r="AQ225" s="21">
        <f>100*(AQ91-AQ90)</f>
        <v/>
      </c>
      <c r="AR225" s="21">
        <f>100*(AR91-AR90)</f>
        <v/>
      </c>
      <c r="AS225" s="21">
        <f>100*(AS91-AS90)</f>
        <v/>
      </c>
      <c r="AT225" s="21">
        <f>100*(AT91-AT90)</f>
        <v/>
      </c>
      <c r="AU225" s="21">
        <f>100*(AU91-AU90)</f>
        <v/>
      </c>
      <c r="AV225" s="21">
        <f>100*(AV91-AV90)</f>
        <v/>
      </c>
      <c r="AW225" s="21">
        <f>100*(AW91-AW90)</f>
        <v/>
      </c>
      <c r="AX225" s="21">
        <f>100*(AX91-AX90)</f>
        <v/>
      </c>
      <c r="AY225" s="21">
        <f>100*(AY91-AY90)</f>
        <v/>
      </c>
      <c r="AZ225" s="21">
        <f>100*(AZ91-AZ90)</f>
        <v/>
      </c>
      <c r="BA225" s="21">
        <f>100*(BA91-BA90)</f>
        <v/>
      </c>
      <c r="BB225" s="21">
        <f>100*(BB91-BB90)</f>
        <v/>
      </c>
      <c r="BC225" s="21">
        <f>100*(BC91-BC90)</f>
        <v/>
      </c>
      <c r="BD225" s="21">
        <f>100*(BD91-BD90)</f>
        <v/>
      </c>
      <c r="BE225" s="21">
        <f>100*(BE91-BE90)</f>
        <v/>
      </c>
      <c r="BF225" s="21">
        <f>100*(BF91-BF90)</f>
        <v/>
      </c>
      <c r="BG225" s="21">
        <f>100*(BG91-BG90)</f>
        <v/>
      </c>
      <c r="BH225" s="21">
        <f>AVERAGE(C225:BG225)</f>
        <v/>
      </c>
    </row>
    <row r="226">
      <c r="A226" s="19">
        <f>A92</f>
        <v/>
      </c>
      <c r="B226" s="20">
        <f>B92</f>
        <v/>
      </c>
      <c r="C226" s="21">
        <f>100*(C92-C91)</f>
        <v/>
      </c>
      <c r="D226" s="21">
        <f>100*(D92-D91)</f>
        <v/>
      </c>
      <c r="E226" s="21">
        <f>100*(E92-E91)</f>
        <v/>
      </c>
      <c r="F226" s="21">
        <f>100*(F92-F91)</f>
        <v/>
      </c>
      <c r="G226" s="21">
        <f>100*(G92-G91)</f>
        <v/>
      </c>
      <c r="H226" s="21">
        <f>100*(H92-H91)</f>
        <v/>
      </c>
      <c r="I226" s="21">
        <f>100*(I92-I91)</f>
        <v/>
      </c>
      <c r="J226" s="21">
        <f>100*(J92-J91)</f>
        <v/>
      </c>
      <c r="K226" s="21">
        <f>100*(K92-K91)</f>
        <v/>
      </c>
      <c r="L226" s="21">
        <f>100*(L92-L91)</f>
        <v/>
      </c>
      <c r="M226" s="21">
        <f>100*(M92-M91)</f>
        <v/>
      </c>
      <c r="N226" s="21">
        <f>100*(N92-N91)</f>
        <v/>
      </c>
      <c r="O226" s="21">
        <f>100*(O92-O91)</f>
        <v/>
      </c>
      <c r="P226" s="21">
        <f>100*(P92-P91)</f>
        <v/>
      </c>
      <c r="Q226" s="21">
        <f>100*(Q92-Q91)</f>
        <v/>
      </c>
      <c r="R226" s="21">
        <f>100*(R92-R91)</f>
        <v/>
      </c>
      <c r="S226" s="21">
        <f>100*(S92-S91)</f>
        <v/>
      </c>
      <c r="T226" s="21">
        <f>100*(T92-T91)</f>
        <v/>
      </c>
      <c r="U226" s="21">
        <f>100*(U92-U91)</f>
        <v/>
      </c>
      <c r="V226" s="21">
        <f>100*(V92-V91)</f>
        <v/>
      </c>
      <c r="W226" s="21">
        <f>100*(W92-W91)</f>
        <v/>
      </c>
      <c r="X226" s="21">
        <f>100*(X92-X91)</f>
        <v/>
      </c>
      <c r="Y226" s="21">
        <f>100*(Y92-Y91)</f>
        <v/>
      </c>
      <c r="Z226" s="21">
        <f>100*(Z92-Z91)</f>
        <v/>
      </c>
      <c r="AA226" s="21">
        <f>100*(AA92-AA91)</f>
        <v/>
      </c>
      <c r="AB226" s="21">
        <f>100*(AB92-AB91)</f>
        <v/>
      </c>
      <c r="AC226" s="21">
        <f>100*(AC92-AC91)</f>
        <v/>
      </c>
      <c r="AD226" s="21">
        <f>100*(AD92-AD91)</f>
        <v/>
      </c>
      <c r="AE226" s="21">
        <f>100*(AE92-AE91)</f>
        <v/>
      </c>
      <c r="AF226" s="21">
        <f>100*(AF92-AF91)</f>
        <v/>
      </c>
      <c r="AG226" s="21">
        <f>100*(AG92-AG91)</f>
        <v/>
      </c>
      <c r="AH226" s="21">
        <f>100*(AH92-AH91)</f>
        <v/>
      </c>
      <c r="AI226" s="21">
        <f>100*(AI92-AI91)</f>
        <v/>
      </c>
      <c r="AJ226" s="21">
        <f>100*(AJ92-AJ91)</f>
        <v/>
      </c>
      <c r="AK226" s="21">
        <f>100*(AK92-AK91)</f>
        <v/>
      </c>
      <c r="AL226" s="21">
        <f>100*(AL92-AL91)</f>
        <v/>
      </c>
      <c r="AM226" s="21">
        <f>100*(AM92-AM91)</f>
        <v/>
      </c>
      <c r="AN226" s="21">
        <f>100*(AN92-AN91)</f>
        <v/>
      </c>
      <c r="AO226" s="21">
        <f>100*(AO92-AO91)</f>
        <v/>
      </c>
      <c r="AP226" s="21">
        <f>100*(AP92-AP91)</f>
        <v/>
      </c>
      <c r="AQ226" s="21">
        <f>100*(AQ92-AQ91)</f>
        <v/>
      </c>
      <c r="AR226" s="21">
        <f>100*(AR92-AR91)</f>
        <v/>
      </c>
      <c r="AS226" s="21">
        <f>100*(AS92-AS91)</f>
        <v/>
      </c>
      <c r="AT226" s="21">
        <f>100*(AT92-AT91)</f>
        <v/>
      </c>
      <c r="AU226" s="21">
        <f>100*(AU92-AU91)</f>
        <v/>
      </c>
      <c r="AV226" s="21">
        <f>100*(AV92-AV91)</f>
        <v/>
      </c>
      <c r="AW226" s="21">
        <f>100*(AW92-AW91)</f>
        <v/>
      </c>
      <c r="AX226" s="21">
        <f>100*(AX92-AX91)</f>
        <v/>
      </c>
      <c r="AY226" s="21">
        <f>100*(AY92-AY91)</f>
        <v/>
      </c>
      <c r="AZ226" s="21">
        <f>100*(AZ92-AZ91)</f>
        <v/>
      </c>
      <c r="BA226" s="21">
        <f>100*(BA92-BA91)</f>
        <v/>
      </c>
      <c r="BB226" s="21">
        <f>100*(BB92-BB91)</f>
        <v/>
      </c>
      <c r="BC226" s="21">
        <f>100*(BC92-BC91)</f>
        <v/>
      </c>
      <c r="BD226" s="21">
        <f>100*(BD92-BD91)</f>
        <v/>
      </c>
      <c r="BE226" s="21">
        <f>100*(BE92-BE91)</f>
        <v/>
      </c>
      <c r="BF226" s="21">
        <f>100*(BF92-BF91)</f>
        <v/>
      </c>
      <c r="BG226" s="21">
        <f>100*(BG92-BG91)</f>
        <v/>
      </c>
      <c r="BH226" s="21">
        <f>AVERAGE(C226:BG226)</f>
        <v/>
      </c>
    </row>
    <row r="227">
      <c r="A227" s="19">
        <f>A93</f>
        <v/>
      </c>
      <c r="B227" s="20">
        <f>B93</f>
        <v/>
      </c>
      <c r="C227" s="21">
        <f>100*(C93-C92)</f>
        <v/>
      </c>
      <c r="D227" s="21">
        <f>100*(D93-D92)</f>
        <v/>
      </c>
      <c r="E227" s="21">
        <f>100*(E93-E92)</f>
        <v/>
      </c>
      <c r="F227" s="21">
        <f>100*(F93-F92)</f>
        <v/>
      </c>
      <c r="G227" s="21">
        <f>100*(G93-G92)</f>
        <v/>
      </c>
      <c r="H227" s="21">
        <f>100*(H93-H92)</f>
        <v/>
      </c>
      <c r="I227" s="21">
        <f>100*(I93-I92)</f>
        <v/>
      </c>
      <c r="J227" s="21">
        <f>100*(J93-J92)</f>
        <v/>
      </c>
      <c r="K227" s="21">
        <f>100*(K93-K92)</f>
        <v/>
      </c>
      <c r="L227" s="21">
        <f>100*(L93-L92)</f>
        <v/>
      </c>
      <c r="M227" s="21">
        <f>100*(M93-M92)</f>
        <v/>
      </c>
      <c r="N227" s="21">
        <f>100*(N93-N92)</f>
        <v/>
      </c>
      <c r="O227" s="21">
        <f>100*(O93-O92)</f>
        <v/>
      </c>
      <c r="P227" s="21">
        <f>100*(P93-P92)</f>
        <v/>
      </c>
      <c r="Q227" s="21">
        <f>100*(Q93-Q92)</f>
        <v/>
      </c>
      <c r="R227" s="21">
        <f>100*(R93-R92)</f>
        <v/>
      </c>
      <c r="S227" s="21">
        <f>100*(S93-S92)</f>
        <v/>
      </c>
      <c r="T227" s="21">
        <f>100*(T93-T92)</f>
        <v/>
      </c>
      <c r="U227" s="21">
        <f>100*(U93-U92)</f>
        <v/>
      </c>
      <c r="V227" s="21">
        <f>100*(V93-V92)</f>
        <v/>
      </c>
      <c r="W227" s="21">
        <f>100*(W93-W92)</f>
        <v/>
      </c>
      <c r="X227" s="21">
        <f>100*(X93-X92)</f>
        <v/>
      </c>
      <c r="Y227" s="21">
        <f>100*(Y93-Y92)</f>
        <v/>
      </c>
      <c r="Z227" s="21">
        <f>100*(Z93-Z92)</f>
        <v/>
      </c>
      <c r="AA227" s="21">
        <f>100*(AA93-AA92)</f>
        <v/>
      </c>
      <c r="AB227" s="21">
        <f>100*(AB93-AB92)</f>
        <v/>
      </c>
      <c r="AC227" s="21">
        <f>100*(AC93-AC92)</f>
        <v/>
      </c>
      <c r="AD227" s="21">
        <f>100*(AD93-AD92)</f>
        <v/>
      </c>
      <c r="AE227" s="21">
        <f>100*(AE93-AE92)</f>
        <v/>
      </c>
      <c r="AF227" s="21">
        <f>100*(AF93-AF92)</f>
        <v/>
      </c>
      <c r="AG227" s="21">
        <f>100*(AG93-AG92)</f>
        <v/>
      </c>
      <c r="AH227" s="21">
        <f>100*(AH93-AH92)</f>
        <v/>
      </c>
      <c r="AI227" s="21">
        <f>100*(AI93-AI92)</f>
        <v/>
      </c>
      <c r="AJ227" s="21">
        <f>100*(AJ93-AJ92)</f>
        <v/>
      </c>
      <c r="AK227" s="21">
        <f>100*(AK93-AK92)</f>
        <v/>
      </c>
      <c r="AL227" s="21">
        <f>100*(AL93-AL92)</f>
        <v/>
      </c>
      <c r="AM227" s="21">
        <f>100*(AM93-AM92)</f>
        <v/>
      </c>
      <c r="AN227" s="21">
        <f>100*(AN93-AN92)</f>
        <v/>
      </c>
      <c r="AO227" s="21">
        <f>100*(AO93-AO92)</f>
        <v/>
      </c>
      <c r="AP227" s="21">
        <f>100*(AP93-AP92)</f>
        <v/>
      </c>
      <c r="AQ227" s="21">
        <f>100*(AQ93-AQ92)</f>
        <v/>
      </c>
      <c r="AR227" s="21">
        <f>100*(AR93-AR92)</f>
        <v/>
      </c>
      <c r="AS227" s="21">
        <f>100*(AS93-AS92)</f>
        <v/>
      </c>
      <c r="AT227" s="21">
        <f>100*(AT93-AT92)</f>
        <v/>
      </c>
      <c r="AU227" s="21">
        <f>100*(AU93-AU92)</f>
        <v/>
      </c>
      <c r="AV227" s="21">
        <f>100*(AV93-AV92)</f>
        <v/>
      </c>
      <c r="AW227" s="21">
        <f>100*(AW93-AW92)</f>
        <v/>
      </c>
      <c r="AX227" s="21">
        <f>100*(AX93-AX92)</f>
        <v/>
      </c>
      <c r="AY227" s="21">
        <f>100*(AY93-AY92)</f>
        <v/>
      </c>
      <c r="AZ227" s="21">
        <f>100*(AZ93-AZ92)</f>
        <v/>
      </c>
      <c r="BA227" s="21">
        <f>100*(BA93-BA92)</f>
        <v/>
      </c>
      <c r="BB227" s="21">
        <f>100*(BB93-BB92)</f>
        <v/>
      </c>
      <c r="BC227" s="21">
        <f>100*(BC93-BC92)</f>
        <v/>
      </c>
      <c r="BD227" s="21">
        <f>100*(BD93-BD92)</f>
        <v/>
      </c>
      <c r="BE227" s="21">
        <f>100*(BE93-BE92)</f>
        <v/>
      </c>
      <c r="BF227" s="21">
        <f>100*(BF93-BF92)</f>
        <v/>
      </c>
      <c r="BG227" s="21">
        <f>100*(BG93-BG92)</f>
        <v/>
      </c>
      <c r="BH227" s="21">
        <f>AVERAGE(C227:BG227)</f>
        <v/>
      </c>
    </row>
    <row r="228">
      <c r="A228" s="19">
        <f>A94</f>
        <v/>
      </c>
      <c r="B228" s="20">
        <f>B94</f>
        <v/>
      </c>
      <c r="C228" s="21">
        <f>100*(C94-C93)</f>
        <v/>
      </c>
      <c r="D228" s="21">
        <f>100*(D94-D93)</f>
        <v/>
      </c>
      <c r="E228" s="21">
        <f>100*(E94-E93)</f>
        <v/>
      </c>
      <c r="F228" s="21">
        <f>100*(F94-F93)</f>
        <v/>
      </c>
      <c r="G228" s="21">
        <f>100*(G94-G93)</f>
        <v/>
      </c>
      <c r="H228" s="21">
        <f>100*(H94-H93)</f>
        <v/>
      </c>
      <c r="I228" s="21">
        <f>100*(I94-I93)</f>
        <v/>
      </c>
      <c r="J228" s="21">
        <f>100*(J94-J93)</f>
        <v/>
      </c>
      <c r="K228" s="21">
        <f>100*(K94-K93)</f>
        <v/>
      </c>
      <c r="L228" s="21">
        <f>100*(L94-L93)</f>
        <v/>
      </c>
      <c r="M228" s="21">
        <f>100*(M94-M93)</f>
        <v/>
      </c>
      <c r="N228" s="21">
        <f>100*(N94-N93)</f>
        <v/>
      </c>
      <c r="O228" s="21">
        <f>100*(O94-O93)</f>
        <v/>
      </c>
      <c r="P228" s="21">
        <f>100*(P94-P93)</f>
        <v/>
      </c>
      <c r="Q228" s="21">
        <f>100*(Q94-Q93)</f>
        <v/>
      </c>
      <c r="R228" s="21">
        <f>100*(R94-R93)</f>
        <v/>
      </c>
      <c r="S228" s="21">
        <f>100*(S94-S93)</f>
        <v/>
      </c>
      <c r="T228" s="21">
        <f>100*(T94-T93)</f>
        <v/>
      </c>
      <c r="U228" s="21">
        <f>100*(U94-U93)</f>
        <v/>
      </c>
      <c r="V228" s="21">
        <f>100*(V94-V93)</f>
        <v/>
      </c>
      <c r="W228" s="21">
        <f>100*(W94-W93)</f>
        <v/>
      </c>
      <c r="X228" s="21">
        <f>100*(X94-X93)</f>
        <v/>
      </c>
      <c r="Y228" s="21">
        <f>100*(Y94-Y93)</f>
        <v/>
      </c>
      <c r="Z228" s="21">
        <f>100*(Z94-Z93)</f>
        <v/>
      </c>
      <c r="AA228" s="21">
        <f>100*(AA94-AA93)</f>
        <v/>
      </c>
      <c r="AB228" s="21">
        <f>100*(AB94-AB93)</f>
        <v/>
      </c>
      <c r="AC228" s="21">
        <f>100*(AC94-AC93)</f>
        <v/>
      </c>
      <c r="AD228" s="21">
        <f>100*(AD94-AD93)</f>
        <v/>
      </c>
      <c r="AE228" s="21">
        <f>100*(AE94-AE93)</f>
        <v/>
      </c>
      <c r="AF228" s="21">
        <f>100*(AF94-AF93)</f>
        <v/>
      </c>
      <c r="AG228" s="21">
        <f>100*(AG94-AG93)</f>
        <v/>
      </c>
      <c r="AH228" s="21">
        <f>100*(AH94-AH93)</f>
        <v/>
      </c>
      <c r="AI228" s="21">
        <f>100*(AI94-AI93)</f>
        <v/>
      </c>
      <c r="AJ228" s="21">
        <f>100*(AJ94-AJ93)</f>
        <v/>
      </c>
      <c r="AK228" s="21">
        <f>100*(AK94-AK93)</f>
        <v/>
      </c>
      <c r="AL228" s="21">
        <f>100*(AL94-AL93)</f>
        <v/>
      </c>
      <c r="AM228" s="21">
        <f>100*(AM94-AM93)</f>
        <v/>
      </c>
      <c r="AN228" s="21">
        <f>100*(AN94-AN93)</f>
        <v/>
      </c>
      <c r="AO228" s="21">
        <f>100*(AO94-AO93)</f>
        <v/>
      </c>
      <c r="AP228" s="21">
        <f>100*(AP94-AP93)</f>
        <v/>
      </c>
      <c r="AQ228" s="21">
        <f>100*(AQ94-AQ93)</f>
        <v/>
      </c>
      <c r="AR228" s="21">
        <f>100*(AR94-AR93)</f>
        <v/>
      </c>
      <c r="AS228" s="21">
        <f>100*(AS94-AS93)</f>
        <v/>
      </c>
      <c r="AT228" s="21">
        <f>100*(AT94-AT93)</f>
        <v/>
      </c>
      <c r="AU228" s="21">
        <f>100*(AU94-AU93)</f>
        <v/>
      </c>
      <c r="AV228" s="21">
        <f>100*(AV94-AV93)</f>
        <v/>
      </c>
      <c r="AW228" s="21">
        <f>100*(AW94-AW93)</f>
        <v/>
      </c>
      <c r="AX228" s="21">
        <f>100*(AX94-AX93)</f>
        <v/>
      </c>
      <c r="AY228" s="21">
        <f>100*(AY94-AY93)</f>
        <v/>
      </c>
      <c r="AZ228" s="21">
        <f>100*(AZ94-AZ93)</f>
        <v/>
      </c>
      <c r="BA228" s="21">
        <f>100*(BA94-BA93)</f>
        <v/>
      </c>
      <c r="BB228" s="21">
        <f>100*(BB94-BB93)</f>
        <v/>
      </c>
      <c r="BC228" s="21">
        <f>100*(BC94-BC93)</f>
        <v/>
      </c>
      <c r="BD228" s="21">
        <f>100*(BD94-BD93)</f>
        <v/>
      </c>
      <c r="BE228" s="21">
        <f>100*(BE94-BE93)</f>
        <v/>
      </c>
      <c r="BF228" s="21">
        <f>100*(BF94-BF93)</f>
        <v/>
      </c>
      <c r="BG228" s="21">
        <f>100*(BG94-BG93)</f>
        <v/>
      </c>
      <c r="BH228" s="21">
        <f>AVERAGE(C228:BG228)</f>
        <v/>
      </c>
    </row>
    <row r="229">
      <c r="A229" s="19">
        <f>A95</f>
        <v/>
      </c>
      <c r="B229" s="20">
        <f>B95</f>
        <v/>
      </c>
      <c r="C229" s="21">
        <f>100*(C95-C94)</f>
        <v/>
      </c>
      <c r="D229" s="21">
        <f>100*(D95-D94)</f>
        <v/>
      </c>
      <c r="E229" s="21">
        <f>100*(E95-E94)</f>
        <v/>
      </c>
      <c r="F229" s="21">
        <f>100*(F95-F94)</f>
        <v/>
      </c>
      <c r="G229" s="21">
        <f>100*(G95-G94)</f>
        <v/>
      </c>
      <c r="H229" s="21">
        <f>100*(H95-H94)</f>
        <v/>
      </c>
      <c r="I229" s="21">
        <f>100*(I95-I94)</f>
        <v/>
      </c>
      <c r="J229" s="21">
        <f>100*(J95-J94)</f>
        <v/>
      </c>
      <c r="K229" s="21">
        <f>100*(K95-K94)</f>
        <v/>
      </c>
      <c r="L229" s="21">
        <f>100*(L95-L94)</f>
        <v/>
      </c>
      <c r="M229" s="21">
        <f>100*(M95-M94)</f>
        <v/>
      </c>
      <c r="N229" s="21">
        <f>100*(N95-N94)</f>
        <v/>
      </c>
      <c r="O229" s="21">
        <f>100*(O95-O94)</f>
        <v/>
      </c>
      <c r="P229" s="21">
        <f>100*(P95-P94)</f>
        <v/>
      </c>
      <c r="Q229" s="21">
        <f>100*(Q95-Q94)</f>
        <v/>
      </c>
      <c r="R229" s="21">
        <f>100*(R95-R94)</f>
        <v/>
      </c>
      <c r="S229" s="21">
        <f>100*(S95-S94)</f>
        <v/>
      </c>
      <c r="T229" s="21">
        <f>100*(T95-T94)</f>
        <v/>
      </c>
      <c r="U229" s="21">
        <f>100*(U95-U94)</f>
        <v/>
      </c>
      <c r="V229" s="21">
        <f>100*(V95-V94)</f>
        <v/>
      </c>
      <c r="W229" s="21">
        <f>100*(W95-W94)</f>
        <v/>
      </c>
      <c r="X229" s="21">
        <f>100*(X95-X94)</f>
        <v/>
      </c>
      <c r="Y229" s="21">
        <f>100*(Y95-Y94)</f>
        <v/>
      </c>
      <c r="Z229" s="21">
        <f>100*(Z95-Z94)</f>
        <v/>
      </c>
      <c r="AA229" s="21">
        <f>100*(AA95-AA94)</f>
        <v/>
      </c>
      <c r="AB229" s="21">
        <f>100*(AB95-AB94)</f>
        <v/>
      </c>
      <c r="AC229" s="21">
        <f>100*(AC95-AC94)</f>
        <v/>
      </c>
      <c r="AD229" s="21">
        <f>100*(AD95-AD94)</f>
        <v/>
      </c>
      <c r="AE229" s="21">
        <f>100*(AE95-AE94)</f>
        <v/>
      </c>
      <c r="AF229" s="21">
        <f>100*(AF95-AF94)</f>
        <v/>
      </c>
      <c r="AG229" s="21">
        <f>100*(AG95-AG94)</f>
        <v/>
      </c>
      <c r="AH229" s="21">
        <f>100*(AH95-AH94)</f>
        <v/>
      </c>
      <c r="AI229" s="21">
        <f>100*(AI95-AI94)</f>
        <v/>
      </c>
      <c r="AJ229" s="21">
        <f>100*(AJ95-AJ94)</f>
        <v/>
      </c>
      <c r="AK229" s="21">
        <f>100*(AK95-AK94)</f>
        <v/>
      </c>
      <c r="AL229" s="21">
        <f>100*(AL95-AL94)</f>
        <v/>
      </c>
      <c r="AM229" s="21">
        <f>100*(AM95-AM94)</f>
        <v/>
      </c>
      <c r="AN229" s="21">
        <f>100*(AN95-AN94)</f>
        <v/>
      </c>
      <c r="AO229" s="21">
        <f>100*(AO95-AO94)</f>
        <v/>
      </c>
      <c r="AP229" s="21">
        <f>100*(AP95-AP94)</f>
        <v/>
      </c>
      <c r="AQ229" s="21">
        <f>100*(AQ95-AQ94)</f>
        <v/>
      </c>
      <c r="AR229" s="21">
        <f>100*(AR95-AR94)</f>
        <v/>
      </c>
      <c r="AS229" s="21">
        <f>100*(AS95-AS94)</f>
        <v/>
      </c>
      <c r="AT229" s="21">
        <f>100*(AT95-AT94)</f>
        <v/>
      </c>
      <c r="AU229" s="21">
        <f>100*(AU95-AU94)</f>
        <v/>
      </c>
      <c r="AV229" s="21">
        <f>100*(AV95-AV94)</f>
        <v/>
      </c>
      <c r="AW229" s="21">
        <f>100*(AW95-AW94)</f>
        <v/>
      </c>
      <c r="AX229" s="21">
        <f>100*(AX95-AX94)</f>
        <v/>
      </c>
      <c r="AY229" s="21">
        <f>100*(AY95-AY94)</f>
        <v/>
      </c>
      <c r="AZ229" s="21">
        <f>100*(AZ95-AZ94)</f>
        <v/>
      </c>
      <c r="BA229" s="21">
        <f>100*(BA95-BA94)</f>
        <v/>
      </c>
      <c r="BB229" s="21">
        <f>100*(BB95-BB94)</f>
        <v/>
      </c>
      <c r="BC229" s="21">
        <f>100*(BC95-BC94)</f>
        <v/>
      </c>
      <c r="BD229" s="21">
        <f>100*(BD95-BD94)</f>
        <v/>
      </c>
      <c r="BE229" s="21">
        <f>100*(BE95-BE94)</f>
        <v/>
      </c>
      <c r="BF229" s="21">
        <f>100*(BF95-BF94)</f>
        <v/>
      </c>
      <c r="BG229" s="21">
        <f>100*(BG95-BG94)</f>
        <v/>
      </c>
      <c r="BH229" s="21">
        <f>AVERAGE(C229:BG229)</f>
        <v/>
      </c>
    </row>
    <row r="230">
      <c r="A230" s="19">
        <f>A96</f>
        <v/>
      </c>
      <c r="B230" s="20">
        <f>B96</f>
        <v/>
      </c>
      <c r="C230" s="21">
        <f>100*(C96-C95)</f>
        <v/>
      </c>
      <c r="D230" s="21">
        <f>100*(D96-D95)</f>
        <v/>
      </c>
      <c r="E230" s="21">
        <f>100*(E96-E95)</f>
        <v/>
      </c>
      <c r="F230" s="21">
        <f>100*(F96-F95)</f>
        <v/>
      </c>
      <c r="G230" s="21">
        <f>100*(G96-G95)</f>
        <v/>
      </c>
      <c r="H230" s="21">
        <f>100*(H96-H95)</f>
        <v/>
      </c>
      <c r="I230" s="21">
        <f>100*(I96-I95)</f>
        <v/>
      </c>
      <c r="J230" s="21">
        <f>100*(J96-J95)</f>
        <v/>
      </c>
      <c r="K230" s="21">
        <f>100*(K96-K95)</f>
        <v/>
      </c>
      <c r="L230" s="21">
        <f>100*(L96-L95)</f>
        <v/>
      </c>
      <c r="M230" s="21">
        <f>100*(M96-M95)</f>
        <v/>
      </c>
      <c r="N230" s="21">
        <f>100*(N96-N95)</f>
        <v/>
      </c>
      <c r="O230" s="21">
        <f>100*(O96-O95)</f>
        <v/>
      </c>
      <c r="P230" s="21">
        <f>100*(P96-P95)</f>
        <v/>
      </c>
      <c r="Q230" s="21">
        <f>100*(Q96-Q95)</f>
        <v/>
      </c>
      <c r="R230" s="21">
        <f>100*(R96-R95)</f>
        <v/>
      </c>
      <c r="S230" s="21">
        <f>100*(S96-S95)</f>
        <v/>
      </c>
      <c r="T230" s="21">
        <f>100*(T96-T95)</f>
        <v/>
      </c>
      <c r="U230" s="21">
        <f>100*(U96-U95)</f>
        <v/>
      </c>
      <c r="V230" s="21">
        <f>100*(V96-V95)</f>
        <v/>
      </c>
      <c r="W230" s="21">
        <f>100*(W96-W95)</f>
        <v/>
      </c>
      <c r="X230" s="21">
        <f>100*(X96-X95)</f>
        <v/>
      </c>
      <c r="Y230" s="21">
        <f>100*(Y96-Y95)</f>
        <v/>
      </c>
      <c r="Z230" s="21">
        <f>100*(Z96-Z95)</f>
        <v/>
      </c>
      <c r="AA230" s="21">
        <f>100*(AA96-AA95)</f>
        <v/>
      </c>
      <c r="AB230" s="21">
        <f>100*(AB96-AB95)</f>
        <v/>
      </c>
      <c r="AC230" s="21">
        <f>100*(AC96-AC95)</f>
        <v/>
      </c>
      <c r="AD230" s="21">
        <f>100*(AD96-AD95)</f>
        <v/>
      </c>
      <c r="AE230" s="21">
        <f>100*(AE96-AE95)</f>
        <v/>
      </c>
      <c r="AF230" s="21">
        <f>100*(AF96-AF95)</f>
        <v/>
      </c>
      <c r="AG230" s="21">
        <f>100*(AG96-AG95)</f>
        <v/>
      </c>
      <c r="AH230" s="21">
        <f>100*(AH96-AH95)</f>
        <v/>
      </c>
      <c r="AI230" s="21">
        <f>100*(AI96-AI95)</f>
        <v/>
      </c>
      <c r="AJ230" s="21">
        <f>100*(AJ96-AJ95)</f>
        <v/>
      </c>
      <c r="AK230" s="21">
        <f>100*(AK96-AK95)</f>
        <v/>
      </c>
      <c r="AL230" s="21">
        <f>100*(AL96-AL95)</f>
        <v/>
      </c>
      <c r="AM230" s="21">
        <f>100*(AM96-AM95)</f>
        <v/>
      </c>
      <c r="AN230" s="21">
        <f>100*(AN96-AN95)</f>
        <v/>
      </c>
      <c r="AO230" s="21">
        <f>100*(AO96-AO95)</f>
        <v/>
      </c>
      <c r="AP230" s="21">
        <f>100*(AP96-AP95)</f>
        <v/>
      </c>
      <c r="AQ230" s="21">
        <f>100*(AQ96-AQ95)</f>
        <v/>
      </c>
      <c r="AR230" s="21">
        <f>100*(AR96-AR95)</f>
        <v/>
      </c>
      <c r="AS230" s="21">
        <f>100*(AS96-AS95)</f>
        <v/>
      </c>
      <c r="AT230" s="21">
        <f>100*(AT96-AT95)</f>
        <v/>
      </c>
      <c r="AU230" s="21">
        <f>100*(AU96-AU95)</f>
        <v/>
      </c>
      <c r="AV230" s="21">
        <f>100*(AV96-AV95)</f>
        <v/>
      </c>
      <c r="AW230" s="21">
        <f>100*(AW96-AW95)</f>
        <v/>
      </c>
      <c r="AX230" s="21">
        <f>100*(AX96-AX95)</f>
        <v/>
      </c>
      <c r="AY230" s="21">
        <f>100*(AY96-AY95)</f>
        <v/>
      </c>
      <c r="AZ230" s="21">
        <f>100*(AZ96-AZ95)</f>
        <v/>
      </c>
      <c r="BA230" s="21">
        <f>100*(BA96-BA95)</f>
        <v/>
      </c>
      <c r="BB230" s="21">
        <f>100*(BB96-BB95)</f>
        <v/>
      </c>
      <c r="BC230" s="21">
        <f>100*(BC96-BC95)</f>
        <v/>
      </c>
      <c r="BD230" s="21">
        <f>100*(BD96-BD95)</f>
        <v/>
      </c>
      <c r="BE230" s="21">
        <f>100*(BE96-BE95)</f>
        <v/>
      </c>
      <c r="BF230" s="21">
        <f>100*(BF96-BF95)</f>
        <v/>
      </c>
      <c r="BG230" s="21">
        <f>100*(BG96-BG95)</f>
        <v/>
      </c>
      <c r="BH230" s="21">
        <f>AVERAGE(C230:BG230)</f>
        <v/>
      </c>
    </row>
    <row r="231">
      <c r="A231" s="19">
        <f>A97</f>
        <v/>
      </c>
      <c r="B231" s="20">
        <f>B97</f>
        <v/>
      </c>
      <c r="C231" s="21">
        <f>100*(C97-C96)</f>
        <v/>
      </c>
      <c r="D231" s="21">
        <f>100*(D97-D96)</f>
        <v/>
      </c>
      <c r="E231" s="21">
        <f>100*(E97-E96)</f>
        <v/>
      </c>
      <c r="F231" s="21">
        <f>100*(F97-F96)</f>
        <v/>
      </c>
      <c r="G231" s="21">
        <f>100*(G97-G96)</f>
        <v/>
      </c>
      <c r="H231" s="21">
        <f>100*(H97-H96)</f>
        <v/>
      </c>
      <c r="I231" s="21">
        <f>100*(I97-I96)</f>
        <v/>
      </c>
      <c r="J231" s="21">
        <f>100*(J97-J96)</f>
        <v/>
      </c>
      <c r="K231" s="21">
        <f>100*(K97-K96)</f>
        <v/>
      </c>
      <c r="L231" s="21">
        <f>100*(L97-L96)</f>
        <v/>
      </c>
      <c r="M231" s="21">
        <f>100*(M97-M96)</f>
        <v/>
      </c>
      <c r="N231" s="21">
        <f>100*(N97-N96)</f>
        <v/>
      </c>
      <c r="O231" s="21">
        <f>100*(O97-O96)</f>
        <v/>
      </c>
      <c r="P231" s="21">
        <f>100*(P97-P96)</f>
        <v/>
      </c>
      <c r="Q231" s="21">
        <f>100*(Q97-Q96)</f>
        <v/>
      </c>
      <c r="R231" s="21">
        <f>100*(R97-R96)</f>
        <v/>
      </c>
      <c r="S231" s="21">
        <f>100*(S97-S96)</f>
        <v/>
      </c>
      <c r="T231" s="21">
        <f>100*(T97-T96)</f>
        <v/>
      </c>
      <c r="U231" s="21">
        <f>100*(U97-U96)</f>
        <v/>
      </c>
      <c r="V231" s="21">
        <f>100*(V97-V96)</f>
        <v/>
      </c>
      <c r="W231" s="21">
        <f>100*(W97-W96)</f>
        <v/>
      </c>
      <c r="X231" s="21">
        <f>100*(X97-X96)</f>
        <v/>
      </c>
      <c r="Y231" s="21">
        <f>100*(Y97-Y96)</f>
        <v/>
      </c>
      <c r="Z231" s="21">
        <f>100*(Z97-Z96)</f>
        <v/>
      </c>
      <c r="AA231" s="21">
        <f>100*(AA97-AA96)</f>
        <v/>
      </c>
      <c r="AB231" s="21">
        <f>100*(AB97-AB96)</f>
        <v/>
      </c>
      <c r="AC231" s="21">
        <f>100*(AC97-AC96)</f>
        <v/>
      </c>
      <c r="AD231" s="21">
        <f>100*(AD97-AD96)</f>
        <v/>
      </c>
      <c r="AE231" s="21">
        <f>100*(AE97-AE96)</f>
        <v/>
      </c>
      <c r="AF231" s="21">
        <f>100*(AF97-AF96)</f>
        <v/>
      </c>
      <c r="AG231" s="21">
        <f>100*(AG97-AG96)</f>
        <v/>
      </c>
      <c r="AH231" s="21">
        <f>100*(AH97-AH96)</f>
        <v/>
      </c>
      <c r="AI231" s="21">
        <f>100*(AI97-AI96)</f>
        <v/>
      </c>
      <c r="AJ231" s="21">
        <f>100*(AJ97-AJ96)</f>
        <v/>
      </c>
      <c r="AK231" s="21">
        <f>100*(AK97-AK96)</f>
        <v/>
      </c>
      <c r="AL231" s="21">
        <f>100*(AL97-AL96)</f>
        <v/>
      </c>
      <c r="AM231" s="21">
        <f>100*(AM97-AM96)</f>
        <v/>
      </c>
      <c r="AN231" s="21">
        <f>100*(AN97-AN96)</f>
        <v/>
      </c>
      <c r="AO231" s="21">
        <f>100*(AO97-AO96)</f>
        <v/>
      </c>
      <c r="AP231" s="21">
        <f>100*(AP97-AP96)</f>
        <v/>
      </c>
      <c r="AQ231" s="21">
        <f>100*(AQ97-AQ96)</f>
        <v/>
      </c>
      <c r="AR231" s="21">
        <f>100*(AR97-AR96)</f>
        <v/>
      </c>
      <c r="AS231" s="21">
        <f>100*(AS97-AS96)</f>
        <v/>
      </c>
      <c r="AT231" s="21">
        <f>100*(AT97-AT96)</f>
        <v/>
      </c>
      <c r="AU231" s="21">
        <f>100*(AU97-AU96)</f>
        <v/>
      </c>
      <c r="AV231" s="21">
        <f>100*(AV97-AV96)</f>
        <v/>
      </c>
      <c r="AW231" s="21">
        <f>100*(AW97-AW96)</f>
        <v/>
      </c>
      <c r="AX231" s="21">
        <f>100*(AX97-AX96)</f>
        <v/>
      </c>
      <c r="AY231" s="21">
        <f>100*(AY97-AY96)</f>
        <v/>
      </c>
      <c r="AZ231" s="21">
        <f>100*(AZ97-AZ96)</f>
        <v/>
      </c>
      <c r="BA231" s="21">
        <f>100*(BA97-BA96)</f>
        <v/>
      </c>
      <c r="BB231" s="21">
        <f>100*(BB97-BB96)</f>
        <v/>
      </c>
      <c r="BC231" s="21">
        <f>100*(BC97-BC96)</f>
        <v/>
      </c>
      <c r="BD231" s="21">
        <f>100*(BD97-BD96)</f>
        <v/>
      </c>
      <c r="BE231" s="21">
        <f>100*(BE97-BE96)</f>
        <v/>
      </c>
      <c r="BF231" s="21">
        <f>100*(BF97-BF96)</f>
        <v/>
      </c>
      <c r="BG231" s="21">
        <f>100*(BG97-BG96)</f>
        <v/>
      </c>
      <c r="BH231" s="21">
        <f>AVERAGE(C231:BG231)</f>
        <v/>
      </c>
    </row>
    <row r="232">
      <c r="A232" s="19">
        <f>A98</f>
        <v/>
      </c>
      <c r="B232" s="20">
        <f>B98</f>
        <v/>
      </c>
      <c r="C232" s="21">
        <f>100*(C98-C97)</f>
        <v/>
      </c>
      <c r="D232" s="21">
        <f>100*(D98-D97)</f>
        <v/>
      </c>
      <c r="E232" s="21">
        <f>100*(E98-E97)</f>
        <v/>
      </c>
      <c r="F232" s="21">
        <f>100*(F98-F97)</f>
        <v/>
      </c>
      <c r="G232" s="21">
        <f>100*(G98-G97)</f>
        <v/>
      </c>
      <c r="H232" s="21">
        <f>100*(H98-H97)</f>
        <v/>
      </c>
      <c r="I232" s="21">
        <f>100*(I98-I97)</f>
        <v/>
      </c>
      <c r="J232" s="21">
        <f>100*(J98-J97)</f>
        <v/>
      </c>
      <c r="K232" s="21">
        <f>100*(K98-K97)</f>
        <v/>
      </c>
      <c r="L232" s="21">
        <f>100*(L98-L97)</f>
        <v/>
      </c>
      <c r="M232" s="21">
        <f>100*(M98-M97)</f>
        <v/>
      </c>
      <c r="N232" s="21">
        <f>100*(N98-N97)</f>
        <v/>
      </c>
      <c r="O232" s="21">
        <f>100*(O98-O97)</f>
        <v/>
      </c>
      <c r="P232" s="21">
        <f>100*(P98-P97)</f>
        <v/>
      </c>
      <c r="Q232" s="21">
        <f>100*(Q98-Q97)</f>
        <v/>
      </c>
      <c r="R232" s="21">
        <f>100*(R98-R97)</f>
        <v/>
      </c>
      <c r="S232" s="21">
        <f>100*(S98-S97)</f>
        <v/>
      </c>
      <c r="T232" s="21">
        <f>100*(T98-T97)</f>
        <v/>
      </c>
      <c r="U232" s="21">
        <f>100*(U98-U97)</f>
        <v/>
      </c>
      <c r="V232" s="21">
        <f>100*(V98-V97)</f>
        <v/>
      </c>
      <c r="W232" s="21">
        <f>100*(W98-W97)</f>
        <v/>
      </c>
      <c r="X232" s="21">
        <f>100*(X98-X97)</f>
        <v/>
      </c>
      <c r="Y232" s="21">
        <f>100*(Y98-Y97)</f>
        <v/>
      </c>
      <c r="Z232" s="21">
        <f>100*(Z98-Z97)</f>
        <v/>
      </c>
      <c r="AA232" s="21">
        <f>100*(AA98-AA97)</f>
        <v/>
      </c>
      <c r="AB232" s="21">
        <f>100*(AB98-AB97)</f>
        <v/>
      </c>
      <c r="AC232" s="21">
        <f>100*(AC98-AC97)</f>
        <v/>
      </c>
      <c r="AD232" s="21">
        <f>100*(AD98-AD97)</f>
        <v/>
      </c>
      <c r="AE232" s="21">
        <f>100*(AE98-AE97)</f>
        <v/>
      </c>
      <c r="AF232" s="21">
        <f>100*(AF98-AF97)</f>
        <v/>
      </c>
      <c r="AG232" s="21">
        <f>100*(AG98-AG97)</f>
        <v/>
      </c>
      <c r="AH232" s="21">
        <f>100*(AH98-AH97)</f>
        <v/>
      </c>
      <c r="AI232" s="21">
        <f>100*(AI98-AI97)</f>
        <v/>
      </c>
      <c r="AJ232" s="21">
        <f>100*(AJ98-AJ97)</f>
        <v/>
      </c>
      <c r="AK232" s="21">
        <f>100*(AK98-AK97)</f>
        <v/>
      </c>
      <c r="AL232" s="21">
        <f>100*(AL98-AL97)</f>
        <v/>
      </c>
      <c r="AM232" s="21">
        <f>100*(AM98-AM97)</f>
        <v/>
      </c>
      <c r="AN232" s="21">
        <f>100*(AN98-AN97)</f>
        <v/>
      </c>
      <c r="AO232" s="21">
        <f>100*(AO98-AO97)</f>
        <v/>
      </c>
      <c r="AP232" s="21">
        <f>100*(AP98-AP97)</f>
        <v/>
      </c>
      <c r="AQ232" s="21">
        <f>100*(AQ98-AQ97)</f>
        <v/>
      </c>
      <c r="AR232" s="21">
        <f>100*(AR98-AR97)</f>
        <v/>
      </c>
      <c r="AS232" s="21">
        <f>100*(AS98-AS97)</f>
        <v/>
      </c>
      <c r="AT232" s="21">
        <f>100*(AT98-AT97)</f>
        <v/>
      </c>
      <c r="AU232" s="21">
        <f>100*(AU98-AU97)</f>
        <v/>
      </c>
      <c r="AV232" s="21">
        <f>100*(AV98-AV97)</f>
        <v/>
      </c>
      <c r="AW232" s="21">
        <f>100*(AW98-AW97)</f>
        <v/>
      </c>
      <c r="AX232" s="21">
        <f>100*(AX98-AX97)</f>
        <v/>
      </c>
      <c r="AY232" s="21">
        <f>100*(AY98-AY97)</f>
        <v/>
      </c>
      <c r="AZ232" s="21">
        <f>100*(AZ98-AZ97)</f>
        <v/>
      </c>
      <c r="BA232" s="21">
        <f>100*(BA98-BA97)</f>
        <v/>
      </c>
      <c r="BB232" s="21">
        <f>100*(BB98-BB97)</f>
        <v/>
      </c>
      <c r="BC232" s="21">
        <f>100*(BC98-BC97)</f>
        <v/>
      </c>
      <c r="BD232" s="21">
        <f>100*(BD98-BD97)</f>
        <v/>
      </c>
      <c r="BE232" s="21">
        <f>100*(BE98-BE97)</f>
        <v/>
      </c>
      <c r="BF232" s="21">
        <f>100*(BF98-BF97)</f>
        <v/>
      </c>
      <c r="BG232" s="21">
        <f>100*(BG98-BG97)</f>
        <v/>
      </c>
      <c r="BH232" s="21">
        <f>AVERAGE(C232:BG232)</f>
        <v/>
      </c>
    </row>
    <row r="233">
      <c r="A233" s="19">
        <f>A99</f>
        <v/>
      </c>
      <c r="B233" s="20">
        <f>B99</f>
        <v/>
      </c>
      <c r="C233" s="21">
        <f>100*(C99-C98)</f>
        <v/>
      </c>
      <c r="D233" s="21">
        <f>100*(D99-D98)</f>
        <v/>
      </c>
      <c r="E233" s="21">
        <f>100*(E99-E98)</f>
        <v/>
      </c>
      <c r="F233" s="21">
        <f>100*(F99-F98)</f>
        <v/>
      </c>
      <c r="G233" s="21">
        <f>100*(G99-G98)</f>
        <v/>
      </c>
      <c r="H233" s="21">
        <f>100*(H99-H98)</f>
        <v/>
      </c>
      <c r="I233" s="21">
        <f>100*(I99-I98)</f>
        <v/>
      </c>
      <c r="J233" s="21">
        <f>100*(J99-J98)</f>
        <v/>
      </c>
      <c r="K233" s="21">
        <f>100*(K99-K98)</f>
        <v/>
      </c>
      <c r="L233" s="21">
        <f>100*(L99-L98)</f>
        <v/>
      </c>
      <c r="M233" s="21">
        <f>100*(M99-M98)</f>
        <v/>
      </c>
      <c r="N233" s="21">
        <f>100*(N99-N98)</f>
        <v/>
      </c>
      <c r="O233" s="21">
        <f>100*(O99-O98)</f>
        <v/>
      </c>
      <c r="P233" s="21">
        <f>100*(P99-P98)</f>
        <v/>
      </c>
      <c r="Q233" s="21">
        <f>100*(Q99-Q98)</f>
        <v/>
      </c>
      <c r="R233" s="21">
        <f>100*(R99-R98)</f>
        <v/>
      </c>
      <c r="S233" s="21">
        <f>100*(S99-S98)</f>
        <v/>
      </c>
      <c r="T233" s="21">
        <f>100*(T99-T98)</f>
        <v/>
      </c>
      <c r="U233" s="21">
        <f>100*(U99-U98)</f>
        <v/>
      </c>
      <c r="V233" s="21">
        <f>100*(V99-V98)</f>
        <v/>
      </c>
      <c r="W233" s="21">
        <f>100*(W99-W98)</f>
        <v/>
      </c>
      <c r="X233" s="21">
        <f>100*(X99-X98)</f>
        <v/>
      </c>
      <c r="Y233" s="21">
        <f>100*(Y99-Y98)</f>
        <v/>
      </c>
      <c r="Z233" s="21">
        <f>100*(Z99-Z98)</f>
        <v/>
      </c>
      <c r="AA233" s="21">
        <f>100*(AA99-AA98)</f>
        <v/>
      </c>
      <c r="AB233" s="21">
        <f>100*(AB99-AB98)</f>
        <v/>
      </c>
      <c r="AC233" s="21">
        <f>100*(AC99-AC98)</f>
        <v/>
      </c>
      <c r="AD233" s="21">
        <f>100*(AD99-AD98)</f>
        <v/>
      </c>
      <c r="AE233" s="21">
        <f>100*(AE99-AE98)</f>
        <v/>
      </c>
      <c r="AF233" s="21">
        <f>100*(AF99-AF98)</f>
        <v/>
      </c>
      <c r="AG233" s="21">
        <f>100*(AG99-AG98)</f>
        <v/>
      </c>
      <c r="AH233" s="21">
        <f>100*(AH99-AH98)</f>
        <v/>
      </c>
      <c r="AI233" s="21">
        <f>100*(AI99-AI98)</f>
        <v/>
      </c>
      <c r="AJ233" s="21">
        <f>100*(AJ99-AJ98)</f>
        <v/>
      </c>
      <c r="AK233" s="21">
        <f>100*(AK99-AK98)</f>
        <v/>
      </c>
      <c r="AL233" s="21">
        <f>100*(AL99-AL98)</f>
        <v/>
      </c>
      <c r="AM233" s="21">
        <f>100*(AM99-AM98)</f>
        <v/>
      </c>
      <c r="AN233" s="21">
        <f>100*(AN99-AN98)</f>
        <v/>
      </c>
      <c r="AO233" s="21">
        <f>100*(AO99-AO98)</f>
        <v/>
      </c>
      <c r="AP233" s="21">
        <f>100*(AP99-AP98)</f>
        <v/>
      </c>
      <c r="AQ233" s="21">
        <f>100*(AQ99-AQ98)</f>
        <v/>
      </c>
      <c r="AR233" s="21">
        <f>100*(AR99-AR98)</f>
        <v/>
      </c>
      <c r="AS233" s="21">
        <f>100*(AS99-AS98)</f>
        <v/>
      </c>
      <c r="AT233" s="21">
        <f>100*(AT99-AT98)</f>
        <v/>
      </c>
      <c r="AU233" s="21">
        <f>100*(AU99-AU98)</f>
        <v/>
      </c>
      <c r="AV233" s="21">
        <f>100*(AV99-AV98)</f>
        <v/>
      </c>
      <c r="AW233" s="21">
        <f>100*(AW99-AW98)</f>
        <v/>
      </c>
      <c r="AX233" s="21">
        <f>100*(AX99-AX98)</f>
        <v/>
      </c>
      <c r="AY233" s="21">
        <f>100*(AY99-AY98)</f>
        <v/>
      </c>
      <c r="AZ233" s="21">
        <f>100*(AZ99-AZ98)</f>
        <v/>
      </c>
      <c r="BA233" s="21">
        <f>100*(BA99-BA98)</f>
        <v/>
      </c>
      <c r="BB233" s="21">
        <f>100*(BB99-BB98)</f>
        <v/>
      </c>
      <c r="BC233" s="21">
        <f>100*(BC99-BC98)</f>
        <v/>
      </c>
      <c r="BD233" s="21">
        <f>100*(BD99-BD98)</f>
        <v/>
      </c>
      <c r="BE233" s="21">
        <f>100*(BE99-BE98)</f>
        <v/>
      </c>
      <c r="BF233" s="21">
        <f>100*(BF99-BF98)</f>
        <v/>
      </c>
      <c r="BG233" s="21">
        <f>100*(BG99-BG98)</f>
        <v/>
      </c>
      <c r="BH233" s="21">
        <f>AVERAGE(C233:BG233)</f>
        <v/>
      </c>
    </row>
    <row r="234">
      <c r="A234" s="19">
        <f>A100</f>
        <v/>
      </c>
      <c r="B234" s="20">
        <f>B100</f>
        <v/>
      </c>
      <c r="C234" s="21">
        <f>100*(C100-C99)</f>
        <v/>
      </c>
      <c r="D234" s="21">
        <f>100*(D100-D99)</f>
        <v/>
      </c>
      <c r="E234" s="21">
        <f>100*(E100-E99)</f>
        <v/>
      </c>
      <c r="F234" s="21">
        <f>100*(F100-F99)</f>
        <v/>
      </c>
      <c r="G234" s="21">
        <f>100*(G100-G99)</f>
        <v/>
      </c>
      <c r="H234" s="21">
        <f>100*(H100-H99)</f>
        <v/>
      </c>
      <c r="I234" s="21">
        <f>100*(I100-I99)</f>
        <v/>
      </c>
      <c r="J234" s="21">
        <f>100*(J100-J99)</f>
        <v/>
      </c>
      <c r="K234" s="21">
        <f>100*(K100-K99)</f>
        <v/>
      </c>
      <c r="L234" s="21">
        <f>100*(L100-L99)</f>
        <v/>
      </c>
      <c r="M234" s="21">
        <f>100*(M100-M99)</f>
        <v/>
      </c>
      <c r="N234" s="21">
        <f>100*(N100-N99)</f>
        <v/>
      </c>
      <c r="O234" s="21">
        <f>100*(O100-O99)</f>
        <v/>
      </c>
      <c r="P234" s="21">
        <f>100*(P100-P99)</f>
        <v/>
      </c>
      <c r="Q234" s="21">
        <f>100*(Q100-Q99)</f>
        <v/>
      </c>
      <c r="R234" s="21">
        <f>100*(R100-R99)</f>
        <v/>
      </c>
      <c r="S234" s="21">
        <f>100*(S100-S99)</f>
        <v/>
      </c>
      <c r="T234" s="21">
        <f>100*(T100-T99)</f>
        <v/>
      </c>
      <c r="U234" s="21">
        <f>100*(U100-U99)</f>
        <v/>
      </c>
      <c r="V234" s="21">
        <f>100*(V100-V99)</f>
        <v/>
      </c>
      <c r="W234" s="21">
        <f>100*(W100-W99)</f>
        <v/>
      </c>
      <c r="X234" s="21">
        <f>100*(X100-X99)</f>
        <v/>
      </c>
      <c r="Y234" s="21">
        <f>100*(Y100-Y99)</f>
        <v/>
      </c>
      <c r="Z234" s="21">
        <f>100*(Z100-Z99)</f>
        <v/>
      </c>
      <c r="AA234" s="21">
        <f>100*(AA100-AA99)</f>
        <v/>
      </c>
      <c r="AB234" s="21">
        <f>100*(AB100-AB99)</f>
        <v/>
      </c>
      <c r="AC234" s="21">
        <f>100*(AC100-AC99)</f>
        <v/>
      </c>
      <c r="AD234" s="21">
        <f>100*(AD100-AD99)</f>
        <v/>
      </c>
      <c r="AE234" s="21">
        <f>100*(AE100-AE99)</f>
        <v/>
      </c>
      <c r="AF234" s="21">
        <f>100*(AF100-AF99)</f>
        <v/>
      </c>
      <c r="AG234" s="21">
        <f>100*(AG100-AG99)</f>
        <v/>
      </c>
      <c r="AH234" s="21">
        <f>100*(AH100-AH99)</f>
        <v/>
      </c>
      <c r="AI234" s="21">
        <f>100*(AI100-AI99)</f>
        <v/>
      </c>
      <c r="AJ234" s="21">
        <f>100*(AJ100-AJ99)</f>
        <v/>
      </c>
      <c r="AK234" s="21">
        <f>100*(AK100-AK99)</f>
        <v/>
      </c>
      <c r="AL234" s="21">
        <f>100*(AL100-AL99)</f>
        <v/>
      </c>
      <c r="AM234" s="21">
        <f>100*(AM100-AM99)</f>
        <v/>
      </c>
      <c r="AN234" s="21">
        <f>100*(AN100-AN99)</f>
        <v/>
      </c>
      <c r="AO234" s="21">
        <f>100*(AO100-AO99)</f>
        <v/>
      </c>
      <c r="AP234" s="21">
        <f>100*(AP100-AP99)</f>
        <v/>
      </c>
      <c r="AQ234" s="21">
        <f>100*(AQ100-AQ99)</f>
        <v/>
      </c>
      <c r="AR234" s="21">
        <f>100*(AR100-AR99)</f>
        <v/>
      </c>
      <c r="AS234" s="21">
        <f>100*(AS100-AS99)</f>
        <v/>
      </c>
      <c r="AT234" s="21">
        <f>100*(AT100-AT99)</f>
        <v/>
      </c>
      <c r="AU234" s="21">
        <f>100*(AU100-AU99)</f>
        <v/>
      </c>
      <c r="AV234" s="21">
        <f>100*(AV100-AV99)</f>
        <v/>
      </c>
      <c r="AW234" s="21">
        <f>100*(AW100-AW99)</f>
        <v/>
      </c>
      <c r="AX234" s="21">
        <f>100*(AX100-AX99)</f>
        <v/>
      </c>
      <c r="AY234" s="21">
        <f>100*(AY100-AY99)</f>
        <v/>
      </c>
      <c r="AZ234" s="21">
        <f>100*(AZ100-AZ99)</f>
        <v/>
      </c>
      <c r="BA234" s="21">
        <f>100*(BA100-BA99)</f>
        <v/>
      </c>
      <c r="BB234" s="21">
        <f>100*(BB100-BB99)</f>
        <v/>
      </c>
      <c r="BC234" s="21">
        <f>100*(BC100-BC99)</f>
        <v/>
      </c>
      <c r="BD234" s="21">
        <f>100*(BD100-BD99)</f>
        <v/>
      </c>
      <c r="BE234" s="21">
        <f>100*(BE100-BE99)</f>
        <v/>
      </c>
      <c r="BF234" s="21">
        <f>100*(BF100-BF99)</f>
        <v/>
      </c>
      <c r="BG234" s="21">
        <f>100*(BG100-BG99)</f>
        <v/>
      </c>
      <c r="BH234" s="21">
        <f>AVERAGE(C234:BG234)</f>
        <v/>
      </c>
    </row>
    <row r="235">
      <c r="A235" s="19">
        <f>A101</f>
        <v/>
      </c>
      <c r="B235" s="20">
        <f>B101</f>
        <v/>
      </c>
      <c r="C235" s="21">
        <f>100*(C101-C100)</f>
        <v/>
      </c>
      <c r="D235" s="21">
        <f>100*(D101-D100)</f>
        <v/>
      </c>
      <c r="E235" s="21">
        <f>100*(E101-E100)</f>
        <v/>
      </c>
      <c r="F235" s="21">
        <f>100*(F101-F100)</f>
        <v/>
      </c>
      <c r="G235" s="21">
        <f>100*(G101-G100)</f>
        <v/>
      </c>
      <c r="H235" s="21">
        <f>100*(H101-H100)</f>
        <v/>
      </c>
      <c r="I235" s="21">
        <f>100*(I101-I100)</f>
        <v/>
      </c>
      <c r="J235" s="21">
        <f>100*(J101-J100)</f>
        <v/>
      </c>
      <c r="K235" s="21">
        <f>100*(K101-K100)</f>
        <v/>
      </c>
      <c r="L235" s="21">
        <f>100*(L101-L100)</f>
        <v/>
      </c>
      <c r="M235" s="21">
        <f>100*(M101-M100)</f>
        <v/>
      </c>
      <c r="N235" s="21">
        <f>100*(N101-N100)</f>
        <v/>
      </c>
      <c r="O235" s="21">
        <f>100*(O101-O100)</f>
        <v/>
      </c>
      <c r="P235" s="21">
        <f>100*(P101-P100)</f>
        <v/>
      </c>
      <c r="Q235" s="21">
        <f>100*(Q101-Q100)</f>
        <v/>
      </c>
      <c r="R235" s="21">
        <f>100*(R101-R100)</f>
        <v/>
      </c>
      <c r="S235" s="21">
        <f>100*(S101-S100)</f>
        <v/>
      </c>
      <c r="T235" s="21">
        <f>100*(T101-T100)</f>
        <v/>
      </c>
      <c r="U235" s="21">
        <f>100*(U101-U100)</f>
        <v/>
      </c>
      <c r="V235" s="21">
        <f>100*(V101-V100)</f>
        <v/>
      </c>
      <c r="W235" s="21">
        <f>100*(W101-W100)</f>
        <v/>
      </c>
      <c r="X235" s="21">
        <f>100*(X101-X100)</f>
        <v/>
      </c>
      <c r="Y235" s="21">
        <f>100*(Y101-Y100)</f>
        <v/>
      </c>
      <c r="Z235" s="21">
        <f>100*(Z101-Z100)</f>
        <v/>
      </c>
      <c r="AA235" s="21">
        <f>100*(AA101-AA100)</f>
        <v/>
      </c>
      <c r="AB235" s="21">
        <f>100*(AB101-AB100)</f>
        <v/>
      </c>
      <c r="AC235" s="21">
        <f>100*(AC101-AC100)</f>
        <v/>
      </c>
      <c r="AD235" s="21">
        <f>100*(AD101-AD100)</f>
        <v/>
      </c>
      <c r="AE235" s="21">
        <f>100*(AE101-AE100)</f>
        <v/>
      </c>
      <c r="AF235" s="21">
        <f>100*(AF101-AF100)</f>
        <v/>
      </c>
      <c r="AG235" s="21">
        <f>100*(AG101-AG100)</f>
        <v/>
      </c>
      <c r="AH235" s="21">
        <f>100*(AH101-AH100)</f>
        <v/>
      </c>
      <c r="AI235" s="21">
        <f>100*(AI101-AI100)</f>
        <v/>
      </c>
      <c r="AJ235" s="21">
        <f>100*(AJ101-AJ100)</f>
        <v/>
      </c>
      <c r="AK235" s="21">
        <f>100*(AK101-AK100)</f>
        <v/>
      </c>
      <c r="AL235" s="21">
        <f>100*(AL101-AL100)</f>
        <v/>
      </c>
      <c r="AM235" s="21">
        <f>100*(AM101-AM100)</f>
        <v/>
      </c>
      <c r="AN235" s="21">
        <f>100*(AN101-AN100)</f>
        <v/>
      </c>
      <c r="AO235" s="21">
        <f>100*(AO101-AO100)</f>
        <v/>
      </c>
      <c r="AP235" s="21">
        <f>100*(AP101-AP100)</f>
        <v/>
      </c>
      <c r="AQ235" s="21">
        <f>100*(AQ101-AQ100)</f>
        <v/>
      </c>
      <c r="AR235" s="21">
        <f>100*(AR101-AR100)</f>
        <v/>
      </c>
      <c r="AS235" s="21">
        <f>100*(AS101-AS100)</f>
        <v/>
      </c>
      <c r="AT235" s="21">
        <f>100*(AT101-AT100)</f>
        <v/>
      </c>
      <c r="AU235" s="21">
        <f>100*(AU101-AU100)</f>
        <v/>
      </c>
      <c r="AV235" s="21">
        <f>100*(AV101-AV100)</f>
        <v/>
      </c>
      <c r="AW235" s="21">
        <f>100*(AW101-AW100)</f>
        <v/>
      </c>
      <c r="AX235" s="21">
        <f>100*(AX101-AX100)</f>
        <v/>
      </c>
      <c r="AY235" s="21">
        <f>100*(AY101-AY100)</f>
        <v/>
      </c>
      <c r="AZ235" s="21">
        <f>100*(AZ101-AZ100)</f>
        <v/>
      </c>
      <c r="BA235" s="21">
        <f>100*(BA101-BA100)</f>
        <v/>
      </c>
      <c r="BB235" s="21">
        <f>100*(BB101-BB100)</f>
        <v/>
      </c>
      <c r="BC235" s="21">
        <f>100*(BC101-BC100)</f>
        <v/>
      </c>
      <c r="BD235" s="21">
        <f>100*(BD101-BD100)</f>
        <v/>
      </c>
      <c r="BE235" s="21">
        <f>100*(BE101-BE100)</f>
        <v/>
      </c>
      <c r="BF235" s="21">
        <f>100*(BF101-BF100)</f>
        <v/>
      </c>
      <c r="BG235" s="21">
        <f>100*(BG101-BG100)</f>
        <v/>
      </c>
      <c r="BH235" s="21">
        <f>AVERAGE(C235:BG235)</f>
        <v/>
      </c>
    </row>
    <row r="236">
      <c r="A236" s="19">
        <f>A102</f>
        <v/>
      </c>
      <c r="B236" s="20">
        <f>B102</f>
        <v/>
      </c>
      <c r="C236" s="21">
        <f>100*(C102-C101)</f>
        <v/>
      </c>
      <c r="D236" s="21">
        <f>100*(D102-D101)</f>
        <v/>
      </c>
      <c r="E236" s="21">
        <f>100*(E102-E101)</f>
        <v/>
      </c>
      <c r="F236" s="21">
        <f>100*(F102-F101)</f>
        <v/>
      </c>
      <c r="G236" s="21">
        <f>100*(G102-G101)</f>
        <v/>
      </c>
      <c r="H236" s="21">
        <f>100*(H102-H101)</f>
        <v/>
      </c>
      <c r="I236" s="21">
        <f>100*(I102-I101)</f>
        <v/>
      </c>
      <c r="J236" s="21">
        <f>100*(J102-J101)</f>
        <v/>
      </c>
      <c r="K236" s="21">
        <f>100*(K102-K101)</f>
        <v/>
      </c>
      <c r="L236" s="21">
        <f>100*(L102-L101)</f>
        <v/>
      </c>
      <c r="M236" s="21">
        <f>100*(M102-M101)</f>
        <v/>
      </c>
      <c r="N236" s="21">
        <f>100*(N102-N101)</f>
        <v/>
      </c>
      <c r="O236" s="21">
        <f>100*(O102-O101)</f>
        <v/>
      </c>
      <c r="P236" s="21">
        <f>100*(P102-P101)</f>
        <v/>
      </c>
      <c r="Q236" s="21">
        <f>100*(Q102-Q101)</f>
        <v/>
      </c>
      <c r="R236" s="21">
        <f>100*(R102-R101)</f>
        <v/>
      </c>
      <c r="S236" s="21">
        <f>100*(S102-S101)</f>
        <v/>
      </c>
      <c r="T236" s="21">
        <f>100*(T102-T101)</f>
        <v/>
      </c>
      <c r="U236" s="21">
        <f>100*(U102-U101)</f>
        <v/>
      </c>
      <c r="V236" s="21">
        <f>100*(V102-V101)</f>
        <v/>
      </c>
      <c r="W236" s="21">
        <f>100*(W102-W101)</f>
        <v/>
      </c>
      <c r="X236" s="21">
        <f>100*(X102-X101)</f>
        <v/>
      </c>
      <c r="Y236" s="21">
        <f>100*(Y102-Y101)</f>
        <v/>
      </c>
      <c r="Z236" s="21">
        <f>100*(Z102-Z101)</f>
        <v/>
      </c>
      <c r="AA236" s="21">
        <f>100*(AA102-AA101)</f>
        <v/>
      </c>
      <c r="AB236" s="21">
        <f>100*(AB102-AB101)</f>
        <v/>
      </c>
      <c r="AC236" s="21">
        <f>100*(AC102-AC101)</f>
        <v/>
      </c>
      <c r="AD236" s="21">
        <f>100*(AD102-AD101)</f>
        <v/>
      </c>
      <c r="AE236" s="21">
        <f>100*(AE102-AE101)</f>
        <v/>
      </c>
      <c r="AF236" s="21">
        <f>100*(AF102-AF101)</f>
        <v/>
      </c>
      <c r="AG236" s="21">
        <f>100*(AG102-AG101)</f>
        <v/>
      </c>
      <c r="AH236" s="21">
        <f>100*(AH102-AH101)</f>
        <v/>
      </c>
      <c r="AI236" s="21">
        <f>100*(AI102-AI101)</f>
        <v/>
      </c>
      <c r="AJ236" s="21">
        <f>100*(AJ102-AJ101)</f>
        <v/>
      </c>
      <c r="AK236" s="21">
        <f>100*(AK102-AK101)</f>
        <v/>
      </c>
      <c r="AL236" s="21">
        <f>100*(AL102-AL101)</f>
        <v/>
      </c>
      <c r="AM236" s="21">
        <f>100*(AM102-AM101)</f>
        <v/>
      </c>
      <c r="AN236" s="21">
        <f>100*(AN102-AN101)</f>
        <v/>
      </c>
      <c r="AO236" s="21">
        <f>100*(AO102-AO101)</f>
        <v/>
      </c>
      <c r="AP236" s="21">
        <f>100*(AP102-AP101)</f>
        <v/>
      </c>
      <c r="AQ236" s="21">
        <f>100*(AQ102-AQ101)</f>
        <v/>
      </c>
      <c r="AR236" s="21">
        <f>100*(AR102-AR101)</f>
        <v/>
      </c>
      <c r="AS236" s="21">
        <f>100*(AS102-AS101)</f>
        <v/>
      </c>
      <c r="AT236" s="21">
        <f>100*(AT102-AT101)</f>
        <v/>
      </c>
      <c r="AU236" s="21">
        <f>100*(AU102-AU101)</f>
        <v/>
      </c>
      <c r="AV236" s="21">
        <f>100*(AV102-AV101)</f>
        <v/>
      </c>
      <c r="AW236" s="21">
        <f>100*(AW102-AW101)</f>
        <v/>
      </c>
      <c r="AX236" s="21">
        <f>100*(AX102-AX101)</f>
        <v/>
      </c>
      <c r="AY236" s="21">
        <f>100*(AY102-AY101)</f>
        <v/>
      </c>
      <c r="AZ236" s="21">
        <f>100*(AZ102-AZ101)</f>
        <v/>
      </c>
      <c r="BA236" s="21">
        <f>100*(BA102-BA101)</f>
        <v/>
      </c>
      <c r="BB236" s="21">
        <f>100*(BB102-BB101)</f>
        <v/>
      </c>
      <c r="BC236" s="21">
        <f>100*(BC102-BC101)</f>
        <v/>
      </c>
      <c r="BD236" s="21">
        <f>100*(BD102-BD101)</f>
        <v/>
      </c>
      <c r="BE236" s="21">
        <f>100*(BE102-BE101)</f>
        <v/>
      </c>
      <c r="BF236" s="21">
        <f>100*(BF102-BF101)</f>
        <v/>
      </c>
      <c r="BG236" s="21">
        <f>100*(BG102-BG101)</f>
        <v/>
      </c>
      <c r="BH236" s="21">
        <f>AVERAGE(C236:BG236)</f>
        <v/>
      </c>
    </row>
    <row r="237">
      <c r="A237" s="19">
        <f>A103</f>
        <v/>
      </c>
      <c r="B237" s="20">
        <f>B103</f>
        <v/>
      </c>
      <c r="C237" s="21">
        <f>100*(C103-C102)</f>
        <v/>
      </c>
      <c r="D237" s="21">
        <f>100*(D103-D102)</f>
        <v/>
      </c>
      <c r="E237" s="21">
        <f>100*(E103-E102)</f>
        <v/>
      </c>
      <c r="F237" s="21">
        <f>100*(F103-F102)</f>
        <v/>
      </c>
      <c r="G237" s="21">
        <f>100*(G103-G102)</f>
        <v/>
      </c>
      <c r="H237" s="21">
        <f>100*(H103-H102)</f>
        <v/>
      </c>
      <c r="I237" s="21">
        <f>100*(I103-I102)</f>
        <v/>
      </c>
      <c r="J237" s="21">
        <f>100*(J103-J102)</f>
        <v/>
      </c>
      <c r="K237" s="21">
        <f>100*(K103-K102)</f>
        <v/>
      </c>
      <c r="L237" s="21">
        <f>100*(L103-L102)</f>
        <v/>
      </c>
      <c r="M237" s="21">
        <f>100*(M103-M102)</f>
        <v/>
      </c>
      <c r="N237" s="21">
        <f>100*(N103-N102)</f>
        <v/>
      </c>
      <c r="O237" s="21">
        <f>100*(O103-O102)</f>
        <v/>
      </c>
      <c r="P237" s="21">
        <f>100*(P103-P102)</f>
        <v/>
      </c>
      <c r="Q237" s="21">
        <f>100*(Q103-Q102)</f>
        <v/>
      </c>
      <c r="R237" s="21">
        <f>100*(R103-R102)</f>
        <v/>
      </c>
      <c r="S237" s="21">
        <f>100*(S103-S102)</f>
        <v/>
      </c>
      <c r="T237" s="21">
        <f>100*(T103-T102)</f>
        <v/>
      </c>
      <c r="U237" s="21">
        <f>100*(U103-U102)</f>
        <v/>
      </c>
      <c r="V237" s="21">
        <f>100*(V103-V102)</f>
        <v/>
      </c>
      <c r="W237" s="21">
        <f>100*(W103-W102)</f>
        <v/>
      </c>
      <c r="X237" s="21">
        <f>100*(X103-X102)</f>
        <v/>
      </c>
      <c r="Y237" s="21">
        <f>100*(Y103-Y102)</f>
        <v/>
      </c>
      <c r="Z237" s="21">
        <f>100*(Z103-Z102)</f>
        <v/>
      </c>
      <c r="AA237" s="21">
        <f>100*(AA103-AA102)</f>
        <v/>
      </c>
      <c r="AB237" s="21">
        <f>100*(AB103-AB102)</f>
        <v/>
      </c>
      <c r="AC237" s="21">
        <f>100*(AC103-AC102)</f>
        <v/>
      </c>
      <c r="AD237" s="21">
        <f>100*(AD103-AD102)</f>
        <v/>
      </c>
      <c r="AE237" s="21">
        <f>100*(AE103-AE102)</f>
        <v/>
      </c>
      <c r="AF237" s="21">
        <f>100*(AF103-AF102)</f>
        <v/>
      </c>
      <c r="AG237" s="21">
        <f>100*(AG103-AG102)</f>
        <v/>
      </c>
      <c r="AH237" s="21">
        <f>100*(AH103-AH102)</f>
        <v/>
      </c>
      <c r="AI237" s="21">
        <f>100*(AI103-AI102)</f>
        <v/>
      </c>
      <c r="AJ237" s="21">
        <f>100*(AJ103-AJ102)</f>
        <v/>
      </c>
      <c r="AK237" s="21">
        <f>100*(AK103-AK102)</f>
        <v/>
      </c>
      <c r="AL237" s="21">
        <f>100*(AL103-AL102)</f>
        <v/>
      </c>
      <c r="AM237" s="21">
        <f>100*(AM103-AM102)</f>
        <v/>
      </c>
      <c r="AN237" s="21">
        <f>100*(AN103-AN102)</f>
        <v/>
      </c>
      <c r="AO237" s="21">
        <f>100*(AO103-AO102)</f>
        <v/>
      </c>
      <c r="AP237" s="21">
        <f>100*(AP103-AP102)</f>
        <v/>
      </c>
      <c r="AQ237" s="21">
        <f>100*(AQ103-AQ102)</f>
        <v/>
      </c>
      <c r="AR237" s="21">
        <f>100*(AR103-AR102)</f>
        <v/>
      </c>
      <c r="AS237" s="21">
        <f>100*(AS103-AS102)</f>
        <v/>
      </c>
      <c r="AT237" s="21">
        <f>100*(AT103-AT102)</f>
        <v/>
      </c>
      <c r="AU237" s="21">
        <f>100*(AU103-AU102)</f>
        <v/>
      </c>
      <c r="AV237" s="21">
        <f>100*(AV103-AV102)</f>
        <v/>
      </c>
      <c r="AW237" s="21">
        <f>100*(AW103-AW102)</f>
        <v/>
      </c>
      <c r="AX237" s="21">
        <f>100*(AX103-AX102)</f>
        <v/>
      </c>
      <c r="AY237" s="21">
        <f>100*(AY103-AY102)</f>
        <v/>
      </c>
      <c r="AZ237" s="21">
        <f>100*(AZ103-AZ102)</f>
        <v/>
      </c>
      <c r="BA237" s="21">
        <f>100*(BA103-BA102)</f>
        <v/>
      </c>
      <c r="BB237" s="21">
        <f>100*(BB103-BB102)</f>
        <v/>
      </c>
      <c r="BC237" s="21">
        <f>100*(BC103-BC102)</f>
        <v/>
      </c>
      <c r="BD237" s="21">
        <f>100*(BD103-BD102)</f>
        <v/>
      </c>
      <c r="BE237" s="21">
        <f>100*(BE103-BE102)</f>
        <v/>
      </c>
      <c r="BF237" s="21">
        <f>100*(BF103-BF102)</f>
        <v/>
      </c>
      <c r="BG237" s="21">
        <f>100*(BG103-BG102)</f>
        <v/>
      </c>
      <c r="BH237" s="21">
        <f>AVERAGE(C237:BG237)</f>
        <v/>
      </c>
    </row>
    <row r="238">
      <c r="A238" s="19">
        <f>A104</f>
        <v/>
      </c>
      <c r="B238" s="20">
        <f>B104</f>
        <v/>
      </c>
      <c r="C238" s="21">
        <f>100*(C104-C103)</f>
        <v/>
      </c>
      <c r="D238" s="21">
        <f>100*(D104-D103)</f>
        <v/>
      </c>
      <c r="E238" s="21">
        <f>100*(E104-E103)</f>
        <v/>
      </c>
      <c r="F238" s="21">
        <f>100*(F104-F103)</f>
        <v/>
      </c>
      <c r="G238" s="21">
        <f>100*(G104-G103)</f>
        <v/>
      </c>
      <c r="H238" s="21">
        <f>100*(H104-H103)</f>
        <v/>
      </c>
      <c r="I238" s="21">
        <f>100*(I104-I103)</f>
        <v/>
      </c>
      <c r="J238" s="21">
        <f>100*(J104-J103)</f>
        <v/>
      </c>
      <c r="K238" s="21">
        <f>100*(K104-K103)</f>
        <v/>
      </c>
      <c r="L238" s="21">
        <f>100*(L104-L103)</f>
        <v/>
      </c>
      <c r="M238" s="21">
        <f>100*(M104-M103)</f>
        <v/>
      </c>
      <c r="N238" s="21">
        <f>100*(N104-N103)</f>
        <v/>
      </c>
      <c r="O238" s="21">
        <f>100*(O104-O103)</f>
        <v/>
      </c>
      <c r="P238" s="21">
        <f>100*(P104-P103)</f>
        <v/>
      </c>
      <c r="Q238" s="21">
        <f>100*(Q104-Q103)</f>
        <v/>
      </c>
      <c r="R238" s="21">
        <f>100*(R104-R103)</f>
        <v/>
      </c>
      <c r="S238" s="21">
        <f>100*(S104-S103)</f>
        <v/>
      </c>
      <c r="T238" s="21">
        <f>100*(T104-T103)</f>
        <v/>
      </c>
      <c r="U238" s="21">
        <f>100*(U104-U103)</f>
        <v/>
      </c>
      <c r="V238" s="21">
        <f>100*(V104-V103)</f>
        <v/>
      </c>
      <c r="W238" s="21">
        <f>100*(W104-W103)</f>
        <v/>
      </c>
      <c r="X238" s="21">
        <f>100*(X104-X103)</f>
        <v/>
      </c>
      <c r="Y238" s="21">
        <f>100*(Y104-Y103)</f>
        <v/>
      </c>
      <c r="Z238" s="21">
        <f>100*(Z104-Z103)</f>
        <v/>
      </c>
      <c r="AA238" s="21">
        <f>100*(AA104-AA103)</f>
        <v/>
      </c>
      <c r="AB238" s="21">
        <f>100*(AB104-AB103)</f>
        <v/>
      </c>
      <c r="AC238" s="21">
        <f>100*(AC104-AC103)</f>
        <v/>
      </c>
      <c r="AD238" s="21">
        <f>100*(AD104-AD103)</f>
        <v/>
      </c>
      <c r="AE238" s="21">
        <f>100*(AE104-AE103)</f>
        <v/>
      </c>
      <c r="AF238" s="21">
        <f>100*(AF104-AF103)</f>
        <v/>
      </c>
      <c r="AG238" s="21">
        <f>100*(AG104-AG103)</f>
        <v/>
      </c>
      <c r="AH238" s="21">
        <f>100*(AH104-AH103)</f>
        <v/>
      </c>
      <c r="AI238" s="21">
        <f>100*(AI104-AI103)</f>
        <v/>
      </c>
      <c r="AJ238" s="21">
        <f>100*(AJ104-AJ103)</f>
        <v/>
      </c>
      <c r="AK238" s="21">
        <f>100*(AK104-AK103)</f>
        <v/>
      </c>
      <c r="AL238" s="21">
        <f>100*(AL104-AL103)</f>
        <v/>
      </c>
      <c r="AM238" s="21">
        <f>100*(AM104-AM103)</f>
        <v/>
      </c>
      <c r="AN238" s="21">
        <f>100*(AN104-AN103)</f>
        <v/>
      </c>
      <c r="AO238" s="21">
        <f>100*(AO104-AO103)</f>
        <v/>
      </c>
      <c r="AP238" s="21">
        <f>100*(AP104-AP103)</f>
        <v/>
      </c>
      <c r="AQ238" s="21">
        <f>100*(AQ104-AQ103)</f>
        <v/>
      </c>
      <c r="AR238" s="21">
        <f>100*(AR104-AR103)</f>
        <v/>
      </c>
      <c r="AS238" s="21">
        <f>100*(AS104-AS103)</f>
        <v/>
      </c>
      <c r="AT238" s="21">
        <f>100*(AT104-AT103)</f>
        <v/>
      </c>
      <c r="AU238" s="21">
        <f>100*(AU104-AU103)</f>
        <v/>
      </c>
      <c r="AV238" s="21">
        <f>100*(AV104-AV103)</f>
        <v/>
      </c>
      <c r="AW238" s="21">
        <f>100*(AW104-AW103)</f>
        <v/>
      </c>
      <c r="AX238" s="21">
        <f>100*(AX104-AX103)</f>
        <v/>
      </c>
      <c r="AY238" s="21">
        <f>100*(AY104-AY103)</f>
        <v/>
      </c>
      <c r="AZ238" s="21">
        <f>100*(AZ104-AZ103)</f>
        <v/>
      </c>
      <c r="BA238" s="21">
        <f>100*(BA104-BA103)</f>
        <v/>
      </c>
      <c r="BB238" s="21">
        <f>100*(BB104-BB103)</f>
        <v/>
      </c>
      <c r="BC238" s="21">
        <f>100*(BC104-BC103)</f>
        <v/>
      </c>
      <c r="BD238" s="21">
        <f>100*(BD104-BD103)</f>
        <v/>
      </c>
      <c r="BE238" s="21">
        <f>100*(BE104-BE103)</f>
        <v/>
      </c>
      <c r="BF238" s="21">
        <f>100*(BF104-BF103)</f>
        <v/>
      </c>
      <c r="BG238" s="21">
        <f>100*(BG104-BG103)</f>
        <v/>
      </c>
      <c r="BH238" s="21">
        <f>AVERAGE(C238:BG238)</f>
        <v/>
      </c>
    </row>
    <row r="239">
      <c r="A239" s="19">
        <f>A105</f>
        <v/>
      </c>
      <c r="B239" s="20">
        <f>B105</f>
        <v/>
      </c>
      <c r="C239" s="21">
        <f>100*(C105-C104)</f>
        <v/>
      </c>
      <c r="D239" s="21">
        <f>100*(D105-D104)</f>
        <v/>
      </c>
      <c r="E239" s="21">
        <f>100*(E105-E104)</f>
        <v/>
      </c>
      <c r="F239" s="21">
        <f>100*(F105-F104)</f>
        <v/>
      </c>
      <c r="G239" s="21">
        <f>100*(G105-G104)</f>
        <v/>
      </c>
      <c r="H239" s="21">
        <f>100*(H105-H104)</f>
        <v/>
      </c>
      <c r="I239" s="21">
        <f>100*(I105-I104)</f>
        <v/>
      </c>
      <c r="J239" s="21">
        <f>100*(J105-J104)</f>
        <v/>
      </c>
      <c r="K239" s="21">
        <f>100*(K105-K104)</f>
        <v/>
      </c>
      <c r="L239" s="21">
        <f>100*(L105-L104)</f>
        <v/>
      </c>
      <c r="M239" s="21">
        <f>100*(M105-M104)</f>
        <v/>
      </c>
      <c r="N239" s="21">
        <f>100*(N105-N104)</f>
        <v/>
      </c>
      <c r="O239" s="21">
        <f>100*(O105-O104)</f>
        <v/>
      </c>
      <c r="P239" s="21">
        <f>100*(P105-P104)</f>
        <v/>
      </c>
      <c r="Q239" s="21">
        <f>100*(Q105-Q104)</f>
        <v/>
      </c>
      <c r="R239" s="21">
        <f>100*(R105-R104)</f>
        <v/>
      </c>
      <c r="S239" s="21">
        <f>100*(S105-S104)</f>
        <v/>
      </c>
      <c r="T239" s="21">
        <f>100*(T105-T104)</f>
        <v/>
      </c>
      <c r="U239" s="21">
        <f>100*(U105-U104)</f>
        <v/>
      </c>
      <c r="V239" s="21">
        <f>100*(V105-V104)</f>
        <v/>
      </c>
      <c r="W239" s="21">
        <f>100*(W105-W104)</f>
        <v/>
      </c>
      <c r="X239" s="21">
        <f>100*(X105-X104)</f>
        <v/>
      </c>
      <c r="Y239" s="21">
        <f>100*(Y105-Y104)</f>
        <v/>
      </c>
      <c r="Z239" s="21">
        <f>100*(Z105-Z104)</f>
        <v/>
      </c>
      <c r="AA239" s="21">
        <f>100*(AA105-AA104)</f>
        <v/>
      </c>
      <c r="AB239" s="21">
        <f>100*(AB105-AB104)</f>
        <v/>
      </c>
      <c r="AC239" s="21">
        <f>100*(AC105-AC104)</f>
        <v/>
      </c>
      <c r="AD239" s="21">
        <f>100*(AD105-AD104)</f>
        <v/>
      </c>
      <c r="AE239" s="21">
        <f>100*(AE105-AE104)</f>
        <v/>
      </c>
      <c r="AF239" s="21">
        <f>100*(AF105-AF104)</f>
        <v/>
      </c>
      <c r="AG239" s="21">
        <f>100*(AG105-AG104)</f>
        <v/>
      </c>
      <c r="AH239" s="21">
        <f>100*(AH105-AH104)</f>
        <v/>
      </c>
      <c r="AI239" s="21">
        <f>100*(AI105-AI104)</f>
        <v/>
      </c>
      <c r="AJ239" s="21">
        <f>100*(AJ105-AJ104)</f>
        <v/>
      </c>
      <c r="AK239" s="21">
        <f>100*(AK105-AK104)</f>
        <v/>
      </c>
      <c r="AL239" s="21">
        <f>100*(AL105-AL104)</f>
        <v/>
      </c>
      <c r="AM239" s="21">
        <f>100*(AM105-AM104)</f>
        <v/>
      </c>
      <c r="AN239" s="21">
        <f>100*(AN105-AN104)</f>
        <v/>
      </c>
      <c r="AO239" s="21">
        <f>100*(AO105-AO104)</f>
        <v/>
      </c>
      <c r="AP239" s="21">
        <f>100*(AP105-AP104)</f>
        <v/>
      </c>
      <c r="AQ239" s="21">
        <f>100*(AQ105-AQ104)</f>
        <v/>
      </c>
      <c r="AR239" s="21">
        <f>100*(AR105-AR104)</f>
        <v/>
      </c>
      <c r="AS239" s="21">
        <f>100*(AS105-AS104)</f>
        <v/>
      </c>
      <c r="AT239" s="21">
        <f>100*(AT105-AT104)</f>
        <v/>
      </c>
      <c r="AU239" s="21">
        <f>100*(AU105-AU104)</f>
        <v/>
      </c>
      <c r="AV239" s="21">
        <f>100*(AV105-AV104)</f>
        <v/>
      </c>
      <c r="AW239" s="21">
        <f>100*(AW105-AW104)</f>
        <v/>
      </c>
      <c r="AX239" s="21">
        <f>100*(AX105-AX104)</f>
        <v/>
      </c>
      <c r="AY239" s="21">
        <f>100*(AY105-AY104)</f>
        <v/>
      </c>
      <c r="AZ239" s="21">
        <f>100*(AZ105-AZ104)</f>
        <v/>
      </c>
      <c r="BA239" s="21">
        <f>100*(BA105-BA104)</f>
        <v/>
      </c>
      <c r="BB239" s="21">
        <f>100*(BB105-BB104)</f>
        <v/>
      </c>
      <c r="BC239" s="21">
        <f>100*(BC105-BC104)</f>
        <v/>
      </c>
      <c r="BD239" s="21">
        <f>100*(BD105-BD104)</f>
        <v/>
      </c>
      <c r="BE239" s="21">
        <f>100*(BE105-BE104)</f>
        <v/>
      </c>
      <c r="BF239" s="21">
        <f>100*(BF105-BF104)</f>
        <v/>
      </c>
      <c r="BG239" s="21">
        <f>100*(BG105-BG104)</f>
        <v/>
      </c>
      <c r="BH239" s="21">
        <f>AVERAGE(C239:BG239)</f>
        <v/>
      </c>
    </row>
    <row r="240">
      <c r="A240" s="19">
        <f>A106</f>
        <v/>
      </c>
      <c r="B240" s="20">
        <f>B106</f>
        <v/>
      </c>
      <c r="C240" s="21">
        <f>100*(C106-C105)</f>
        <v/>
      </c>
      <c r="D240" s="21">
        <f>100*(D106-D105)</f>
        <v/>
      </c>
      <c r="E240" s="21">
        <f>100*(E106-E105)</f>
        <v/>
      </c>
      <c r="F240" s="21">
        <f>100*(F106-F105)</f>
        <v/>
      </c>
      <c r="G240" s="21">
        <f>100*(G106-G105)</f>
        <v/>
      </c>
      <c r="H240" s="21">
        <f>100*(H106-H105)</f>
        <v/>
      </c>
      <c r="I240" s="21">
        <f>100*(I106-I105)</f>
        <v/>
      </c>
      <c r="J240" s="21">
        <f>100*(J106-J105)</f>
        <v/>
      </c>
      <c r="K240" s="21">
        <f>100*(K106-K105)</f>
        <v/>
      </c>
      <c r="L240" s="21">
        <f>100*(L106-L105)</f>
        <v/>
      </c>
      <c r="M240" s="21">
        <f>100*(M106-M105)</f>
        <v/>
      </c>
      <c r="N240" s="21">
        <f>100*(N106-N105)</f>
        <v/>
      </c>
      <c r="O240" s="21">
        <f>100*(O106-O105)</f>
        <v/>
      </c>
      <c r="P240" s="21">
        <f>100*(P106-P105)</f>
        <v/>
      </c>
      <c r="Q240" s="21">
        <f>100*(Q106-Q105)</f>
        <v/>
      </c>
      <c r="R240" s="21">
        <f>100*(R106-R105)</f>
        <v/>
      </c>
      <c r="S240" s="21">
        <f>100*(S106-S105)</f>
        <v/>
      </c>
      <c r="T240" s="21">
        <f>100*(T106-T105)</f>
        <v/>
      </c>
      <c r="U240" s="21">
        <f>100*(U106-U105)</f>
        <v/>
      </c>
      <c r="V240" s="21">
        <f>100*(V106-V105)</f>
        <v/>
      </c>
      <c r="W240" s="21">
        <f>100*(W106-W105)</f>
        <v/>
      </c>
      <c r="X240" s="21">
        <f>100*(X106-X105)</f>
        <v/>
      </c>
      <c r="Y240" s="21">
        <f>100*(Y106-Y105)</f>
        <v/>
      </c>
      <c r="Z240" s="21">
        <f>100*(Z106-Z105)</f>
        <v/>
      </c>
      <c r="AA240" s="21">
        <f>100*(AA106-AA105)</f>
        <v/>
      </c>
      <c r="AB240" s="21">
        <f>100*(AB106-AB105)</f>
        <v/>
      </c>
      <c r="AC240" s="21">
        <f>100*(AC106-AC105)</f>
        <v/>
      </c>
      <c r="AD240" s="21">
        <f>100*(AD106-AD105)</f>
        <v/>
      </c>
      <c r="AE240" s="21">
        <f>100*(AE106-AE105)</f>
        <v/>
      </c>
      <c r="AF240" s="21">
        <f>100*(AF106-AF105)</f>
        <v/>
      </c>
      <c r="AG240" s="21">
        <f>100*(AG106-AG105)</f>
        <v/>
      </c>
      <c r="AH240" s="21">
        <f>100*(AH106-AH105)</f>
        <v/>
      </c>
      <c r="AI240" s="21">
        <f>100*(AI106-AI105)</f>
        <v/>
      </c>
      <c r="AJ240" s="21">
        <f>100*(AJ106-AJ105)</f>
        <v/>
      </c>
      <c r="AK240" s="21">
        <f>100*(AK106-AK105)</f>
        <v/>
      </c>
      <c r="AL240" s="21">
        <f>100*(AL106-AL105)</f>
        <v/>
      </c>
      <c r="AM240" s="21">
        <f>100*(AM106-AM105)</f>
        <v/>
      </c>
      <c r="AN240" s="21">
        <f>100*(AN106-AN105)</f>
        <v/>
      </c>
      <c r="AO240" s="21">
        <f>100*(AO106-AO105)</f>
        <v/>
      </c>
      <c r="AP240" s="21">
        <f>100*(AP106-AP105)</f>
        <v/>
      </c>
      <c r="AQ240" s="21">
        <f>100*(AQ106-AQ105)</f>
        <v/>
      </c>
      <c r="AR240" s="21">
        <f>100*(AR106-AR105)</f>
        <v/>
      </c>
      <c r="AS240" s="21">
        <f>100*(AS106-AS105)</f>
        <v/>
      </c>
      <c r="AT240" s="21">
        <f>100*(AT106-AT105)</f>
        <v/>
      </c>
      <c r="AU240" s="21">
        <f>100*(AU106-AU105)</f>
        <v/>
      </c>
      <c r="AV240" s="21">
        <f>100*(AV106-AV105)</f>
        <v/>
      </c>
      <c r="AW240" s="21">
        <f>100*(AW106-AW105)</f>
        <v/>
      </c>
      <c r="AX240" s="21">
        <f>100*(AX106-AX105)</f>
        <v/>
      </c>
      <c r="AY240" s="21">
        <f>100*(AY106-AY105)</f>
        <v/>
      </c>
      <c r="AZ240" s="21">
        <f>100*(AZ106-AZ105)</f>
        <v/>
      </c>
      <c r="BA240" s="21">
        <f>100*(BA106-BA105)</f>
        <v/>
      </c>
      <c r="BB240" s="21">
        <f>100*(BB106-BB105)</f>
        <v/>
      </c>
      <c r="BC240" s="21">
        <f>100*(BC106-BC105)</f>
        <v/>
      </c>
      <c r="BD240" s="21">
        <f>100*(BD106-BD105)</f>
        <v/>
      </c>
      <c r="BE240" s="21">
        <f>100*(BE106-BE105)</f>
        <v/>
      </c>
      <c r="BF240" s="21">
        <f>100*(BF106-BF105)</f>
        <v/>
      </c>
      <c r="BG240" s="21">
        <f>100*(BG106-BG105)</f>
        <v/>
      </c>
      <c r="BH240" s="21">
        <f>AVERAGE(C240:BG240)</f>
        <v/>
      </c>
    </row>
    <row r="241">
      <c r="A241" s="19">
        <f>A107</f>
        <v/>
      </c>
      <c r="B241" s="20">
        <f>B107</f>
        <v/>
      </c>
      <c r="C241" s="21">
        <f>100*(C107-C106)</f>
        <v/>
      </c>
      <c r="D241" s="21">
        <f>100*(D107-D106)</f>
        <v/>
      </c>
      <c r="E241" s="21">
        <f>100*(E107-E106)</f>
        <v/>
      </c>
      <c r="F241" s="21">
        <f>100*(F107-F106)</f>
        <v/>
      </c>
      <c r="G241" s="21">
        <f>100*(G107-G106)</f>
        <v/>
      </c>
      <c r="H241" s="21">
        <f>100*(H107-H106)</f>
        <v/>
      </c>
      <c r="I241" s="21">
        <f>100*(I107-I106)</f>
        <v/>
      </c>
      <c r="J241" s="21">
        <f>100*(J107-J106)</f>
        <v/>
      </c>
      <c r="K241" s="21">
        <f>100*(K107-K106)</f>
        <v/>
      </c>
      <c r="L241" s="21">
        <f>100*(L107-L106)</f>
        <v/>
      </c>
      <c r="M241" s="21">
        <f>100*(M107-M106)</f>
        <v/>
      </c>
      <c r="N241" s="21">
        <f>100*(N107-N106)</f>
        <v/>
      </c>
      <c r="O241" s="21">
        <f>100*(O107-O106)</f>
        <v/>
      </c>
      <c r="P241" s="21">
        <f>100*(P107-P106)</f>
        <v/>
      </c>
      <c r="Q241" s="21">
        <f>100*(Q107-Q106)</f>
        <v/>
      </c>
      <c r="R241" s="21">
        <f>100*(R107-R106)</f>
        <v/>
      </c>
      <c r="S241" s="21">
        <f>100*(S107-S106)</f>
        <v/>
      </c>
      <c r="T241" s="21">
        <f>100*(T107-T106)</f>
        <v/>
      </c>
      <c r="U241" s="21">
        <f>100*(U107-U106)</f>
        <v/>
      </c>
      <c r="V241" s="21">
        <f>100*(V107-V106)</f>
        <v/>
      </c>
      <c r="W241" s="21">
        <f>100*(W107-W106)</f>
        <v/>
      </c>
      <c r="X241" s="21">
        <f>100*(X107-X106)</f>
        <v/>
      </c>
      <c r="Y241" s="21">
        <f>100*(Y107-Y106)</f>
        <v/>
      </c>
      <c r="Z241" s="21">
        <f>100*(Z107-Z106)</f>
        <v/>
      </c>
      <c r="AA241" s="21">
        <f>100*(AA107-AA106)</f>
        <v/>
      </c>
      <c r="AB241" s="21">
        <f>100*(AB107-AB106)</f>
        <v/>
      </c>
      <c r="AC241" s="21">
        <f>100*(AC107-AC106)</f>
        <v/>
      </c>
      <c r="AD241" s="21">
        <f>100*(AD107-AD106)</f>
        <v/>
      </c>
      <c r="AE241" s="21">
        <f>100*(AE107-AE106)</f>
        <v/>
      </c>
      <c r="AF241" s="21">
        <f>100*(AF107-AF106)</f>
        <v/>
      </c>
      <c r="AG241" s="21">
        <f>100*(AG107-AG106)</f>
        <v/>
      </c>
      <c r="AH241" s="21">
        <f>100*(AH107-AH106)</f>
        <v/>
      </c>
      <c r="AI241" s="21">
        <f>100*(AI107-AI106)</f>
        <v/>
      </c>
      <c r="AJ241" s="21">
        <f>100*(AJ107-AJ106)</f>
        <v/>
      </c>
      <c r="AK241" s="21">
        <f>100*(AK107-AK106)</f>
        <v/>
      </c>
      <c r="AL241" s="21">
        <f>100*(AL107-AL106)</f>
        <v/>
      </c>
      <c r="AM241" s="21">
        <f>100*(AM107-AM106)</f>
        <v/>
      </c>
      <c r="AN241" s="21">
        <f>100*(AN107-AN106)</f>
        <v/>
      </c>
      <c r="AO241" s="21">
        <f>100*(AO107-AO106)</f>
        <v/>
      </c>
      <c r="AP241" s="21">
        <f>100*(AP107-AP106)</f>
        <v/>
      </c>
      <c r="AQ241" s="21">
        <f>100*(AQ107-AQ106)</f>
        <v/>
      </c>
      <c r="AR241" s="21">
        <f>100*(AR107-AR106)</f>
        <v/>
      </c>
      <c r="AS241" s="21">
        <f>100*(AS107-AS106)</f>
        <v/>
      </c>
      <c r="AT241" s="21">
        <f>100*(AT107-AT106)</f>
        <v/>
      </c>
      <c r="AU241" s="21">
        <f>100*(AU107-AU106)</f>
        <v/>
      </c>
      <c r="AV241" s="21">
        <f>100*(AV107-AV106)</f>
        <v/>
      </c>
      <c r="AW241" s="21">
        <f>100*(AW107-AW106)</f>
        <v/>
      </c>
      <c r="AX241" s="21">
        <f>100*(AX107-AX106)</f>
        <v/>
      </c>
      <c r="AY241" s="21">
        <f>100*(AY107-AY106)</f>
        <v/>
      </c>
      <c r="AZ241" s="21">
        <f>100*(AZ107-AZ106)</f>
        <v/>
      </c>
      <c r="BA241" s="21">
        <f>100*(BA107-BA106)</f>
        <v/>
      </c>
      <c r="BB241" s="21">
        <f>100*(BB107-BB106)</f>
        <v/>
      </c>
      <c r="BC241" s="21">
        <f>100*(BC107-BC106)</f>
        <v/>
      </c>
      <c r="BD241" s="21">
        <f>100*(BD107-BD106)</f>
        <v/>
      </c>
      <c r="BE241" s="21">
        <f>100*(BE107-BE106)</f>
        <v/>
      </c>
      <c r="BF241" s="21">
        <f>100*(BF107-BF106)</f>
        <v/>
      </c>
      <c r="BG241" s="21">
        <f>100*(BG107-BG106)</f>
        <v/>
      </c>
      <c r="BH241" s="21">
        <f>AVERAGE(C241:BG241)</f>
        <v/>
      </c>
    </row>
    <row r="242">
      <c r="A242" s="19">
        <f>A108</f>
        <v/>
      </c>
      <c r="B242" s="20">
        <f>B108</f>
        <v/>
      </c>
      <c r="C242" s="21">
        <f>100*(C108-C107)</f>
        <v/>
      </c>
      <c r="D242" s="21">
        <f>100*(D108-D107)</f>
        <v/>
      </c>
      <c r="E242" s="21">
        <f>100*(E108-E107)</f>
        <v/>
      </c>
      <c r="F242" s="21">
        <f>100*(F108-F107)</f>
        <v/>
      </c>
      <c r="G242" s="21">
        <f>100*(G108-G107)</f>
        <v/>
      </c>
      <c r="H242" s="21">
        <f>100*(H108-H107)</f>
        <v/>
      </c>
      <c r="I242" s="21">
        <f>100*(I108-I107)</f>
        <v/>
      </c>
      <c r="J242" s="21">
        <f>100*(J108-J107)</f>
        <v/>
      </c>
      <c r="K242" s="21">
        <f>100*(K108-K107)</f>
        <v/>
      </c>
      <c r="L242" s="21">
        <f>100*(L108-L107)</f>
        <v/>
      </c>
      <c r="M242" s="21">
        <f>100*(M108-M107)</f>
        <v/>
      </c>
      <c r="N242" s="21">
        <f>100*(N108-N107)</f>
        <v/>
      </c>
      <c r="O242" s="21">
        <f>100*(O108-O107)</f>
        <v/>
      </c>
      <c r="P242" s="21">
        <f>100*(P108-P107)</f>
        <v/>
      </c>
      <c r="Q242" s="21">
        <f>100*(Q108-Q107)</f>
        <v/>
      </c>
      <c r="R242" s="21">
        <f>100*(R108-R107)</f>
        <v/>
      </c>
      <c r="S242" s="21">
        <f>100*(S108-S107)</f>
        <v/>
      </c>
      <c r="T242" s="21">
        <f>100*(T108-T107)</f>
        <v/>
      </c>
      <c r="U242" s="21">
        <f>100*(U108-U107)</f>
        <v/>
      </c>
      <c r="V242" s="21">
        <f>100*(V108-V107)</f>
        <v/>
      </c>
      <c r="W242" s="21">
        <f>100*(W108-W107)</f>
        <v/>
      </c>
      <c r="X242" s="21">
        <f>100*(X108-X107)</f>
        <v/>
      </c>
      <c r="Y242" s="21">
        <f>100*(Y108-Y107)</f>
        <v/>
      </c>
      <c r="Z242" s="21">
        <f>100*(Z108-Z107)</f>
        <v/>
      </c>
      <c r="AA242" s="21">
        <f>100*(AA108-AA107)</f>
        <v/>
      </c>
      <c r="AB242" s="21">
        <f>100*(AB108-AB107)</f>
        <v/>
      </c>
      <c r="AC242" s="21">
        <f>100*(AC108-AC107)</f>
        <v/>
      </c>
      <c r="AD242" s="21">
        <f>100*(AD108-AD107)</f>
        <v/>
      </c>
      <c r="AE242" s="21">
        <f>100*(AE108-AE107)</f>
        <v/>
      </c>
      <c r="AF242" s="21">
        <f>100*(AF108-AF107)</f>
        <v/>
      </c>
      <c r="AG242" s="21">
        <f>100*(AG108-AG107)</f>
        <v/>
      </c>
      <c r="AH242" s="21">
        <f>100*(AH108-AH107)</f>
        <v/>
      </c>
      <c r="AI242" s="21">
        <f>100*(AI108-AI107)</f>
        <v/>
      </c>
      <c r="AJ242" s="21">
        <f>100*(AJ108-AJ107)</f>
        <v/>
      </c>
      <c r="AK242" s="21">
        <f>100*(AK108-AK107)</f>
        <v/>
      </c>
      <c r="AL242" s="21">
        <f>100*(AL108-AL107)</f>
        <v/>
      </c>
      <c r="AM242" s="21">
        <f>100*(AM108-AM107)</f>
        <v/>
      </c>
      <c r="AN242" s="21">
        <f>100*(AN108-AN107)</f>
        <v/>
      </c>
      <c r="AO242" s="21">
        <f>100*(AO108-AO107)</f>
        <v/>
      </c>
      <c r="AP242" s="21">
        <f>100*(AP108-AP107)</f>
        <v/>
      </c>
      <c r="AQ242" s="21">
        <f>100*(AQ108-AQ107)</f>
        <v/>
      </c>
      <c r="AR242" s="21">
        <f>100*(AR108-AR107)</f>
        <v/>
      </c>
      <c r="AS242" s="21">
        <f>100*(AS108-AS107)</f>
        <v/>
      </c>
      <c r="AT242" s="21">
        <f>100*(AT108-AT107)</f>
        <v/>
      </c>
      <c r="AU242" s="21">
        <f>100*(AU108-AU107)</f>
        <v/>
      </c>
      <c r="AV242" s="21">
        <f>100*(AV108-AV107)</f>
        <v/>
      </c>
      <c r="AW242" s="21">
        <f>100*(AW108-AW107)</f>
        <v/>
      </c>
      <c r="AX242" s="21">
        <f>100*(AX108-AX107)</f>
        <v/>
      </c>
      <c r="AY242" s="21">
        <f>100*(AY108-AY107)</f>
        <v/>
      </c>
      <c r="AZ242" s="21">
        <f>100*(AZ108-AZ107)</f>
        <v/>
      </c>
      <c r="BA242" s="21">
        <f>100*(BA108-BA107)</f>
        <v/>
      </c>
      <c r="BB242" s="21">
        <f>100*(BB108-BB107)</f>
        <v/>
      </c>
      <c r="BC242" s="21">
        <f>100*(BC108-BC107)</f>
        <v/>
      </c>
      <c r="BD242" s="21">
        <f>100*(BD108-BD107)</f>
        <v/>
      </c>
      <c r="BE242" s="21">
        <f>100*(BE108-BE107)</f>
        <v/>
      </c>
      <c r="BF242" s="21">
        <f>100*(BF108-BF107)</f>
        <v/>
      </c>
      <c r="BG242" s="21">
        <f>100*(BG108-BG107)</f>
        <v/>
      </c>
      <c r="BH242" s="21">
        <f>AVERAGE(C242:BG242)</f>
        <v/>
      </c>
    </row>
    <row r="243">
      <c r="A243" s="19">
        <f>A109</f>
        <v/>
      </c>
      <c r="B243" s="20">
        <f>B109</f>
        <v/>
      </c>
      <c r="C243" s="21">
        <f>100*(C109-C108)</f>
        <v/>
      </c>
      <c r="D243" s="21">
        <f>100*(D109-D108)</f>
        <v/>
      </c>
      <c r="E243" s="21">
        <f>100*(E109-E108)</f>
        <v/>
      </c>
      <c r="F243" s="21">
        <f>100*(F109-F108)</f>
        <v/>
      </c>
      <c r="G243" s="21">
        <f>100*(G109-G108)</f>
        <v/>
      </c>
      <c r="H243" s="21">
        <f>100*(H109-H108)</f>
        <v/>
      </c>
      <c r="I243" s="21">
        <f>100*(I109-I108)</f>
        <v/>
      </c>
      <c r="J243" s="21">
        <f>100*(J109-J108)</f>
        <v/>
      </c>
      <c r="K243" s="21">
        <f>100*(K109-K108)</f>
        <v/>
      </c>
      <c r="L243" s="21">
        <f>100*(L109-L108)</f>
        <v/>
      </c>
      <c r="M243" s="21">
        <f>100*(M109-M108)</f>
        <v/>
      </c>
      <c r="N243" s="21">
        <f>100*(N109-N108)</f>
        <v/>
      </c>
      <c r="O243" s="21">
        <f>100*(O109-O108)</f>
        <v/>
      </c>
      <c r="P243" s="21">
        <f>100*(P109-P108)</f>
        <v/>
      </c>
      <c r="Q243" s="21">
        <f>100*(Q109-Q108)</f>
        <v/>
      </c>
      <c r="R243" s="21">
        <f>100*(R109-R108)</f>
        <v/>
      </c>
      <c r="S243" s="21">
        <f>100*(S109-S108)</f>
        <v/>
      </c>
      <c r="T243" s="21">
        <f>100*(T109-T108)</f>
        <v/>
      </c>
      <c r="U243" s="21">
        <f>100*(U109-U108)</f>
        <v/>
      </c>
      <c r="V243" s="21">
        <f>100*(V109-V108)</f>
        <v/>
      </c>
      <c r="W243" s="21">
        <f>100*(W109-W108)</f>
        <v/>
      </c>
      <c r="X243" s="21">
        <f>100*(X109-X108)</f>
        <v/>
      </c>
      <c r="Y243" s="21">
        <f>100*(Y109-Y108)</f>
        <v/>
      </c>
      <c r="Z243" s="21">
        <f>100*(Z109-Z108)</f>
        <v/>
      </c>
      <c r="AA243" s="21">
        <f>100*(AA109-AA108)</f>
        <v/>
      </c>
      <c r="AB243" s="21">
        <f>100*(AB109-AB108)</f>
        <v/>
      </c>
      <c r="AC243" s="21">
        <f>100*(AC109-AC108)</f>
        <v/>
      </c>
      <c r="AD243" s="21">
        <f>100*(AD109-AD108)</f>
        <v/>
      </c>
      <c r="AE243" s="21">
        <f>100*(AE109-AE108)</f>
        <v/>
      </c>
      <c r="AF243" s="21">
        <f>100*(AF109-AF108)</f>
        <v/>
      </c>
      <c r="AG243" s="21">
        <f>100*(AG109-AG108)</f>
        <v/>
      </c>
      <c r="AH243" s="21">
        <f>100*(AH109-AH108)</f>
        <v/>
      </c>
      <c r="AI243" s="21">
        <f>100*(AI109-AI108)</f>
        <v/>
      </c>
      <c r="AJ243" s="21">
        <f>100*(AJ109-AJ108)</f>
        <v/>
      </c>
      <c r="AK243" s="21">
        <f>100*(AK109-AK108)</f>
        <v/>
      </c>
      <c r="AL243" s="21">
        <f>100*(AL109-AL108)</f>
        <v/>
      </c>
      <c r="AM243" s="21">
        <f>100*(AM109-AM108)</f>
        <v/>
      </c>
      <c r="AN243" s="21">
        <f>100*(AN109-AN108)</f>
        <v/>
      </c>
      <c r="AO243" s="21">
        <f>100*(AO109-AO108)</f>
        <v/>
      </c>
      <c r="AP243" s="21">
        <f>100*(AP109-AP108)</f>
        <v/>
      </c>
      <c r="AQ243" s="21">
        <f>100*(AQ109-AQ108)</f>
        <v/>
      </c>
      <c r="AR243" s="21">
        <f>100*(AR109-AR108)</f>
        <v/>
      </c>
      <c r="AS243" s="21">
        <f>100*(AS109-AS108)</f>
        <v/>
      </c>
      <c r="AT243" s="21">
        <f>100*(AT109-AT108)</f>
        <v/>
      </c>
      <c r="AU243" s="21">
        <f>100*(AU109-AU108)</f>
        <v/>
      </c>
      <c r="AV243" s="21">
        <f>100*(AV109-AV108)</f>
        <v/>
      </c>
      <c r="AW243" s="21">
        <f>100*(AW109-AW108)</f>
        <v/>
      </c>
      <c r="AX243" s="21">
        <f>100*(AX109-AX108)</f>
        <v/>
      </c>
      <c r="AY243" s="21">
        <f>100*(AY109-AY108)</f>
        <v/>
      </c>
      <c r="AZ243" s="21">
        <f>100*(AZ109-AZ108)</f>
        <v/>
      </c>
      <c r="BA243" s="21">
        <f>100*(BA109-BA108)</f>
        <v/>
      </c>
      <c r="BB243" s="21">
        <f>100*(BB109-BB108)</f>
        <v/>
      </c>
      <c r="BC243" s="21">
        <f>100*(BC109-BC108)</f>
        <v/>
      </c>
      <c r="BD243" s="21">
        <f>100*(BD109-BD108)</f>
        <v/>
      </c>
      <c r="BE243" s="21">
        <f>100*(BE109-BE108)</f>
        <v/>
      </c>
      <c r="BF243" s="21">
        <f>100*(BF109-BF108)</f>
        <v/>
      </c>
      <c r="BG243" s="21">
        <f>100*(BG109-BG108)</f>
        <v/>
      </c>
      <c r="BH243" s="21">
        <f>AVERAGE(C243:BG243)</f>
        <v/>
      </c>
    </row>
    <row r="244">
      <c r="A244" s="19">
        <f>A110</f>
        <v/>
      </c>
      <c r="B244" s="20">
        <f>B110</f>
        <v/>
      </c>
      <c r="C244" s="21">
        <f>100*(C110-C109)</f>
        <v/>
      </c>
      <c r="D244" s="21">
        <f>100*(D110-D109)</f>
        <v/>
      </c>
      <c r="E244" s="21">
        <f>100*(E110-E109)</f>
        <v/>
      </c>
      <c r="F244" s="21">
        <f>100*(F110-F109)</f>
        <v/>
      </c>
      <c r="G244" s="21">
        <f>100*(G110-G109)</f>
        <v/>
      </c>
      <c r="H244" s="21">
        <f>100*(H110-H109)</f>
        <v/>
      </c>
      <c r="I244" s="21">
        <f>100*(I110-I109)</f>
        <v/>
      </c>
      <c r="J244" s="21">
        <f>100*(J110-J109)</f>
        <v/>
      </c>
      <c r="K244" s="21">
        <f>100*(K110-K109)</f>
        <v/>
      </c>
      <c r="L244" s="21">
        <f>100*(L110-L109)</f>
        <v/>
      </c>
      <c r="M244" s="21">
        <f>100*(M110-M109)</f>
        <v/>
      </c>
      <c r="N244" s="21">
        <f>100*(N110-N109)</f>
        <v/>
      </c>
      <c r="O244" s="21">
        <f>100*(O110-O109)</f>
        <v/>
      </c>
      <c r="P244" s="21">
        <f>100*(P110-P109)</f>
        <v/>
      </c>
      <c r="Q244" s="21">
        <f>100*(Q110-Q109)</f>
        <v/>
      </c>
      <c r="R244" s="21">
        <f>100*(R110-R109)</f>
        <v/>
      </c>
      <c r="S244" s="21">
        <f>100*(S110-S109)</f>
        <v/>
      </c>
      <c r="T244" s="21">
        <f>100*(T110-T109)</f>
        <v/>
      </c>
      <c r="U244" s="21">
        <f>100*(U110-U109)</f>
        <v/>
      </c>
      <c r="V244" s="21">
        <f>100*(V110-V109)</f>
        <v/>
      </c>
      <c r="W244" s="21">
        <f>100*(W110-W109)</f>
        <v/>
      </c>
      <c r="X244" s="21">
        <f>100*(X110-X109)</f>
        <v/>
      </c>
      <c r="Y244" s="21">
        <f>100*(Y110-Y109)</f>
        <v/>
      </c>
      <c r="Z244" s="21">
        <f>100*(Z110-Z109)</f>
        <v/>
      </c>
      <c r="AA244" s="21">
        <f>100*(AA110-AA109)</f>
        <v/>
      </c>
      <c r="AB244" s="21">
        <f>100*(AB110-AB109)</f>
        <v/>
      </c>
      <c r="AC244" s="21">
        <f>100*(AC110-AC109)</f>
        <v/>
      </c>
      <c r="AD244" s="21">
        <f>100*(AD110-AD109)</f>
        <v/>
      </c>
      <c r="AE244" s="21">
        <f>100*(AE110-AE109)</f>
        <v/>
      </c>
      <c r="AF244" s="21">
        <f>100*(AF110-AF109)</f>
        <v/>
      </c>
      <c r="AG244" s="21">
        <f>100*(AG110-AG109)</f>
        <v/>
      </c>
      <c r="AH244" s="21">
        <f>100*(AH110-AH109)</f>
        <v/>
      </c>
      <c r="AI244" s="21">
        <f>100*(AI110-AI109)</f>
        <v/>
      </c>
      <c r="AJ244" s="21">
        <f>100*(AJ110-AJ109)</f>
        <v/>
      </c>
      <c r="AK244" s="21">
        <f>100*(AK110-AK109)</f>
        <v/>
      </c>
      <c r="AL244" s="21">
        <f>100*(AL110-AL109)</f>
        <v/>
      </c>
      <c r="AM244" s="21">
        <f>100*(AM110-AM109)</f>
        <v/>
      </c>
      <c r="AN244" s="21">
        <f>100*(AN110-AN109)</f>
        <v/>
      </c>
      <c r="AO244" s="21">
        <f>100*(AO110-AO109)</f>
        <v/>
      </c>
      <c r="AP244" s="21">
        <f>100*(AP110-AP109)</f>
        <v/>
      </c>
      <c r="AQ244" s="21">
        <f>100*(AQ110-AQ109)</f>
        <v/>
      </c>
      <c r="AR244" s="21">
        <f>100*(AR110-AR109)</f>
        <v/>
      </c>
      <c r="AS244" s="21">
        <f>100*(AS110-AS109)</f>
        <v/>
      </c>
      <c r="AT244" s="21">
        <f>100*(AT110-AT109)</f>
        <v/>
      </c>
      <c r="AU244" s="21">
        <f>100*(AU110-AU109)</f>
        <v/>
      </c>
      <c r="AV244" s="21">
        <f>100*(AV110-AV109)</f>
        <v/>
      </c>
      <c r="AW244" s="21">
        <f>100*(AW110-AW109)</f>
        <v/>
      </c>
      <c r="AX244" s="21">
        <f>100*(AX110-AX109)</f>
        <v/>
      </c>
      <c r="AY244" s="21">
        <f>100*(AY110-AY109)</f>
        <v/>
      </c>
      <c r="AZ244" s="21">
        <f>100*(AZ110-AZ109)</f>
        <v/>
      </c>
      <c r="BA244" s="21">
        <f>100*(BA110-BA109)</f>
        <v/>
      </c>
      <c r="BB244" s="21">
        <f>100*(BB110-BB109)</f>
        <v/>
      </c>
      <c r="BC244" s="21">
        <f>100*(BC110-BC109)</f>
        <v/>
      </c>
      <c r="BD244" s="21">
        <f>100*(BD110-BD109)</f>
        <v/>
      </c>
      <c r="BE244" s="21">
        <f>100*(BE110-BE109)</f>
        <v/>
      </c>
      <c r="BF244" s="21">
        <f>100*(BF110-BF109)</f>
        <v/>
      </c>
      <c r="BG244" s="21">
        <f>100*(BG110-BG109)</f>
        <v/>
      </c>
      <c r="BH244" s="21">
        <f>AVERAGE(C244:BG244)</f>
        <v/>
      </c>
    </row>
    <row r="245">
      <c r="A245" s="19">
        <f>A111</f>
        <v/>
      </c>
      <c r="B245" s="20">
        <f>B111</f>
        <v/>
      </c>
      <c r="C245" s="21">
        <f>100*(C111-C110)</f>
        <v/>
      </c>
      <c r="D245" s="21">
        <f>100*(D111-D110)</f>
        <v/>
      </c>
      <c r="E245" s="21">
        <f>100*(E111-E110)</f>
        <v/>
      </c>
      <c r="F245" s="21">
        <f>100*(F111-F110)</f>
        <v/>
      </c>
      <c r="G245" s="21">
        <f>100*(G111-G110)</f>
        <v/>
      </c>
      <c r="H245" s="21">
        <f>100*(H111-H110)</f>
        <v/>
      </c>
      <c r="I245" s="21">
        <f>100*(I111-I110)</f>
        <v/>
      </c>
      <c r="J245" s="21">
        <f>100*(J111-J110)</f>
        <v/>
      </c>
      <c r="K245" s="21">
        <f>100*(K111-K110)</f>
        <v/>
      </c>
      <c r="L245" s="21">
        <f>100*(L111-L110)</f>
        <v/>
      </c>
      <c r="M245" s="21">
        <f>100*(M111-M110)</f>
        <v/>
      </c>
      <c r="N245" s="21">
        <f>100*(N111-N110)</f>
        <v/>
      </c>
      <c r="O245" s="21">
        <f>100*(O111-O110)</f>
        <v/>
      </c>
      <c r="P245" s="21">
        <f>100*(P111-P110)</f>
        <v/>
      </c>
      <c r="Q245" s="21">
        <f>100*(Q111-Q110)</f>
        <v/>
      </c>
      <c r="R245" s="21">
        <f>100*(R111-R110)</f>
        <v/>
      </c>
      <c r="S245" s="21">
        <f>100*(S111-S110)</f>
        <v/>
      </c>
      <c r="T245" s="21">
        <f>100*(T111-T110)</f>
        <v/>
      </c>
      <c r="U245" s="21">
        <f>100*(U111-U110)</f>
        <v/>
      </c>
      <c r="V245" s="21">
        <f>100*(V111-V110)</f>
        <v/>
      </c>
      <c r="W245" s="21">
        <f>100*(W111-W110)</f>
        <v/>
      </c>
      <c r="X245" s="21">
        <f>100*(X111-X110)</f>
        <v/>
      </c>
      <c r="Y245" s="21">
        <f>100*(Y111-Y110)</f>
        <v/>
      </c>
      <c r="Z245" s="21">
        <f>100*(Z111-Z110)</f>
        <v/>
      </c>
      <c r="AA245" s="21">
        <f>100*(AA111-AA110)</f>
        <v/>
      </c>
      <c r="AB245" s="21">
        <f>100*(AB111-AB110)</f>
        <v/>
      </c>
      <c r="AC245" s="21">
        <f>100*(AC111-AC110)</f>
        <v/>
      </c>
      <c r="AD245" s="21">
        <f>100*(AD111-AD110)</f>
        <v/>
      </c>
      <c r="AE245" s="21">
        <f>100*(AE111-AE110)</f>
        <v/>
      </c>
      <c r="AF245" s="21">
        <f>100*(AF111-AF110)</f>
        <v/>
      </c>
      <c r="AG245" s="21">
        <f>100*(AG111-AG110)</f>
        <v/>
      </c>
      <c r="AH245" s="21">
        <f>100*(AH111-AH110)</f>
        <v/>
      </c>
      <c r="AI245" s="21">
        <f>100*(AI111-AI110)</f>
        <v/>
      </c>
      <c r="AJ245" s="21">
        <f>100*(AJ111-AJ110)</f>
        <v/>
      </c>
      <c r="AK245" s="21">
        <f>100*(AK111-AK110)</f>
        <v/>
      </c>
      <c r="AL245" s="21">
        <f>100*(AL111-AL110)</f>
        <v/>
      </c>
      <c r="AM245" s="21">
        <f>100*(AM111-AM110)</f>
        <v/>
      </c>
      <c r="AN245" s="21">
        <f>100*(AN111-AN110)</f>
        <v/>
      </c>
      <c r="AO245" s="21">
        <f>100*(AO111-AO110)</f>
        <v/>
      </c>
      <c r="AP245" s="21">
        <f>100*(AP111-AP110)</f>
        <v/>
      </c>
      <c r="AQ245" s="21">
        <f>100*(AQ111-AQ110)</f>
        <v/>
      </c>
      <c r="AR245" s="21">
        <f>100*(AR111-AR110)</f>
        <v/>
      </c>
      <c r="AS245" s="21">
        <f>100*(AS111-AS110)</f>
        <v/>
      </c>
      <c r="AT245" s="21">
        <f>100*(AT111-AT110)</f>
        <v/>
      </c>
      <c r="AU245" s="21">
        <f>100*(AU111-AU110)</f>
        <v/>
      </c>
      <c r="AV245" s="21">
        <f>100*(AV111-AV110)</f>
        <v/>
      </c>
      <c r="AW245" s="21">
        <f>100*(AW111-AW110)</f>
        <v/>
      </c>
      <c r="AX245" s="21">
        <f>100*(AX111-AX110)</f>
        <v/>
      </c>
      <c r="AY245" s="21">
        <f>100*(AY111-AY110)</f>
        <v/>
      </c>
      <c r="AZ245" s="21">
        <f>100*(AZ111-AZ110)</f>
        <v/>
      </c>
      <c r="BA245" s="21">
        <f>100*(BA111-BA110)</f>
        <v/>
      </c>
      <c r="BB245" s="21">
        <f>100*(BB111-BB110)</f>
        <v/>
      </c>
      <c r="BC245" s="21">
        <f>100*(BC111-BC110)</f>
        <v/>
      </c>
      <c r="BD245" s="21">
        <f>100*(BD111-BD110)</f>
        <v/>
      </c>
      <c r="BE245" s="21">
        <f>100*(BE111-BE110)</f>
        <v/>
      </c>
      <c r="BF245" s="21">
        <f>100*(BF111-BF110)</f>
        <v/>
      </c>
      <c r="BG245" s="21">
        <f>100*(BG111-BG110)</f>
        <v/>
      </c>
      <c r="BH245" s="21">
        <f>AVERAGE(C245:BG245)</f>
        <v/>
      </c>
    </row>
    <row r="246">
      <c r="A246" s="19">
        <f>A112</f>
        <v/>
      </c>
      <c r="B246" s="20">
        <f>B112</f>
        <v/>
      </c>
      <c r="C246" s="21">
        <f>100*(C112-C111)</f>
        <v/>
      </c>
      <c r="D246" s="21">
        <f>100*(D112-D111)</f>
        <v/>
      </c>
      <c r="E246" s="21">
        <f>100*(E112-E111)</f>
        <v/>
      </c>
      <c r="F246" s="21">
        <f>100*(F112-F111)</f>
        <v/>
      </c>
      <c r="G246" s="21">
        <f>100*(G112-G111)</f>
        <v/>
      </c>
      <c r="H246" s="21">
        <f>100*(H112-H111)</f>
        <v/>
      </c>
      <c r="I246" s="21">
        <f>100*(I112-I111)</f>
        <v/>
      </c>
      <c r="J246" s="21">
        <f>100*(J112-J111)</f>
        <v/>
      </c>
      <c r="K246" s="21">
        <f>100*(K112-K111)</f>
        <v/>
      </c>
      <c r="L246" s="21">
        <f>100*(L112-L111)</f>
        <v/>
      </c>
      <c r="M246" s="21">
        <f>100*(M112-M111)</f>
        <v/>
      </c>
      <c r="N246" s="21">
        <f>100*(N112-N111)</f>
        <v/>
      </c>
      <c r="O246" s="21">
        <f>100*(O112-O111)</f>
        <v/>
      </c>
      <c r="P246" s="21">
        <f>100*(P112-P111)</f>
        <v/>
      </c>
      <c r="Q246" s="21">
        <f>100*(Q112-Q111)</f>
        <v/>
      </c>
      <c r="R246" s="21">
        <f>100*(R112-R111)</f>
        <v/>
      </c>
      <c r="S246" s="21">
        <f>100*(S112-S111)</f>
        <v/>
      </c>
      <c r="T246" s="21">
        <f>100*(T112-T111)</f>
        <v/>
      </c>
      <c r="U246" s="21">
        <f>100*(U112-U111)</f>
        <v/>
      </c>
      <c r="V246" s="21">
        <f>100*(V112-V111)</f>
        <v/>
      </c>
      <c r="W246" s="21">
        <f>100*(W112-W111)</f>
        <v/>
      </c>
      <c r="X246" s="21">
        <f>100*(X112-X111)</f>
        <v/>
      </c>
      <c r="Y246" s="21">
        <f>100*(Y112-Y111)</f>
        <v/>
      </c>
      <c r="Z246" s="21">
        <f>100*(Z112-Z111)</f>
        <v/>
      </c>
      <c r="AA246" s="21">
        <f>100*(AA112-AA111)</f>
        <v/>
      </c>
      <c r="AB246" s="21">
        <f>100*(AB112-AB111)</f>
        <v/>
      </c>
      <c r="AC246" s="21">
        <f>100*(AC112-AC111)</f>
        <v/>
      </c>
      <c r="AD246" s="21">
        <f>100*(AD112-AD111)</f>
        <v/>
      </c>
      <c r="AE246" s="21">
        <f>100*(AE112-AE111)</f>
        <v/>
      </c>
      <c r="AF246" s="21">
        <f>100*(AF112-AF111)</f>
        <v/>
      </c>
      <c r="AG246" s="21">
        <f>100*(AG112-AG111)</f>
        <v/>
      </c>
      <c r="AH246" s="21">
        <f>100*(AH112-AH111)</f>
        <v/>
      </c>
      <c r="AI246" s="21">
        <f>100*(AI112-AI111)</f>
        <v/>
      </c>
      <c r="AJ246" s="21">
        <f>100*(AJ112-AJ111)</f>
        <v/>
      </c>
      <c r="AK246" s="21">
        <f>100*(AK112-AK111)</f>
        <v/>
      </c>
      <c r="AL246" s="21">
        <f>100*(AL112-AL111)</f>
        <v/>
      </c>
      <c r="AM246" s="21">
        <f>100*(AM112-AM111)</f>
        <v/>
      </c>
      <c r="AN246" s="21">
        <f>100*(AN112-AN111)</f>
        <v/>
      </c>
      <c r="AO246" s="21">
        <f>100*(AO112-AO111)</f>
        <v/>
      </c>
      <c r="AP246" s="21">
        <f>100*(AP112-AP111)</f>
        <v/>
      </c>
      <c r="AQ246" s="21">
        <f>100*(AQ112-AQ111)</f>
        <v/>
      </c>
      <c r="AR246" s="21">
        <f>100*(AR112-AR111)</f>
        <v/>
      </c>
      <c r="AS246" s="21">
        <f>100*(AS112-AS111)</f>
        <v/>
      </c>
      <c r="AT246" s="21">
        <f>100*(AT112-AT111)</f>
        <v/>
      </c>
      <c r="AU246" s="21">
        <f>100*(AU112-AU111)</f>
        <v/>
      </c>
      <c r="AV246" s="21">
        <f>100*(AV112-AV111)</f>
        <v/>
      </c>
      <c r="AW246" s="21">
        <f>100*(AW112-AW111)</f>
        <v/>
      </c>
      <c r="AX246" s="21">
        <f>100*(AX112-AX111)</f>
        <v/>
      </c>
      <c r="AY246" s="21">
        <f>100*(AY112-AY111)</f>
        <v/>
      </c>
      <c r="AZ246" s="21">
        <f>100*(AZ112-AZ111)</f>
        <v/>
      </c>
      <c r="BA246" s="21">
        <f>100*(BA112-BA111)</f>
        <v/>
      </c>
      <c r="BB246" s="21">
        <f>100*(BB112-BB111)</f>
        <v/>
      </c>
      <c r="BC246" s="21">
        <f>100*(BC112-BC111)</f>
        <v/>
      </c>
      <c r="BD246" s="21">
        <f>100*(BD112-BD111)</f>
        <v/>
      </c>
      <c r="BE246" s="21">
        <f>100*(BE112-BE111)</f>
        <v/>
      </c>
      <c r="BF246" s="21">
        <f>100*(BF112-BF111)</f>
        <v/>
      </c>
      <c r="BG246" s="21">
        <f>100*(BG112-BG111)</f>
        <v/>
      </c>
      <c r="BH246" s="21">
        <f>AVERAGE(C246:BG246)</f>
        <v/>
      </c>
    </row>
    <row r="247">
      <c r="A247" s="19">
        <f>A113</f>
        <v/>
      </c>
      <c r="B247" s="20">
        <f>B113</f>
        <v/>
      </c>
      <c r="C247" s="21">
        <f>100*(C113-C112)</f>
        <v/>
      </c>
      <c r="D247" s="21">
        <f>100*(D113-D112)</f>
        <v/>
      </c>
      <c r="E247" s="21">
        <f>100*(E113-E112)</f>
        <v/>
      </c>
      <c r="F247" s="21">
        <f>100*(F113-F112)</f>
        <v/>
      </c>
      <c r="G247" s="21">
        <f>100*(G113-G112)</f>
        <v/>
      </c>
      <c r="H247" s="21">
        <f>100*(H113-H112)</f>
        <v/>
      </c>
      <c r="I247" s="21">
        <f>100*(I113-I112)</f>
        <v/>
      </c>
      <c r="J247" s="21">
        <f>100*(J113-J112)</f>
        <v/>
      </c>
      <c r="K247" s="21">
        <f>100*(K113-K112)</f>
        <v/>
      </c>
      <c r="L247" s="21">
        <f>100*(L113-L112)</f>
        <v/>
      </c>
      <c r="M247" s="21">
        <f>100*(M113-M112)</f>
        <v/>
      </c>
      <c r="N247" s="21">
        <f>100*(N113-N112)</f>
        <v/>
      </c>
      <c r="O247" s="21">
        <f>100*(O113-O112)</f>
        <v/>
      </c>
      <c r="P247" s="21">
        <f>100*(P113-P112)</f>
        <v/>
      </c>
      <c r="Q247" s="21">
        <f>100*(Q113-Q112)</f>
        <v/>
      </c>
      <c r="R247" s="21">
        <f>100*(R113-R112)</f>
        <v/>
      </c>
      <c r="S247" s="21">
        <f>100*(S113-S112)</f>
        <v/>
      </c>
      <c r="T247" s="21">
        <f>100*(T113-T112)</f>
        <v/>
      </c>
      <c r="U247" s="21">
        <f>100*(U113-U112)</f>
        <v/>
      </c>
      <c r="V247" s="21">
        <f>100*(V113-V112)</f>
        <v/>
      </c>
      <c r="W247" s="21">
        <f>100*(W113-W112)</f>
        <v/>
      </c>
      <c r="X247" s="21">
        <f>100*(X113-X112)</f>
        <v/>
      </c>
      <c r="Y247" s="21">
        <f>100*(Y113-Y112)</f>
        <v/>
      </c>
      <c r="Z247" s="21">
        <f>100*(Z113-Z112)</f>
        <v/>
      </c>
      <c r="AA247" s="21">
        <f>100*(AA113-AA112)</f>
        <v/>
      </c>
      <c r="AB247" s="21">
        <f>100*(AB113-AB112)</f>
        <v/>
      </c>
      <c r="AC247" s="21">
        <f>100*(AC113-AC112)</f>
        <v/>
      </c>
      <c r="AD247" s="21">
        <f>100*(AD113-AD112)</f>
        <v/>
      </c>
      <c r="AE247" s="21">
        <f>100*(AE113-AE112)</f>
        <v/>
      </c>
      <c r="AF247" s="21">
        <f>100*(AF113-AF112)</f>
        <v/>
      </c>
      <c r="AG247" s="21">
        <f>100*(AG113-AG112)</f>
        <v/>
      </c>
      <c r="AH247" s="21">
        <f>100*(AH113-AH112)</f>
        <v/>
      </c>
      <c r="AI247" s="21">
        <f>100*(AI113-AI112)</f>
        <v/>
      </c>
      <c r="AJ247" s="21">
        <f>100*(AJ113-AJ112)</f>
        <v/>
      </c>
      <c r="AK247" s="21">
        <f>100*(AK113-AK112)</f>
        <v/>
      </c>
      <c r="AL247" s="21">
        <f>100*(AL113-AL112)</f>
        <v/>
      </c>
      <c r="AM247" s="21">
        <f>100*(AM113-AM112)</f>
        <v/>
      </c>
      <c r="AN247" s="21">
        <f>100*(AN113-AN112)</f>
        <v/>
      </c>
      <c r="AO247" s="21">
        <f>100*(AO113-AO112)</f>
        <v/>
      </c>
      <c r="AP247" s="21">
        <f>100*(AP113-AP112)</f>
        <v/>
      </c>
      <c r="AQ247" s="21">
        <f>100*(AQ113-AQ112)</f>
        <v/>
      </c>
      <c r="AR247" s="21">
        <f>100*(AR113-AR112)</f>
        <v/>
      </c>
      <c r="AS247" s="21">
        <f>100*(AS113-AS112)</f>
        <v/>
      </c>
      <c r="AT247" s="21">
        <f>100*(AT113-AT112)</f>
        <v/>
      </c>
      <c r="AU247" s="21">
        <f>100*(AU113-AU112)</f>
        <v/>
      </c>
      <c r="AV247" s="21">
        <f>100*(AV113-AV112)</f>
        <v/>
      </c>
      <c r="AW247" s="21">
        <f>100*(AW113-AW112)</f>
        <v/>
      </c>
      <c r="AX247" s="21">
        <f>100*(AX113-AX112)</f>
        <v/>
      </c>
      <c r="AY247" s="21">
        <f>100*(AY113-AY112)</f>
        <v/>
      </c>
      <c r="AZ247" s="21">
        <f>100*(AZ113-AZ112)</f>
        <v/>
      </c>
      <c r="BA247" s="21">
        <f>100*(BA113-BA112)</f>
        <v/>
      </c>
      <c r="BB247" s="21">
        <f>100*(BB113-BB112)</f>
        <v/>
      </c>
      <c r="BC247" s="21">
        <f>100*(BC113-BC112)</f>
        <v/>
      </c>
      <c r="BD247" s="21">
        <f>100*(BD113-BD112)</f>
        <v/>
      </c>
      <c r="BE247" s="21">
        <f>100*(BE113-BE112)</f>
        <v/>
      </c>
      <c r="BF247" s="21">
        <f>100*(BF113-BF112)</f>
        <v/>
      </c>
      <c r="BG247" s="21">
        <f>100*(BG113-BG112)</f>
        <v/>
      </c>
      <c r="BH247" s="21">
        <f>AVERAGE(C247:BG247)</f>
        <v/>
      </c>
    </row>
    <row r="248">
      <c r="A248" s="19">
        <f>A114</f>
        <v/>
      </c>
      <c r="B248" s="20">
        <f>B114</f>
        <v/>
      </c>
      <c r="C248" s="21">
        <f>100*(C114-C113)</f>
        <v/>
      </c>
      <c r="D248" s="21">
        <f>100*(D114-D113)</f>
        <v/>
      </c>
      <c r="E248" s="21">
        <f>100*(E114-E113)</f>
        <v/>
      </c>
      <c r="F248" s="21">
        <f>100*(F114-F113)</f>
        <v/>
      </c>
      <c r="G248" s="21">
        <f>100*(G114-G113)</f>
        <v/>
      </c>
      <c r="H248" s="21">
        <f>100*(H114-H113)</f>
        <v/>
      </c>
      <c r="I248" s="21">
        <f>100*(I114-I113)</f>
        <v/>
      </c>
      <c r="J248" s="21">
        <f>100*(J114-J113)</f>
        <v/>
      </c>
      <c r="K248" s="21">
        <f>100*(K114-K113)</f>
        <v/>
      </c>
      <c r="L248" s="21">
        <f>100*(L114-L113)</f>
        <v/>
      </c>
      <c r="M248" s="21">
        <f>100*(M114-M113)</f>
        <v/>
      </c>
      <c r="N248" s="21">
        <f>100*(N114-N113)</f>
        <v/>
      </c>
      <c r="O248" s="21">
        <f>100*(O114-O113)</f>
        <v/>
      </c>
      <c r="P248" s="21">
        <f>100*(P114-P113)</f>
        <v/>
      </c>
      <c r="Q248" s="21">
        <f>100*(Q114-Q113)</f>
        <v/>
      </c>
      <c r="R248" s="21">
        <f>100*(R114-R113)</f>
        <v/>
      </c>
      <c r="S248" s="21">
        <f>100*(S114-S113)</f>
        <v/>
      </c>
      <c r="T248" s="21">
        <f>100*(T114-T113)</f>
        <v/>
      </c>
      <c r="U248" s="21">
        <f>100*(U114-U113)</f>
        <v/>
      </c>
      <c r="V248" s="21">
        <f>100*(V114-V113)</f>
        <v/>
      </c>
      <c r="W248" s="21">
        <f>100*(W114-W113)</f>
        <v/>
      </c>
      <c r="X248" s="21">
        <f>100*(X114-X113)</f>
        <v/>
      </c>
      <c r="Y248" s="21">
        <f>100*(Y114-Y113)</f>
        <v/>
      </c>
      <c r="Z248" s="21">
        <f>100*(Z114-Z113)</f>
        <v/>
      </c>
      <c r="AA248" s="21">
        <f>100*(AA114-AA113)</f>
        <v/>
      </c>
      <c r="AB248" s="21">
        <f>100*(AB114-AB113)</f>
        <v/>
      </c>
      <c r="AC248" s="21">
        <f>100*(AC114-AC113)</f>
        <v/>
      </c>
      <c r="AD248" s="21">
        <f>100*(AD114-AD113)</f>
        <v/>
      </c>
      <c r="AE248" s="21">
        <f>100*(AE114-AE113)</f>
        <v/>
      </c>
      <c r="AF248" s="21">
        <f>100*(AF114-AF113)</f>
        <v/>
      </c>
      <c r="AG248" s="21">
        <f>100*(AG114-AG113)</f>
        <v/>
      </c>
      <c r="AH248" s="21">
        <f>100*(AH114-AH113)</f>
        <v/>
      </c>
      <c r="AI248" s="21">
        <f>100*(AI114-AI113)</f>
        <v/>
      </c>
      <c r="AJ248" s="21">
        <f>100*(AJ114-AJ113)</f>
        <v/>
      </c>
      <c r="AK248" s="21">
        <f>100*(AK114-AK113)</f>
        <v/>
      </c>
      <c r="AL248" s="21">
        <f>100*(AL114-AL113)</f>
        <v/>
      </c>
      <c r="AM248" s="21">
        <f>100*(AM114-AM113)</f>
        <v/>
      </c>
      <c r="AN248" s="21">
        <f>100*(AN114-AN113)</f>
        <v/>
      </c>
      <c r="AO248" s="21">
        <f>100*(AO114-AO113)</f>
        <v/>
      </c>
      <c r="AP248" s="21">
        <f>100*(AP114-AP113)</f>
        <v/>
      </c>
      <c r="AQ248" s="21">
        <f>100*(AQ114-AQ113)</f>
        <v/>
      </c>
      <c r="AR248" s="21">
        <f>100*(AR114-AR113)</f>
        <v/>
      </c>
      <c r="AS248" s="21">
        <f>100*(AS114-AS113)</f>
        <v/>
      </c>
      <c r="AT248" s="21">
        <f>100*(AT114-AT113)</f>
        <v/>
      </c>
      <c r="AU248" s="21">
        <f>100*(AU114-AU113)</f>
        <v/>
      </c>
      <c r="AV248" s="21">
        <f>100*(AV114-AV113)</f>
        <v/>
      </c>
      <c r="AW248" s="21">
        <f>100*(AW114-AW113)</f>
        <v/>
      </c>
      <c r="AX248" s="21">
        <f>100*(AX114-AX113)</f>
        <v/>
      </c>
      <c r="AY248" s="21">
        <f>100*(AY114-AY113)</f>
        <v/>
      </c>
      <c r="AZ248" s="21">
        <f>100*(AZ114-AZ113)</f>
        <v/>
      </c>
      <c r="BA248" s="21">
        <f>100*(BA114-BA113)</f>
        <v/>
      </c>
      <c r="BB248" s="21">
        <f>100*(BB114-BB113)</f>
        <v/>
      </c>
      <c r="BC248" s="21">
        <f>100*(BC114-BC113)</f>
        <v/>
      </c>
      <c r="BD248" s="21">
        <f>100*(BD114-BD113)</f>
        <v/>
      </c>
      <c r="BE248" s="21">
        <f>100*(BE114-BE113)</f>
        <v/>
      </c>
      <c r="BF248" s="21">
        <f>100*(BF114-BF113)</f>
        <v/>
      </c>
      <c r="BG248" s="21">
        <f>100*(BG114-BG113)</f>
        <v/>
      </c>
      <c r="BH248" s="21">
        <f>AVERAGE(C248:BG248)</f>
        <v/>
      </c>
    </row>
    <row r="249">
      <c r="A249" s="19">
        <f>A115</f>
        <v/>
      </c>
      <c r="B249" s="20">
        <f>B115</f>
        <v/>
      </c>
      <c r="C249" s="21">
        <f>100*(C115-C114)</f>
        <v/>
      </c>
      <c r="D249" s="21">
        <f>100*(D115-D114)</f>
        <v/>
      </c>
      <c r="E249" s="21">
        <f>100*(E115-E114)</f>
        <v/>
      </c>
      <c r="F249" s="21">
        <f>100*(F115-F114)</f>
        <v/>
      </c>
      <c r="G249" s="21">
        <f>100*(G115-G114)</f>
        <v/>
      </c>
      <c r="H249" s="21">
        <f>100*(H115-H114)</f>
        <v/>
      </c>
      <c r="I249" s="21">
        <f>100*(I115-I114)</f>
        <v/>
      </c>
      <c r="J249" s="21">
        <f>100*(J115-J114)</f>
        <v/>
      </c>
      <c r="K249" s="21">
        <f>100*(K115-K114)</f>
        <v/>
      </c>
      <c r="L249" s="21">
        <f>100*(L115-L114)</f>
        <v/>
      </c>
      <c r="M249" s="21">
        <f>100*(M115-M114)</f>
        <v/>
      </c>
      <c r="N249" s="21">
        <f>100*(N115-N114)</f>
        <v/>
      </c>
      <c r="O249" s="21">
        <f>100*(O115-O114)</f>
        <v/>
      </c>
      <c r="P249" s="21">
        <f>100*(P115-P114)</f>
        <v/>
      </c>
      <c r="Q249" s="21">
        <f>100*(Q115-Q114)</f>
        <v/>
      </c>
      <c r="R249" s="21">
        <f>100*(R115-R114)</f>
        <v/>
      </c>
      <c r="S249" s="21">
        <f>100*(S115-S114)</f>
        <v/>
      </c>
      <c r="T249" s="21">
        <f>100*(T115-T114)</f>
        <v/>
      </c>
      <c r="U249" s="21">
        <f>100*(U115-U114)</f>
        <v/>
      </c>
      <c r="V249" s="21">
        <f>100*(V115-V114)</f>
        <v/>
      </c>
      <c r="W249" s="21">
        <f>100*(W115-W114)</f>
        <v/>
      </c>
      <c r="X249" s="21">
        <f>100*(X115-X114)</f>
        <v/>
      </c>
      <c r="Y249" s="21">
        <f>100*(Y115-Y114)</f>
        <v/>
      </c>
      <c r="Z249" s="21">
        <f>100*(Z115-Z114)</f>
        <v/>
      </c>
      <c r="AA249" s="21">
        <f>100*(AA115-AA114)</f>
        <v/>
      </c>
      <c r="AB249" s="21">
        <f>100*(AB115-AB114)</f>
        <v/>
      </c>
      <c r="AC249" s="21">
        <f>100*(AC115-AC114)</f>
        <v/>
      </c>
      <c r="AD249" s="21">
        <f>100*(AD115-AD114)</f>
        <v/>
      </c>
      <c r="AE249" s="21">
        <f>100*(AE115-AE114)</f>
        <v/>
      </c>
      <c r="AF249" s="21">
        <f>100*(AF115-AF114)</f>
        <v/>
      </c>
      <c r="AG249" s="21">
        <f>100*(AG115-AG114)</f>
        <v/>
      </c>
      <c r="AH249" s="21">
        <f>100*(AH115-AH114)</f>
        <v/>
      </c>
      <c r="AI249" s="21">
        <f>100*(AI115-AI114)</f>
        <v/>
      </c>
      <c r="AJ249" s="21">
        <f>100*(AJ115-AJ114)</f>
        <v/>
      </c>
      <c r="AK249" s="21">
        <f>100*(AK115-AK114)</f>
        <v/>
      </c>
      <c r="AL249" s="21">
        <f>100*(AL115-AL114)</f>
        <v/>
      </c>
      <c r="AM249" s="21">
        <f>100*(AM115-AM114)</f>
        <v/>
      </c>
      <c r="AN249" s="21">
        <f>100*(AN115-AN114)</f>
        <v/>
      </c>
      <c r="AO249" s="21">
        <f>100*(AO115-AO114)</f>
        <v/>
      </c>
      <c r="AP249" s="21">
        <f>100*(AP115-AP114)</f>
        <v/>
      </c>
      <c r="AQ249" s="21">
        <f>100*(AQ115-AQ114)</f>
        <v/>
      </c>
      <c r="AR249" s="21">
        <f>100*(AR115-AR114)</f>
        <v/>
      </c>
      <c r="AS249" s="21">
        <f>100*(AS115-AS114)</f>
        <v/>
      </c>
      <c r="AT249" s="21">
        <f>100*(AT115-AT114)</f>
        <v/>
      </c>
      <c r="AU249" s="21">
        <f>100*(AU115-AU114)</f>
        <v/>
      </c>
      <c r="AV249" s="21">
        <f>100*(AV115-AV114)</f>
        <v/>
      </c>
      <c r="AW249" s="21">
        <f>100*(AW115-AW114)</f>
        <v/>
      </c>
      <c r="AX249" s="21">
        <f>100*(AX115-AX114)</f>
        <v/>
      </c>
      <c r="AY249" s="21">
        <f>100*(AY115-AY114)</f>
        <v/>
      </c>
      <c r="AZ249" s="21">
        <f>100*(AZ115-AZ114)</f>
        <v/>
      </c>
      <c r="BA249" s="21">
        <f>100*(BA115-BA114)</f>
        <v/>
      </c>
      <c r="BB249" s="21">
        <f>100*(BB115-BB114)</f>
        <v/>
      </c>
      <c r="BC249" s="21">
        <f>100*(BC115-BC114)</f>
        <v/>
      </c>
      <c r="BD249" s="21">
        <f>100*(BD115-BD114)</f>
        <v/>
      </c>
      <c r="BE249" s="21">
        <f>100*(BE115-BE114)</f>
        <v/>
      </c>
      <c r="BF249" s="21">
        <f>100*(BF115-BF114)</f>
        <v/>
      </c>
      <c r="BG249" s="21">
        <f>100*(BG115-BG114)</f>
        <v/>
      </c>
      <c r="BH249" s="21">
        <f>AVERAGE(C249:BG249)</f>
        <v/>
      </c>
    </row>
    <row r="250">
      <c r="A250" s="19">
        <f>A116</f>
        <v/>
      </c>
      <c r="B250" s="20">
        <f>B116</f>
        <v/>
      </c>
      <c r="C250" s="21">
        <f>100*(C116-C115)</f>
        <v/>
      </c>
      <c r="D250" s="21">
        <f>100*(D116-D115)</f>
        <v/>
      </c>
      <c r="E250" s="21">
        <f>100*(E116-E115)</f>
        <v/>
      </c>
      <c r="F250" s="21">
        <f>100*(F116-F115)</f>
        <v/>
      </c>
      <c r="G250" s="21">
        <f>100*(G116-G115)</f>
        <v/>
      </c>
      <c r="H250" s="21">
        <f>100*(H116-H115)</f>
        <v/>
      </c>
      <c r="I250" s="21">
        <f>100*(I116-I115)</f>
        <v/>
      </c>
      <c r="J250" s="21">
        <f>100*(J116-J115)</f>
        <v/>
      </c>
      <c r="K250" s="21">
        <f>100*(K116-K115)</f>
        <v/>
      </c>
      <c r="L250" s="21">
        <f>100*(L116-L115)</f>
        <v/>
      </c>
      <c r="M250" s="21">
        <f>100*(M116-M115)</f>
        <v/>
      </c>
      <c r="N250" s="21">
        <f>100*(N116-N115)</f>
        <v/>
      </c>
      <c r="O250" s="21">
        <f>100*(O116-O115)</f>
        <v/>
      </c>
      <c r="P250" s="21">
        <f>100*(P116-P115)</f>
        <v/>
      </c>
      <c r="Q250" s="21">
        <f>100*(Q116-Q115)</f>
        <v/>
      </c>
      <c r="R250" s="21">
        <f>100*(R116-R115)</f>
        <v/>
      </c>
      <c r="S250" s="21">
        <f>100*(S116-S115)</f>
        <v/>
      </c>
      <c r="T250" s="21">
        <f>100*(T116-T115)</f>
        <v/>
      </c>
      <c r="U250" s="21">
        <f>100*(U116-U115)</f>
        <v/>
      </c>
      <c r="V250" s="21">
        <f>100*(V116-V115)</f>
        <v/>
      </c>
      <c r="W250" s="21">
        <f>100*(W116-W115)</f>
        <v/>
      </c>
      <c r="X250" s="21">
        <f>100*(X116-X115)</f>
        <v/>
      </c>
      <c r="Y250" s="21">
        <f>100*(Y116-Y115)</f>
        <v/>
      </c>
      <c r="Z250" s="21">
        <f>100*(Z116-Z115)</f>
        <v/>
      </c>
      <c r="AA250" s="21">
        <f>100*(AA116-AA115)</f>
        <v/>
      </c>
      <c r="AB250" s="21">
        <f>100*(AB116-AB115)</f>
        <v/>
      </c>
      <c r="AC250" s="21">
        <f>100*(AC116-AC115)</f>
        <v/>
      </c>
      <c r="AD250" s="21">
        <f>100*(AD116-AD115)</f>
        <v/>
      </c>
      <c r="AE250" s="21">
        <f>100*(AE116-AE115)</f>
        <v/>
      </c>
      <c r="AF250" s="21">
        <f>100*(AF116-AF115)</f>
        <v/>
      </c>
      <c r="AG250" s="21">
        <f>100*(AG116-AG115)</f>
        <v/>
      </c>
      <c r="AH250" s="21">
        <f>100*(AH116-AH115)</f>
        <v/>
      </c>
      <c r="AI250" s="21">
        <f>100*(AI116-AI115)</f>
        <v/>
      </c>
      <c r="AJ250" s="21">
        <f>100*(AJ116-AJ115)</f>
        <v/>
      </c>
      <c r="AK250" s="21">
        <f>100*(AK116-AK115)</f>
        <v/>
      </c>
      <c r="AL250" s="21">
        <f>100*(AL116-AL115)</f>
        <v/>
      </c>
      <c r="AM250" s="21">
        <f>100*(AM116-AM115)</f>
        <v/>
      </c>
      <c r="AN250" s="21">
        <f>100*(AN116-AN115)</f>
        <v/>
      </c>
      <c r="AO250" s="21">
        <f>100*(AO116-AO115)</f>
        <v/>
      </c>
      <c r="AP250" s="21">
        <f>100*(AP116-AP115)</f>
        <v/>
      </c>
      <c r="AQ250" s="21">
        <f>100*(AQ116-AQ115)</f>
        <v/>
      </c>
      <c r="AR250" s="21">
        <f>100*(AR116-AR115)</f>
        <v/>
      </c>
      <c r="AS250" s="21">
        <f>100*(AS116-AS115)</f>
        <v/>
      </c>
      <c r="AT250" s="21">
        <f>100*(AT116-AT115)</f>
        <v/>
      </c>
      <c r="AU250" s="21">
        <f>100*(AU116-AU115)</f>
        <v/>
      </c>
      <c r="AV250" s="21">
        <f>100*(AV116-AV115)</f>
        <v/>
      </c>
      <c r="AW250" s="21">
        <f>100*(AW116-AW115)</f>
        <v/>
      </c>
      <c r="AX250" s="21">
        <f>100*(AX116-AX115)</f>
        <v/>
      </c>
      <c r="AY250" s="21">
        <f>100*(AY116-AY115)</f>
        <v/>
      </c>
      <c r="AZ250" s="21">
        <f>100*(AZ116-AZ115)</f>
        <v/>
      </c>
      <c r="BA250" s="21">
        <f>100*(BA116-BA115)</f>
        <v/>
      </c>
      <c r="BB250" s="21">
        <f>100*(BB116-BB115)</f>
        <v/>
      </c>
      <c r="BC250" s="21">
        <f>100*(BC116-BC115)</f>
        <v/>
      </c>
      <c r="BD250" s="21">
        <f>100*(BD116-BD115)</f>
        <v/>
      </c>
      <c r="BE250" s="21">
        <f>100*(BE116-BE115)</f>
        <v/>
      </c>
      <c r="BF250" s="21">
        <f>100*(BF116-BF115)</f>
        <v/>
      </c>
      <c r="BG250" s="21">
        <f>100*(BG116-BG115)</f>
        <v/>
      </c>
      <c r="BH250" s="21">
        <f>AVERAGE(C250:BG250)</f>
        <v/>
      </c>
    </row>
    <row r="251">
      <c r="A251" s="19">
        <f>A117</f>
        <v/>
      </c>
      <c r="B251" s="20">
        <f>B117</f>
        <v/>
      </c>
      <c r="C251" s="21">
        <f>100*(C117-C116)</f>
        <v/>
      </c>
      <c r="D251" s="21">
        <f>100*(D117-D116)</f>
        <v/>
      </c>
      <c r="E251" s="21">
        <f>100*(E117-E116)</f>
        <v/>
      </c>
      <c r="F251" s="21">
        <f>100*(F117-F116)</f>
        <v/>
      </c>
      <c r="G251" s="21">
        <f>100*(G117-G116)</f>
        <v/>
      </c>
      <c r="H251" s="21">
        <f>100*(H117-H116)</f>
        <v/>
      </c>
      <c r="I251" s="21">
        <f>100*(I117-I116)</f>
        <v/>
      </c>
      <c r="J251" s="21">
        <f>100*(J117-J116)</f>
        <v/>
      </c>
      <c r="K251" s="21">
        <f>100*(K117-K116)</f>
        <v/>
      </c>
      <c r="L251" s="21">
        <f>100*(L117-L116)</f>
        <v/>
      </c>
      <c r="M251" s="21">
        <f>100*(M117-M116)</f>
        <v/>
      </c>
      <c r="N251" s="21">
        <f>100*(N117-N116)</f>
        <v/>
      </c>
      <c r="O251" s="21">
        <f>100*(O117-O116)</f>
        <v/>
      </c>
      <c r="P251" s="21">
        <f>100*(P117-P116)</f>
        <v/>
      </c>
      <c r="Q251" s="21">
        <f>100*(Q117-Q116)</f>
        <v/>
      </c>
      <c r="R251" s="21">
        <f>100*(R117-R116)</f>
        <v/>
      </c>
      <c r="S251" s="21">
        <f>100*(S117-S116)</f>
        <v/>
      </c>
      <c r="T251" s="21">
        <f>100*(T117-T116)</f>
        <v/>
      </c>
      <c r="U251" s="21">
        <f>100*(U117-U116)</f>
        <v/>
      </c>
      <c r="V251" s="21">
        <f>100*(V117-V116)</f>
        <v/>
      </c>
      <c r="W251" s="21">
        <f>100*(W117-W116)</f>
        <v/>
      </c>
      <c r="X251" s="21">
        <f>100*(X117-X116)</f>
        <v/>
      </c>
      <c r="Y251" s="21">
        <f>100*(Y117-Y116)</f>
        <v/>
      </c>
      <c r="Z251" s="21">
        <f>100*(Z117-Z116)</f>
        <v/>
      </c>
      <c r="AA251" s="21">
        <f>100*(AA117-AA116)</f>
        <v/>
      </c>
      <c r="AB251" s="21">
        <f>100*(AB117-AB116)</f>
        <v/>
      </c>
      <c r="AC251" s="21">
        <f>100*(AC117-AC116)</f>
        <v/>
      </c>
      <c r="AD251" s="21">
        <f>100*(AD117-AD116)</f>
        <v/>
      </c>
      <c r="AE251" s="21">
        <f>100*(AE117-AE116)</f>
        <v/>
      </c>
      <c r="AF251" s="21">
        <f>100*(AF117-AF116)</f>
        <v/>
      </c>
      <c r="AG251" s="21">
        <f>100*(AG117-AG116)</f>
        <v/>
      </c>
      <c r="AH251" s="21">
        <f>100*(AH117-AH116)</f>
        <v/>
      </c>
      <c r="AI251" s="21">
        <f>100*(AI117-AI116)</f>
        <v/>
      </c>
      <c r="AJ251" s="21">
        <f>100*(AJ117-AJ116)</f>
        <v/>
      </c>
      <c r="AK251" s="21">
        <f>100*(AK117-AK116)</f>
        <v/>
      </c>
      <c r="AL251" s="21">
        <f>100*(AL117-AL116)</f>
        <v/>
      </c>
      <c r="AM251" s="21">
        <f>100*(AM117-AM116)</f>
        <v/>
      </c>
      <c r="AN251" s="21">
        <f>100*(AN117-AN116)</f>
        <v/>
      </c>
      <c r="AO251" s="21">
        <f>100*(AO117-AO116)</f>
        <v/>
      </c>
      <c r="AP251" s="21">
        <f>100*(AP117-AP116)</f>
        <v/>
      </c>
      <c r="AQ251" s="21">
        <f>100*(AQ117-AQ116)</f>
        <v/>
      </c>
      <c r="AR251" s="21">
        <f>100*(AR117-AR116)</f>
        <v/>
      </c>
      <c r="AS251" s="21">
        <f>100*(AS117-AS116)</f>
        <v/>
      </c>
      <c r="AT251" s="21">
        <f>100*(AT117-AT116)</f>
        <v/>
      </c>
      <c r="AU251" s="21">
        <f>100*(AU117-AU116)</f>
        <v/>
      </c>
      <c r="AV251" s="21">
        <f>100*(AV117-AV116)</f>
        <v/>
      </c>
      <c r="AW251" s="21">
        <f>100*(AW117-AW116)</f>
        <v/>
      </c>
      <c r="AX251" s="21">
        <f>100*(AX117-AX116)</f>
        <v/>
      </c>
      <c r="AY251" s="21">
        <f>100*(AY117-AY116)</f>
        <v/>
      </c>
      <c r="AZ251" s="21">
        <f>100*(AZ117-AZ116)</f>
        <v/>
      </c>
      <c r="BA251" s="21">
        <f>100*(BA117-BA116)</f>
        <v/>
      </c>
      <c r="BB251" s="21">
        <f>100*(BB117-BB116)</f>
        <v/>
      </c>
      <c r="BC251" s="21">
        <f>100*(BC117-BC116)</f>
        <v/>
      </c>
      <c r="BD251" s="21">
        <f>100*(BD117-BD116)</f>
        <v/>
      </c>
      <c r="BE251" s="21">
        <f>100*(BE117-BE116)</f>
        <v/>
      </c>
      <c r="BF251" s="21">
        <f>100*(BF117-BF116)</f>
        <v/>
      </c>
      <c r="BG251" s="21">
        <f>100*(BG117-BG116)</f>
        <v/>
      </c>
      <c r="BH251" s="21">
        <f>AVERAGE(C251:BG251)</f>
        <v/>
      </c>
    </row>
    <row r="252">
      <c r="A252" s="19">
        <f>A118</f>
        <v/>
      </c>
      <c r="B252" s="20">
        <f>B118</f>
        <v/>
      </c>
      <c r="C252" s="21">
        <f>100*(C118-C117)</f>
        <v/>
      </c>
      <c r="D252" s="21">
        <f>100*(D118-D117)</f>
        <v/>
      </c>
      <c r="E252" s="21">
        <f>100*(E118-E117)</f>
        <v/>
      </c>
      <c r="F252" s="21">
        <f>100*(F118-F117)</f>
        <v/>
      </c>
      <c r="G252" s="21">
        <f>100*(G118-G117)</f>
        <v/>
      </c>
      <c r="H252" s="21">
        <f>100*(H118-H117)</f>
        <v/>
      </c>
      <c r="I252" s="21">
        <f>100*(I118-I117)</f>
        <v/>
      </c>
      <c r="J252" s="21">
        <f>100*(J118-J117)</f>
        <v/>
      </c>
      <c r="K252" s="21">
        <f>100*(K118-K117)</f>
        <v/>
      </c>
      <c r="L252" s="21">
        <f>100*(L118-L117)</f>
        <v/>
      </c>
      <c r="M252" s="21">
        <f>100*(M118-M117)</f>
        <v/>
      </c>
      <c r="N252" s="21">
        <f>100*(N118-N117)</f>
        <v/>
      </c>
      <c r="O252" s="21">
        <f>100*(O118-O117)</f>
        <v/>
      </c>
      <c r="P252" s="21">
        <f>100*(P118-P117)</f>
        <v/>
      </c>
      <c r="Q252" s="21">
        <f>100*(Q118-Q117)</f>
        <v/>
      </c>
      <c r="R252" s="21">
        <f>100*(R118-R117)</f>
        <v/>
      </c>
      <c r="S252" s="21">
        <f>100*(S118-S117)</f>
        <v/>
      </c>
      <c r="T252" s="21">
        <f>100*(T118-T117)</f>
        <v/>
      </c>
      <c r="U252" s="21">
        <f>100*(U118-U117)</f>
        <v/>
      </c>
      <c r="V252" s="21">
        <f>100*(V118-V117)</f>
        <v/>
      </c>
      <c r="W252" s="21">
        <f>100*(W118-W117)</f>
        <v/>
      </c>
      <c r="X252" s="21">
        <f>100*(X118-X117)</f>
        <v/>
      </c>
      <c r="Y252" s="21">
        <f>100*(Y118-Y117)</f>
        <v/>
      </c>
      <c r="Z252" s="21">
        <f>100*(Z118-Z117)</f>
        <v/>
      </c>
      <c r="AA252" s="21">
        <f>100*(AA118-AA117)</f>
        <v/>
      </c>
      <c r="AB252" s="21">
        <f>100*(AB118-AB117)</f>
        <v/>
      </c>
      <c r="AC252" s="21">
        <f>100*(AC118-AC117)</f>
        <v/>
      </c>
      <c r="AD252" s="21">
        <f>100*(AD118-AD117)</f>
        <v/>
      </c>
      <c r="AE252" s="21">
        <f>100*(AE118-AE117)</f>
        <v/>
      </c>
      <c r="AF252" s="21">
        <f>100*(AF118-AF117)</f>
        <v/>
      </c>
      <c r="AG252" s="21">
        <f>100*(AG118-AG117)</f>
        <v/>
      </c>
      <c r="AH252" s="21">
        <f>100*(AH118-AH117)</f>
        <v/>
      </c>
      <c r="AI252" s="21">
        <f>100*(AI118-AI117)</f>
        <v/>
      </c>
      <c r="AJ252" s="21">
        <f>100*(AJ118-AJ117)</f>
        <v/>
      </c>
      <c r="AK252" s="21">
        <f>100*(AK118-AK117)</f>
        <v/>
      </c>
      <c r="AL252" s="21">
        <f>100*(AL118-AL117)</f>
        <v/>
      </c>
      <c r="AM252" s="21">
        <f>100*(AM118-AM117)</f>
        <v/>
      </c>
      <c r="AN252" s="21">
        <f>100*(AN118-AN117)</f>
        <v/>
      </c>
      <c r="AO252" s="21">
        <f>100*(AO118-AO117)</f>
        <v/>
      </c>
      <c r="AP252" s="21">
        <f>100*(AP118-AP117)</f>
        <v/>
      </c>
      <c r="AQ252" s="21">
        <f>100*(AQ118-AQ117)</f>
        <v/>
      </c>
      <c r="AR252" s="21">
        <f>100*(AR118-AR117)</f>
        <v/>
      </c>
      <c r="AS252" s="21">
        <f>100*(AS118-AS117)</f>
        <v/>
      </c>
      <c r="AT252" s="21">
        <f>100*(AT118-AT117)</f>
        <v/>
      </c>
      <c r="AU252" s="21">
        <f>100*(AU118-AU117)</f>
        <v/>
      </c>
      <c r="AV252" s="21">
        <f>100*(AV118-AV117)</f>
        <v/>
      </c>
      <c r="AW252" s="21">
        <f>100*(AW118-AW117)</f>
        <v/>
      </c>
      <c r="AX252" s="21">
        <f>100*(AX118-AX117)</f>
        <v/>
      </c>
      <c r="AY252" s="21">
        <f>100*(AY118-AY117)</f>
        <v/>
      </c>
      <c r="AZ252" s="21">
        <f>100*(AZ118-AZ117)</f>
        <v/>
      </c>
      <c r="BA252" s="21">
        <f>100*(BA118-BA117)</f>
        <v/>
      </c>
      <c r="BB252" s="21">
        <f>100*(BB118-BB117)</f>
        <v/>
      </c>
      <c r="BC252" s="21">
        <f>100*(BC118-BC117)</f>
        <v/>
      </c>
      <c r="BD252" s="21">
        <f>100*(BD118-BD117)</f>
        <v/>
      </c>
      <c r="BE252" s="21">
        <f>100*(BE118-BE117)</f>
        <v/>
      </c>
      <c r="BF252" s="21">
        <f>100*(BF118-BF117)</f>
        <v/>
      </c>
      <c r="BG252" s="21">
        <f>100*(BG118-BG117)</f>
        <v/>
      </c>
      <c r="BH252" s="21">
        <f>AVERAGE(C252:BG252)</f>
        <v/>
      </c>
    </row>
    <row r="253">
      <c r="A253" s="19">
        <f>A119</f>
        <v/>
      </c>
      <c r="B253" s="20">
        <f>B119</f>
        <v/>
      </c>
      <c r="C253" s="21">
        <f>100*(C119-C118)</f>
        <v/>
      </c>
      <c r="D253" s="21">
        <f>100*(D119-D118)</f>
        <v/>
      </c>
      <c r="E253" s="21">
        <f>100*(E119-E118)</f>
        <v/>
      </c>
      <c r="F253" s="21">
        <f>100*(F119-F118)</f>
        <v/>
      </c>
      <c r="G253" s="21">
        <f>100*(G119-G118)</f>
        <v/>
      </c>
      <c r="H253" s="21">
        <f>100*(H119-H118)</f>
        <v/>
      </c>
      <c r="I253" s="21">
        <f>100*(I119-I118)</f>
        <v/>
      </c>
      <c r="J253" s="21">
        <f>100*(J119-J118)</f>
        <v/>
      </c>
      <c r="K253" s="21">
        <f>100*(K119-K118)</f>
        <v/>
      </c>
      <c r="L253" s="21">
        <f>100*(L119-L118)</f>
        <v/>
      </c>
      <c r="M253" s="21">
        <f>100*(M119-M118)</f>
        <v/>
      </c>
      <c r="N253" s="21">
        <f>100*(N119-N118)</f>
        <v/>
      </c>
      <c r="O253" s="21">
        <f>100*(O119-O118)</f>
        <v/>
      </c>
      <c r="P253" s="21">
        <f>100*(P119-P118)</f>
        <v/>
      </c>
      <c r="Q253" s="21">
        <f>100*(Q119-Q118)</f>
        <v/>
      </c>
      <c r="R253" s="21">
        <f>100*(R119-R118)</f>
        <v/>
      </c>
      <c r="S253" s="21">
        <f>100*(S119-S118)</f>
        <v/>
      </c>
      <c r="T253" s="21">
        <f>100*(T119-T118)</f>
        <v/>
      </c>
      <c r="U253" s="21">
        <f>100*(U119-U118)</f>
        <v/>
      </c>
      <c r="V253" s="21">
        <f>100*(V119-V118)</f>
        <v/>
      </c>
      <c r="W253" s="21">
        <f>100*(W119-W118)</f>
        <v/>
      </c>
      <c r="X253" s="21">
        <f>100*(X119-X118)</f>
        <v/>
      </c>
      <c r="Y253" s="21">
        <f>100*(Y119-Y118)</f>
        <v/>
      </c>
      <c r="Z253" s="21">
        <f>100*(Z119-Z118)</f>
        <v/>
      </c>
      <c r="AA253" s="21">
        <f>100*(AA119-AA118)</f>
        <v/>
      </c>
      <c r="AB253" s="21">
        <f>100*(AB119-AB118)</f>
        <v/>
      </c>
      <c r="AC253" s="21">
        <f>100*(AC119-AC118)</f>
        <v/>
      </c>
      <c r="AD253" s="21">
        <f>100*(AD119-AD118)</f>
        <v/>
      </c>
      <c r="AE253" s="21">
        <f>100*(AE119-AE118)</f>
        <v/>
      </c>
      <c r="AF253" s="21">
        <f>100*(AF119-AF118)</f>
        <v/>
      </c>
      <c r="AG253" s="21">
        <f>100*(AG119-AG118)</f>
        <v/>
      </c>
      <c r="AH253" s="21">
        <f>100*(AH119-AH118)</f>
        <v/>
      </c>
      <c r="AI253" s="21">
        <f>100*(AI119-AI118)</f>
        <v/>
      </c>
      <c r="AJ253" s="21">
        <f>100*(AJ119-AJ118)</f>
        <v/>
      </c>
      <c r="AK253" s="21">
        <f>100*(AK119-AK118)</f>
        <v/>
      </c>
      <c r="AL253" s="21">
        <f>100*(AL119-AL118)</f>
        <v/>
      </c>
      <c r="AM253" s="21">
        <f>100*(AM119-AM118)</f>
        <v/>
      </c>
      <c r="AN253" s="21">
        <f>100*(AN119-AN118)</f>
        <v/>
      </c>
      <c r="AO253" s="21">
        <f>100*(AO119-AO118)</f>
        <v/>
      </c>
      <c r="AP253" s="21">
        <f>100*(AP119-AP118)</f>
        <v/>
      </c>
      <c r="AQ253" s="21">
        <f>100*(AQ119-AQ118)</f>
        <v/>
      </c>
      <c r="AR253" s="21">
        <f>100*(AR119-AR118)</f>
        <v/>
      </c>
      <c r="AS253" s="21">
        <f>100*(AS119-AS118)</f>
        <v/>
      </c>
      <c r="AT253" s="21">
        <f>100*(AT119-AT118)</f>
        <v/>
      </c>
      <c r="AU253" s="21">
        <f>100*(AU119-AU118)</f>
        <v/>
      </c>
      <c r="AV253" s="21">
        <f>100*(AV119-AV118)</f>
        <v/>
      </c>
      <c r="AW253" s="21">
        <f>100*(AW119-AW118)</f>
        <v/>
      </c>
      <c r="AX253" s="21">
        <f>100*(AX119-AX118)</f>
        <v/>
      </c>
      <c r="AY253" s="21">
        <f>100*(AY119-AY118)</f>
        <v/>
      </c>
      <c r="AZ253" s="21">
        <f>100*(AZ119-AZ118)</f>
        <v/>
      </c>
      <c r="BA253" s="21">
        <f>100*(BA119-BA118)</f>
        <v/>
      </c>
      <c r="BB253" s="21">
        <f>100*(BB119-BB118)</f>
        <v/>
      </c>
      <c r="BC253" s="21">
        <f>100*(BC119-BC118)</f>
        <v/>
      </c>
      <c r="BD253" s="21">
        <f>100*(BD119-BD118)</f>
        <v/>
      </c>
      <c r="BE253" s="21">
        <f>100*(BE119-BE118)</f>
        <v/>
      </c>
      <c r="BF253" s="21">
        <f>100*(BF119-BF118)</f>
        <v/>
      </c>
      <c r="BG253" s="21">
        <f>100*(BG119-BG118)</f>
        <v/>
      </c>
      <c r="BH253" s="21">
        <f>AVERAGE(C253:BG253)</f>
        <v/>
      </c>
    </row>
    <row r="254">
      <c r="A254" s="19">
        <f>A120</f>
        <v/>
      </c>
      <c r="B254" s="20">
        <f>B120</f>
        <v/>
      </c>
      <c r="C254" s="21">
        <f>100*(C120-C119)</f>
        <v/>
      </c>
      <c r="D254" s="21">
        <f>100*(D120-D119)</f>
        <v/>
      </c>
      <c r="E254" s="21">
        <f>100*(E120-E119)</f>
        <v/>
      </c>
      <c r="F254" s="21">
        <f>100*(F120-F119)</f>
        <v/>
      </c>
      <c r="G254" s="21">
        <f>100*(G120-G119)</f>
        <v/>
      </c>
      <c r="H254" s="21">
        <f>100*(H120-H119)</f>
        <v/>
      </c>
      <c r="I254" s="21">
        <f>100*(I120-I119)</f>
        <v/>
      </c>
      <c r="J254" s="21">
        <f>100*(J120-J119)</f>
        <v/>
      </c>
      <c r="K254" s="21">
        <f>100*(K120-K119)</f>
        <v/>
      </c>
      <c r="L254" s="21">
        <f>100*(L120-L119)</f>
        <v/>
      </c>
      <c r="M254" s="21">
        <f>100*(M120-M119)</f>
        <v/>
      </c>
      <c r="N254" s="21">
        <f>100*(N120-N119)</f>
        <v/>
      </c>
      <c r="O254" s="21">
        <f>100*(O120-O119)</f>
        <v/>
      </c>
      <c r="P254" s="21">
        <f>100*(P120-P119)</f>
        <v/>
      </c>
      <c r="Q254" s="21">
        <f>100*(Q120-Q119)</f>
        <v/>
      </c>
      <c r="R254" s="21">
        <f>100*(R120-R119)</f>
        <v/>
      </c>
      <c r="S254" s="21">
        <f>100*(S120-S119)</f>
        <v/>
      </c>
      <c r="T254" s="21">
        <f>100*(T120-T119)</f>
        <v/>
      </c>
      <c r="U254" s="21">
        <f>100*(U120-U119)</f>
        <v/>
      </c>
      <c r="V254" s="21">
        <f>100*(V120-V119)</f>
        <v/>
      </c>
      <c r="W254" s="21">
        <f>100*(W120-W119)</f>
        <v/>
      </c>
      <c r="X254" s="21">
        <f>100*(X120-X119)</f>
        <v/>
      </c>
      <c r="Y254" s="21">
        <f>100*(Y120-Y119)</f>
        <v/>
      </c>
      <c r="Z254" s="21">
        <f>100*(Z120-Z119)</f>
        <v/>
      </c>
      <c r="AA254" s="21">
        <f>100*(AA120-AA119)</f>
        <v/>
      </c>
      <c r="AB254" s="21">
        <f>100*(AB120-AB119)</f>
        <v/>
      </c>
      <c r="AC254" s="21">
        <f>100*(AC120-AC119)</f>
        <v/>
      </c>
      <c r="AD254" s="21">
        <f>100*(AD120-AD119)</f>
        <v/>
      </c>
      <c r="AE254" s="21">
        <f>100*(AE120-AE119)</f>
        <v/>
      </c>
      <c r="AF254" s="21">
        <f>100*(AF120-AF119)</f>
        <v/>
      </c>
      <c r="AG254" s="21">
        <f>100*(AG120-AG119)</f>
        <v/>
      </c>
      <c r="AH254" s="21">
        <f>100*(AH120-AH119)</f>
        <v/>
      </c>
      <c r="AI254" s="21">
        <f>100*(AI120-AI119)</f>
        <v/>
      </c>
      <c r="AJ254" s="21">
        <f>100*(AJ120-AJ119)</f>
        <v/>
      </c>
      <c r="AK254" s="21">
        <f>100*(AK120-AK119)</f>
        <v/>
      </c>
      <c r="AL254" s="21">
        <f>100*(AL120-AL119)</f>
        <v/>
      </c>
      <c r="AM254" s="21">
        <f>100*(AM120-AM119)</f>
        <v/>
      </c>
      <c r="AN254" s="21">
        <f>100*(AN120-AN119)</f>
        <v/>
      </c>
      <c r="AO254" s="21">
        <f>100*(AO120-AO119)</f>
        <v/>
      </c>
      <c r="AP254" s="21">
        <f>100*(AP120-AP119)</f>
        <v/>
      </c>
      <c r="AQ254" s="21">
        <f>100*(AQ120-AQ119)</f>
        <v/>
      </c>
      <c r="AR254" s="21">
        <f>100*(AR120-AR119)</f>
        <v/>
      </c>
      <c r="AS254" s="21">
        <f>100*(AS120-AS119)</f>
        <v/>
      </c>
      <c r="AT254" s="21">
        <f>100*(AT120-AT119)</f>
        <v/>
      </c>
      <c r="AU254" s="21">
        <f>100*(AU120-AU119)</f>
        <v/>
      </c>
      <c r="AV254" s="21">
        <f>100*(AV120-AV119)</f>
        <v/>
      </c>
      <c r="AW254" s="21">
        <f>100*(AW120-AW119)</f>
        <v/>
      </c>
      <c r="AX254" s="21">
        <f>100*(AX120-AX119)</f>
        <v/>
      </c>
      <c r="AY254" s="21">
        <f>100*(AY120-AY119)</f>
        <v/>
      </c>
      <c r="AZ254" s="21">
        <f>100*(AZ120-AZ119)</f>
        <v/>
      </c>
      <c r="BA254" s="21">
        <f>100*(BA120-BA119)</f>
        <v/>
      </c>
      <c r="BB254" s="21">
        <f>100*(BB120-BB119)</f>
        <v/>
      </c>
      <c r="BC254" s="21">
        <f>100*(BC120-BC119)</f>
        <v/>
      </c>
      <c r="BD254" s="21">
        <f>100*(BD120-BD119)</f>
        <v/>
      </c>
      <c r="BE254" s="21">
        <f>100*(BE120-BE119)</f>
        <v/>
      </c>
      <c r="BF254" s="21">
        <f>100*(BF120-BF119)</f>
        <v/>
      </c>
      <c r="BG254" s="21">
        <f>100*(BG120-BG119)</f>
        <v/>
      </c>
      <c r="BH254" s="21">
        <f>AVERAGE(C254:BG254)</f>
        <v/>
      </c>
    </row>
    <row r="255">
      <c r="A255" s="19">
        <f>A121</f>
        <v/>
      </c>
      <c r="B255" s="20">
        <f>B121</f>
        <v/>
      </c>
      <c r="C255" s="21">
        <f>100*(C121-C120)</f>
        <v/>
      </c>
      <c r="D255" s="21">
        <f>100*(D121-D120)</f>
        <v/>
      </c>
      <c r="E255" s="21">
        <f>100*(E121-E120)</f>
        <v/>
      </c>
      <c r="F255" s="21">
        <f>100*(F121-F120)</f>
        <v/>
      </c>
      <c r="G255" s="21">
        <f>100*(G121-G120)</f>
        <v/>
      </c>
      <c r="H255" s="21">
        <f>100*(H121-H120)</f>
        <v/>
      </c>
      <c r="I255" s="21">
        <f>100*(I121-I120)</f>
        <v/>
      </c>
      <c r="J255" s="21">
        <f>100*(J121-J120)</f>
        <v/>
      </c>
      <c r="K255" s="21">
        <f>100*(K121-K120)</f>
        <v/>
      </c>
      <c r="L255" s="21">
        <f>100*(L121-L120)</f>
        <v/>
      </c>
      <c r="M255" s="21">
        <f>100*(M121-M120)</f>
        <v/>
      </c>
      <c r="N255" s="21">
        <f>100*(N121-N120)</f>
        <v/>
      </c>
      <c r="O255" s="21">
        <f>100*(O121-O120)</f>
        <v/>
      </c>
      <c r="P255" s="21">
        <f>100*(P121-P120)</f>
        <v/>
      </c>
      <c r="Q255" s="21">
        <f>100*(Q121-Q120)</f>
        <v/>
      </c>
      <c r="R255" s="21">
        <f>100*(R121-R120)</f>
        <v/>
      </c>
      <c r="S255" s="21">
        <f>100*(S121-S120)</f>
        <v/>
      </c>
      <c r="T255" s="21">
        <f>100*(T121-T120)</f>
        <v/>
      </c>
      <c r="U255" s="21">
        <f>100*(U121-U120)</f>
        <v/>
      </c>
      <c r="V255" s="21">
        <f>100*(V121-V120)</f>
        <v/>
      </c>
      <c r="W255" s="21">
        <f>100*(W121-W120)</f>
        <v/>
      </c>
      <c r="X255" s="21">
        <f>100*(X121-X120)</f>
        <v/>
      </c>
      <c r="Y255" s="21">
        <f>100*(Y121-Y120)</f>
        <v/>
      </c>
      <c r="Z255" s="21">
        <f>100*(Z121-Z120)</f>
        <v/>
      </c>
      <c r="AA255" s="21">
        <f>100*(AA121-AA120)</f>
        <v/>
      </c>
      <c r="AB255" s="21">
        <f>100*(AB121-AB120)</f>
        <v/>
      </c>
      <c r="AC255" s="21">
        <f>100*(AC121-AC120)</f>
        <v/>
      </c>
      <c r="AD255" s="21">
        <f>100*(AD121-AD120)</f>
        <v/>
      </c>
      <c r="AE255" s="21">
        <f>100*(AE121-AE120)</f>
        <v/>
      </c>
      <c r="AF255" s="21">
        <f>100*(AF121-AF120)</f>
        <v/>
      </c>
      <c r="AG255" s="21">
        <f>100*(AG121-AG120)</f>
        <v/>
      </c>
      <c r="AH255" s="21">
        <f>100*(AH121-AH120)</f>
        <v/>
      </c>
      <c r="AI255" s="21">
        <f>100*(AI121-AI120)</f>
        <v/>
      </c>
      <c r="AJ255" s="21">
        <f>100*(AJ121-AJ120)</f>
        <v/>
      </c>
      <c r="AK255" s="21">
        <f>100*(AK121-AK120)</f>
        <v/>
      </c>
      <c r="AL255" s="21">
        <f>100*(AL121-AL120)</f>
        <v/>
      </c>
      <c r="AM255" s="21">
        <f>100*(AM121-AM120)</f>
        <v/>
      </c>
      <c r="AN255" s="21">
        <f>100*(AN121-AN120)</f>
        <v/>
      </c>
      <c r="AO255" s="21">
        <f>100*(AO121-AO120)</f>
        <v/>
      </c>
      <c r="AP255" s="21">
        <f>100*(AP121-AP120)</f>
        <v/>
      </c>
      <c r="AQ255" s="21">
        <f>100*(AQ121-AQ120)</f>
        <v/>
      </c>
      <c r="AR255" s="21">
        <f>100*(AR121-AR120)</f>
        <v/>
      </c>
      <c r="AS255" s="21">
        <f>100*(AS121-AS120)</f>
        <v/>
      </c>
      <c r="AT255" s="21">
        <f>100*(AT121-AT120)</f>
        <v/>
      </c>
      <c r="AU255" s="21">
        <f>100*(AU121-AU120)</f>
        <v/>
      </c>
      <c r="AV255" s="21">
        <f>100*(AV121-AV120)</f>
        <v/>
      </c>
      <c r="AW255" s="21">
        <f>100*(AW121-AW120)</f>
        <v/>
      </c>
      <c r="AX255" s="21">
        <f>100*(AX121-AX120)</f>
        <v/>
      </c>
      <c r="AY255" s="21">
        <f>100*(AY121-AY120)</f>
        <v/>
      </c>
      <c r="AZ255" s="21">
        <f>100*(AZ121-AZ120)</f>
        <v/>
      </c>
      <c r="BA255" s="21">
        <f>100*(BA121-BA120)</f>
        <v/>
      </c>
      <c r="BB255" s="21">
        <f>100*(BB121-BB120)</f>
        <v/>
      </c>
      <c r="BC255" s="21">
        <f>100*(BC121-BC120)</f>
        <v/>
      </c>
      <c r="BD255" s="21">
        <f>100*(BD121-BD120)</f>
        <v/>
      </c>
      <c r="BE255" s="21">
        <f>100*(BE121-BE120)</f>
        <v/>
      </c>
      <c r="BF255" s="21">
        <f>100*(BF121-BF120)</f>
        <v/>
      </c>
      <c r="BG255" s="21">
        <f>100*(BG121-BG120)</f>
        <v/>
      </c>
      <c r="BH255" s="21">
        <f>AVERAGE(C255:BG255)</f>
        <v/>
      </c>
    </row>
    <row r="256">
      <c r="A256" s="19">
        <f>A122</f>
        <v/>
      </c>
      <c r="B256" s="20">
        <f>B122</f>
        <v/>
      </c>
      <c r="C256" s="21">
        <f>100*(C122-C121)</f>
        <v/>
      </c>
      <c r="D256" s="21">
        <f>100*(D122-D121)</f>
        <v/>
      </c>
      <c r="E256" s="21">
        <f>100*(E122-E121)</f>
        <v/>
      </c>
      <c r="F256" s="21">
        <f>100*(F122-F121)</f>
        <v/>
      </c>
      <c r="G256" s="21">
        <f>100*(G122-G121)</f>
        <v/>
      </c>
      <c r="H256" s="21">
        <f>100*(H122-H121)</f>
        <v/>
      </c>
      <c r="I256" s="21">
        <f>100*(I122-I121)</f>
        <v/>
      </c>
      <c r="J256" s="21">
        <f>100*(J122-J121)</f>
        <v/>
      </c>
      <c r="K256" s="21">
        <f>100*(K122-K121)</f>
        <v/>
      </c>
      <c r="L256" s="21">
        <f>100*(L122-L121)</f>
        <v/>
      </c>
      <c r="M256" s="21">
        <f>100*(M122-M121)</f>
        <v/>
      </c>
      <c r="N256" s="21">
        <f>100*(N122-N121)</f>
        <v/>
      </c>
      <c r="O256" s="21">
        <f>100*(O122-O121)</f>
        <v/>
      </c>
      <c r="P256" s="21">
        <f>100*(P122-P121)</f>
        <v/>
      </c>
      <c r="Q256" s="21">
        <f>100*(Q122-Q121)</f>
        <v/>
      </c>
      <c r="R256" s="21">
        <f>100*(R122-R121)</f>
        <v/>
      </c>
      <c r="S256" s="21">
        <f>100*(S122-S121)</f>
        <v/>
      </c>
      <c r="T256" s="21">
        <f>100*(T122-T121)</f>
        <v/>
      </c>
      <c r="U256" s="21">
        <f>100*(U122-U121)</f>
        <v/>
      </c>
      <c r="V256" s="21">
        <f>100*(V122-V121)</f>
        <v/>
      </c>
      <c r="W256" s="21">
        <f>100*(W122-W121)</f>
        <v/>
      </c>
      <c r="X256" s="21">
        <f>100*(X122-X121)</f>
        <v/>
      </c>
      <c r="Y256" s="21">
        <f>100*(Y122-Y121)</f>
        <v/>
      </c>
      <c r="Z256" s="21">
        <f>100*(Z122-Z121)</f>
        <v/>
      </c>
      <c r="AA256" s="21">
        <f>100*(AA122-AA121)</f>
        <v/>
      </c>
      <c r="AB256" s="21">
        <f>100*(AB122-AB121)</f>
        <v/>
      </c>
      <c r="AC256" s="21">
        <f>100*(AC122-AC121)</f>
        <v/>
      </c>
      <c r="AD256" s="21">
        <f>100*(AD122-AD121)</f>
        <v/>
      </c>
      <c r="AE256" s="21">
        <f>100*(AE122-AE121)</f>
        <v/>
      </c>
      <c r="AF256" s="21">
        <f>100*(AF122-AF121)</f>
        <v/>
      </c>
      <c r="AG256" s="21">
        <f>100*(AG122-AG121)</f>
        <v/>
      </c>
      <c r="AH256" s="21">
        <f>100*(AH122-AH121)</f>
        <v/>
      </c>
      <c r="AI256" s="21">
        <f>100*(AI122-AI121)</f>
        <v/>
      </c>
      <c r="AJ256" s="21">
        <f>100*(AJ122-AJ121)</f>
        <v/>
      </c>
      <c r="AK256" s="21">
        <f>100*(AK122-AK121)</f>
        <v/>
      </c>
      <c r="AL256" s="21">
        <f>100*(AL122-AL121)</f>
        <v/>
      </c>
      <c r="AM256" s="21">
        <f>100*(AM122-AM121)</f>
        <v/>
      </c>
      <c r="AN256" s="21">
        <f>100*(AN122-AN121)</f>
        <v/>
      </c>
      <c r="AO256" s="21">
        <f>100*(AO122-AO121)</f>
        <v/>
      </c>
      <c r="AP256" s="21">
        <f>100*(AP122-AP121)</f>
        <v/>
      </c>
      <c r="AQ256" s="21">
        <f>100*(AQ122-AQ121)</f>
        <v/>
      </c>
      <c r="AR256" s="21">
        <f>100*(AR122-AR121)</f>
        <v/>
      </c>
      <c r="AS256" s="21">
        <f>100*(AS122-AS121)</f>
        <v/>
      </c>
      <c r="AT256" s="21">
        <f>100*(AT122-AT121)</f>
        <v/>
      </c>
      <c r="AU256" s="21">
        <f>100*(AU122-AU121)</f>
        <v/>
      </c>
      <c r="AV256" s="21">
        <f>100*(AV122-AV121)</f>
        <v/>
      </c>
      <c r="AW256" s="21">
        <f>100*(AW122-AW121)</f>
        <v/>
      </c>
      <c r="AX256" s="21">
        <f>100*(AX122-AX121)</f>
        <v/>
      </c>
      <c r="AY256" s="21">
        <f>100*(AY122-AY121)</f>
        <v/>
      </c>
      <c r="AZ256" s="21">
        <f>100*(AZ122-AZ121)</f>
        <v/>
      </c>
      <c r="BA256" s="21">
        <f>100*(BA122-BA121)</f>
        <v/>
      </c>
      <c r="BB256" s="21">
        <f>100*(BB122-BB121)</f>
        <v/>
      </c>
      <c r="BC256" s="21">
        <f>100*(BC122-BC121)</f>
        <v/>
      </c>
      <c r="BD256" s="21">
        <f>100*(BD122-BD121)</f>
        <v/>
      </c>
      <c r="BE256" s="21">
        <f>100*(BE122-BE121)</f>
        <v/>
      </c>
      <c r="BF256" s="21">
        <f>100*(BF122-BF121)</f>
        <v/>
      </c>
      <c r="BG256" s="21">
        <f>100*(BG122-BG121)</f>
        <v/>
      </c>
      <c r="BH256" s="21">
        <f>AVERAGE(C256:BG256)</f>
        <v/>
      </c>
    </row>
    <row r="257">
      <c r="A257" s="19">
        <f>A123</f>
        <v/>
      </c>
      <c r="B257" s="20">
        <f>B123</f>
        <v/>
      </c>
      <c r="C257" s="21">
        <f>100*(C123-C122)</f>
        <v/>
      </c>
      <c r="D257" s="21">
        <f>100*(D123-D122)</f>
        <v/>
      </c>
      <c r="E257" s="21">
        <f>100*(E123-E122)</f>
        <v/>
      </c>
      <c r="F257" s="21">
        <f>100*(F123-F122)</f>
        <v/>
      </c>
      <c r="G257" s="21">
        <f>100*(G123-G122)</f>
        <v/>
      </c>
      <c r="H257" s="21">
        <f>100*(H123-H122)</f>
        <v/>
      </c>
      <c r="I257" s="21">
        <f>100*(I123-I122)</f>
        <v/>
      </c>
      <c r="J257" s="21">
        <f>100*(J123-J122)</f>
        <v/>
      </c>
      <c r="K257" s="21">
        <f>100*(K123-K122)</f>
        <v/>
      </c>
      <c r="L257" s="21">
        <f>100*(L123-L122)</f>
        <v/>
      </c>
      <c r="M257" s="21">
        <f>100*(M123-M122)</f>
        <v/>
      </c>
      <c r="N257" s="21">
        <f>100*(N123-N122)</f>
        <v/>
      </c>
      <c r="O257" s="21">
        <f>100*(O123-O122)</f>
        <v/>
      </c>
      <c r="P257" s="21">
        <f>100*(P123-P122)</f>
        <v/>
      </c>
      <c r="Q257" s="21">
        <f>100*(Q123-Q122)</f>
        <v/>
      </c>
      <c r="R257" s="21">
        <f>100*(R123-R122)</f>
        <v/>
      </c>
      <c r="S257" s="21">
        <f>100*(S123-S122)</f>
        <v/>
      </c>
      <c r="T257" s="21">
        <f>100*(T123-T122)</f>
        <v/>
      </c>
      <c r="U257" s="21">
        <f>100*(U123-U122)</f>
        <v/>
      </c>
      <c r="V257" s="21">
        <f>100*(V123-V122)</f>
        <v/>
      </c>
      <c r="W257" s="21">
        <f>100*(W123-W122)</f>
        <v/>
      </c>
      <c r="X257" s="21">
        <f>100*(X123-X122)</f>
        <v/>
      </c>
      <c r="Y257" s="21">
        <f>100*(Y123-Y122)</f>
        <v/>
      </c>
      <c r="Z257" s="21">
        <f>100*(Z123-Z122)</f>
        <v/>
      </c>
      <c r="AA257" s="21">
        <f>100*(AA123-AA122)</f>
        <v/>
      </c>
      <c r="AB257" s="21">
        <f>100*(AB123-AB122)</f>
        <v/>
      </c>
      <c r="AC257" s="21">
        <f>100*(AC123-AC122)</f>
        <v/>
      </c>
      <c r="AD257" s="21">
        <f>100*(AD123-AD122)</f>
        <v/>
      </c>
      <c r="AE257" s="21">
        <f>100*(AE123-AE122)</f>
        <v/>
      </c>
      <c r="AF257" s="21">
        <f>100*(AF123-AF122)</f>
        <v/>
      </c>
      <c r="AG257" s="21">
        <f>100*(AG123-AG122)</f>
        <v/>
      </c>
      <c r="AH257" s="21">
        <f>100*(AH123-AH122)</f>
        <v/>
      </c>
      <c r="AI257" s="21">
        <f>100*(AI123-AI122)</f>
        <v/>
      </c>
      <c r="AJ257" s="21">
        <f>100*(AJ123-AJ122)</f>
        <v/>
      </c>
      <c r="AK257" s="21">
        <f>100*(AK123-AK122)</f>
        <v/>
      </c>
      <c r="AL257" s="21">
        <f>100*(AL123-AL122)</f>
        <v/>
      </c>
      <c r="AM257" s="21">
        <f>100*(AM123-AM122)</f>
        <v/>
      </c>
      <c r="AN257" s="21">
        <f>100*(AN123-AN122)</f>
        <v/>
      </c>
      <c r="AO257" s="21">
        <f>100*(AO123-AO122)</f>
        <v/>
      </c>
      <c r="AP257" s="21">
        <f>100*(AP123-AP122)</f>
        <v/>
      </c>
      <c r="AQ257" s="21">
        <f>100*(AQ123-AQ122)</f>
        <v/>
      </c>
      <c r="AR257" s="21">
        <f>100*(AR123-AR122)</f>
        <v/>
      </c>
      <c r="AS257" s="21">
        <f>100*(AS123-AS122)</f>
        <v/>
      </c>
      <c r="AT257" s="21">
        <f>100*(AT123-AT122)</f>
        <v/>
      </c>
      <c r="AU257" s="21">
        <f>100*(AU123-AU122)</f>
        <v/>
      </c>
      <c r="AV257" s="21">
        <f>100*(AV123-AV122)</f>
        <v/>
      </c>
      <c r="AW257" s="21">
        <f>100*(AW123-AW122)</f>
        <v/>
      </c>
      <c r="AX257" s="21">
        <f>100*(AX123-AX122)</f>
        <v/>
      </c>
      <c r="AY257" s="21">
        <f>100*(AY123-AY122)</f>
        <v/>
      </c>
      <c r="AZ257" s="21">
        <f>100*(AZ123-AZ122)</f>
        <v/>
      </c>
      <c r="BA257" s="21">
        <f>100*(BA123-BA122)</f>
        <v/>
      </c>
      <c r="BB257" s="21">
        <f>100*(BB123-BB122)</f>
        <v/>
      </c>
      <c r="BC257" s="21">
        <f>100*(BC123-BC122)</f>
        <v/>
      </c>
      <c r="BD257" s="21">
        <f>100*(BD123-BD122)</f>
        <v/>
      </c>
      <c r="BE257" s="21">
        <f>100*(BE123-BE122)</f>
        <v/>
      </c>
      <c r="BF257" s="21">
        <f>100*(BF123-BF122)</f>
        <v/>
      </c>
      <c r="BG257" s="21">
        <f>100*(BG123-BG122)</f>
        <v/>
      </c>
      <c r="BH257" s="21">
        <f>AVERAGE(C257:BG257)</f>
        <v/>
      </c>
    </row>
    <row r="258">
      <c r="A258" s="19">
        <f>A124</f>
        <v/>
      </c>
      <c r="B258" s="20">
        <f>B124</f>
        <v/>
      </c>
      <c r="C258" s="21">
        <f>100*(C124-C123)</f>
        <v/>
      </c>
      <c r="D258" s="21">
        <f>100*(D124-D123)</f>
        <v/>
      </c>
      <c r="E258" s="21">
        <f>100*(E124-E123)</f>
        <v/>
      </c>
      <c r="F258" s="21">
        <f>100*(F124-F123)</f>
        <v/>
      </c>
      <c r="G258" s="21">
        <f>100*(G124-G123)</f>
        <v/>
      </c>
      <c r="H258" s="21">
        <f>100*(H124-H123)</f>
        <v/>
      </c>
      <c r="I258" s="21">
        <f>100*(I124-I123)</f>
        <v/>
      </c>
      <c r="J258" s="21">
        <f>100*(J124-J123)</f>
        <v/>
      </c>
      <c r="K258" s="21">
        <f>100*(K124-K123)</f>
        <v/>
      </c>
      <c r="L258" s="21">
        <f>100*(L124-L123)</f>
        <v/>
      </c>
      <c r="M258" s="21">
        <f>100*(M124-M123)</f>
        <v/>
      </c>
      <c r="N258" s="21">
        <f>100*(N124-N123)</f>
        <v/>
      </c>
      <c r="O258" s="21">
        <f>100*(O124-O123)</f>
        <v/>
      </c>
      <c r="P258" s="21">
        <f>100*(P124-P123)</f>
        <v/>
      </c>
      <c r="Q258" s="21">
        <f>100*(Q124-Q123)</f>
        <v/>
      </c>
      <c r="R258" s="21">
        <f>100*(R124-R123)</f>
        <v/>
      </c>
      <c r="S258" s="21">
        <f>100*(S124-S123)</f>
        <v/>
      </c>
      <c r="T258" s="21">
        <f>100*(T124-T123)</f>
        <v/>
      </c>
      <c r="U258" s="21">
        <f>100*(U124-U123)</f>
        <v/>
      </c>
      <c r="V258" s="21">
        <f>100*(V124-V123)</f>
        <v/>
      </c>
      <c r="W258" s="21">
        <f>100*(W124-W123)</f>
        <v/>
      </c>
      <c r="X258" s="21">
        <f>100*(X124-X123)</f>
        <v/>
      </c>
      <c r="Y258" s="21">
        <f>100*(Y124-Y123)</f>
        <v/>
      </c>
      <c r="Z258" s="21">
        <f>100*(Z124-Z123)</f>
        <v/>
      </c>
      <c r="AA258" s="21">
        <f>100*(AA124-AA123)</f>
        <v/>
      </c>
      <c r="AB258" s="21">
        <f>100*(AB124-AB123)</f>
        <v/>
      </c>
      <c r="AC258" s="21">
        <f>100*(AC124-AC123)</f>
        <v/>
      </c>
      <c r="AD258" s="21">
        <f>100*(AD124-AD123)</f>
        <v/>
      </c>
      <c r="AE258" s="21">
        <f>100*(AE124-AE123)</f>
        <v/>
      </c>
      <c r="AF258" s="21">
        <f>100*(AF124-AF123)</f>
        <v/>
      </c>
      <c r="AG258" s="21">
        <f>100*(AG124-AG123)</f>
        <v/>
      </c>
      <c r="AH258" s="21">
        <f>100*(AH124-AH123)</f>
        <v/>
      </c>
      <c r="AI258" s="21">
        <f>100*(AI124-AI123)</f>
        <v/>
      </c>
      <c r="AJ258" s="21">
        <f>100*(AJ124-AJ123)</f>
        <v/>
      </c>
      <c r="AK258" s="21">
        <f>100*(AK124-AK123)</f>
        <v/>
      </c>
      <c r="AL258" s="21">
        <f>100*(AL124-AL123)</f>
        <v/>
      </c>
      <c r="AM258" s="21">
        <f>100*(AM124-AM123)</f>
        <v/>
      </c>
      <c r="AN258" s="21">
        <f>100*(AN124-AN123)</f>
        <v/>
      </c>
      <c r="AO258" s="21">
        <f>100*(AO124-AO123)</f>
        <v/>
      </c>
      <c r="AP258" s="21">
        <f>100*(AP124-AP123)</f>
        <v/>
      </c>
      <c r="AQ258" s="21">
        <f>100*(AQ124-AQ123)</f>
        <v/>
      </c>
      <c r="AR258" s="21">
        <f>100*(AR124-AR123)</f>
        <v/>
      </c>
      <c r="AS258" s="21">
        <f>100*(AS124-AS123)</f>
        <v/>
      </c>
      <c r="AT258" s="21">
        <f>100*(AT124-AT123)</f>
        <v/>
      </c>
      <c r="AU258" s="21">
        <f>100*(AU124-AU123)</f>
        <v/>
      </c>
      <c r="AV258" s="21">
        <f>100*(AV124-AV123)</f>
        <v/>
      </c>
      <c r="AW258" s="21">
        <f>100*(AW124-AW123)</f>
        <v/>
      </c>
      <c r="AX258" s="21">
        <f>100*(AX124-AX123)</f>
        <v/>
      </c>
      <c r="AY258" s="21">
        <f>100*(AY124-AY123)</f>
        <v/>
      </c>
      <c r="AZ258" s="21">
        <f>100*(AZ124-AZ123)</f>
        <v/>
      </c>
      <c r="BA258" s="21">
        <f>100*(BA124-BA123)</f>
        <v/>
      </c>
      <c r="BB258" s="21">
        <f>100*(BB124-BB123)</f>
        <v/>
      </c>
      <c r="BC258" s="21">
        <f>100*(BC124-BC123)</f>
        <v/>
      </c>
      <c r="BD258" s="21">
        <f>100*(BD124-BD123)</f>
        <v/>
      </c>
      <c r="BE258" s="21">
        <f>100*(BE124-BE123)</f>
        <v/>
      </c>
      <c r="BF258" s="21">
        <f>100*(BF124-BF123)</f>
        <v/>
      </c>
      <c r="BG258" s="21">
        <f>100*(BG124-BG123)</f>
        <v/>
      </c>
      <c r="BH258" s="21">
        <f>AVERAGE(C258:BG258)</f>
        <v/>
      </c>
    </row>
    <row r="259">
      <c r="A259" s="19">
        <f>A125</f>
        <v/>
      </c>
      <c r="B259" s="20">
        <f>B125</f>
        <v/>
      </c>
      <c r="C259" s="21">
        <f>100*(C125-C124)</f>
        <v/>
      </c>
      <c r="D259" s="21">
        <f>100*(D125-D124)</f>
        <v/>
      </c>
      <c r="E259" s="21">
        <f>100*(E125-E124)</f>
        <v/>
      </c>
      <c r="F259" s="21">
        <f>100*(F125-F124)</f>
        <v/>
      </c>
      <c r="G259" s="21">
        <f>100*(G125-G124)</f>
        <v/>
      </c>
      <c r="H259" s="21">
        <f>100*(H125-H124)</f>
        <v/>
      </c>
      <c r="I259" s="21">
        <f>100*(I125-I124)</f>
        <v/>
      </c>
      <c r="J259" s="21">
        <f>100*(J125-J124)</f>
        <v/>
      </c>
      <c r="K259" s="21">
        <f>100*(K125-K124)</f>
        <v/>
      </c>
      <c r="L259" s="21">
        <f>100*(L125-L124)</f>
        <v/>
      </c>
      <c r="M259" s="21">
        <f>100*(M125-M124)</f>
        <v/>
      </c>
      <c r="N259" s="21">
        <f>100*(N125-N124)</f>
        <v/>
      </c>
      <c r="O259" s="21">
        <f>100*(O125-O124)</f>
        <v/>
      </c>
      <c r="P259" s="21">
        <f>100*(P125-P124)</f>
        <v/>
      </c>
      <c r="Q259" s="21">
        <f>100*(Q125-Q124)</f>
        <v/>
      </c>
      <c r="R259" s="21">
        <f>100*(R125-R124)</f>
        <v/>
      </c>
      <c r="S259" s="21">
        <f>100*(S125-S124)</f>
        <v/>
      </c>
      <c r="T259" s="21">
        <f>100*(T125-T124)</f>
        <v/>
      </c>
      <c r="U259" s="21">
        <f>100*(U125-U124)</f>
        <v/>
      </c>
      <c r="V259" s="21">
        <f>100*(V125-V124)</f>
        <v/>
      </c>
      <c r="W259" s="21">
        <f>100*(W125-W124)</f>
        <v/>
      </c>
      <c r="X259" s="21">
        <f>100*(X125-X124)</f>
        <v/>
      </c>
      <c r="Y259" s="21">
        <f>100*(Y125-Y124)</f>
        <v/>
      </c>
      <c r="Z259" s="21">
        <f>100*(Z125-Z124)</f>
        <v/>
      </c>
      <c r="AA259" s="21">
        <f>100*(AA125-AA124)</f>
        <v/>
      </c>
      <c r="AB259" s="21">
        <f>100*(AB125-AB124)</f>
        <v/>
      </c>
      <c r="AC259" s="21">
        <f>100*(AC125-AC124)</f>
        <v/>
      </c>
      <c r="AD259" s="21">
        <f>100*(AD125-AD124)</f>
        <v/>
      </c>
      <c r="AE259" s="21">
        <f>100*(AE125-AE124)</f>
        <v/>
      </c>
      <c r="AF259" s="21">
        <f>100*(AF125-AF124)</f>
        <v/>
      </c>
      <c r="AG259" s="21">
        <f>100*(AG125-AG124)</f>
        <v/>
      </c>
      <c r="AH259" s="21">
        <f>100*(AH125-AH124)</f>
        <v/>
      </c>
      <c r="AI259" s="21">
        <f>100*(AI125-AI124)</f>
        <v/>
      </c>
      <c r="AJ259" s="21">
        <f>100*(AJ125-AJ124)</f>
        <v/>
      </c>
      <c r="AK259" s="21">
        <f>100*(AK125-AK124)</f>
        <v/>
      </c>
      <c r="AL259" s="21">
        <f>100*(AL125-AL124)</f>
        <v/>
      </c>
      <c r="AM259" s="21">
        <f>100*(AM125-AM124)</f>
        <v/>
      </c>
      <c r="AN259" s="21">
        <f>100*(AN125-AN124)</f>
        <v/>
      </c>
      <c r="AO259" s="21">
        <f>100*(AO125-AO124)</f>
        <v/>
      </c>
      <c r="AP259" s="21">
        <f>100*(AP125-AP124)</f>
        <v/>
      </c>
      <c r="AQ259" s="21">
        <f>100*(AQ125-AQ124)</f>
        <v/>
      </c>
      <c r="AR259" s="21">
        <f>100*(AR125-AR124)</f>
        <v/>
      </c>
      <c r="AS259" s="21">
        <f>100*(AS125-AS124)</f>
        <v/>
      </c>
      <c r="AT259" s="21">
        <f>100*(AT125-AT124)</f>
        <v/>
      </c>
      <c r="AU259" s="21">
        <f>100*(AU125-AU124)</f>
        <v/>
      </c>
      <c r="AV259" s="21">
        <f>100*(AV125-AV124)</f>
        <v/>
      </c>
      <c r="AW259" s="21">
        <f>100*(AW125-AW124)</f>
        <v/>
      </c>
      <c r="AX259" s="21">
        <f>100*(AX125-AX124)</f>
        <v/>
      </c>
      <c r="AY259" s="21">
        <f>100*(AY125-AY124)</f>
        <v/>
      </c>
      <c r="AZ259" s="21">
        <f>100*(AZ125-AZ124)</f>
        <v/>
      </c>
      <c r="BA259" s="21">
        <f>100*(BA125-BA124)</f>
        <v/>
      </c>
      <c r="BB259" s="21">
        <f>100*(BB125-BB124)</f>
        <v/>
      </c>
      <c r="BC259" s="21">
        <f>100*(BC125-BC124)</f>
        <v/>
      </c>
      <c r="BD259" s="21">
        <f>100*(BD125-BD124)</f>
        <v/>
      </c>
      <c r="BE259" s="21">
        <f>100*(BE125-BE124)</f>
        <v/>
      </c>
      <c r="BF259" s="21">
        <f>100*(BF125-BF124)</f>
        <v/>
      </c>
      <c r="BG259" s="21">
        <f>100*(BG125-BG124)</f>
        <v/>
      </c>
      <c r="BH259" s="21">
        <f>AVERAGE(C259:BG259)</f>
        <v/>
      </c>
    </row>
    <row r="260">
      <c r="A260" s="19">
        <f>A126</f>
        <v/>
      </c>
      <c r="B260" s="20">
        <f>B126</f>
        <v/>
      </c>
      <c r="C260" s="21">
        <f>100*(C126-C125)</f>
        <v/>
      </c>
      <c r="D260" s="21">
        <f>100*(D126-D125)</f>
        <v/>
      </c>
      <c r="E260" s="21">
        <f>100*(E126-E125)</f>
        <v/>
      </c>
      <c r="F260" s="21">
        <f>100*(F126-F125)</f>
        <v/>
      </c>
      <c r="G260" s="21">
        <f>100*(G126-G125)</f>
        <v/>
      </c>
      <c r="H260" s="21">
        <f>100*(H126-H125)</f>
        <v/>
      </c>
      <c r="I260" s="21">
        <f>100*(I126-I125)</f>
        <v/>
      </c>
      <c r="J260" s="21">
        <f>100*(J126-J125)</f>
        <v/>
      </c>
      <c r="K260" s="21">
        <f>100*(K126-K125)</f>
        <v/>
      </c>
      <c r="L260" s="21">
        <f>100*(L126-L125)</f>
        <v/>
      </c>
      <c r="M260" s="21">
        <f>100*(M126-M125)</f>
        <v/>
      </c>
      <c r="N260" s="21">
        <f>100*(N126-N125)</f>
        <v/>
      </c>
      <c r="O260" s="21">
        <f>100*(O126-O125)</f>
        <v/>
      </c>
      <c r="P260" s="21">
        <f>100*(P126-P125)</f>
        <v/>
      </c>
      <c r="Q260" s="21">
        <f>100*(Q126-Q125)</f>
        <v/>
      </c>
      <c r="R260" s="21">
        <f>100*(R126-R125)</f>
        <v/>
      </c>
      <c r="S260" s="21">
        <f>100*(S126-S125)</f>
        <v/>
      </c>
      <c r="T260" s="21">
        <f>100*(T126-T125)</f>
        <v/>
      </c>
      <c r="U260" s="21">
        <f>100*(U126-U125)</f>
        <v/>
      </c>
      <c r="V260" s="21">
        <f>100*(V126-V125)</f>
        <v/>
      </c>
      <c r="W260" s="21">
        <f>100*(W126-W125)</f>
        <v/>
      </c>
      <c r="X260" s="21">
        <f>100*(X126-X125)</f>
        <v/>
      </c>
      <c r="Y260" s="21">
        <f>100*(Y126-Y125)</f>
        <v/>
      </c>
      <c r="Z260" s="21">
        <f>100*(Z126-Z125)</f>
        <v/>
      </c>
      <c r="AA260" s="21">
        <f>100*(AA126-AA125)</f>
        <v/>
      </c>
      <c r="AB260" s="21">
        <f>100*(AB126-AB125)</f>
        <v/>
      </c>
      <c r="AC260" s="21">
        <f>100*(AC126-AC125)</f>
        <v/>
      </c>
      <c r="AD260" s="21">
        <f>100*(AD126-AD125)</f>
        <v/>
      </c>
      <c r="AE260" s="21">
        <f>100*(AE126-AE125)</f>
        <v/>
      </c>
      <c r="AF260" s="21">
        <f>100*(AF126-AF125)</f>
        <v/>
      </c>
      <c r="AG260" s="21">
        <f>100*(AG126-AG125)</f>
        <v/>
      </c>
      <c r="AH260" s="21">
        <f>100*(AH126-AH125)</f>
        <v/>
      </c>
      <c r="AI260" s="21">
        <f>100*(AI126-AI125)</f>
        <v/>
      </c>
      <c r="AJ260" s="21">
        <f>100*(AJ126-AJ125)</f>
        <v/>
      </c>
      <c r="AK260" s="21">
        <f>100*(AK126-AK125)</f>
        <v/>
      </c>
      <c r="AL260" s="21">
        <f>100*(AL126-AL125)</f>
        <v/>
      </c>
      <c r="AM260" s="21">
        <f>100*(AM126-AM125)</f>
        <v/>
      </c>
      <c r="AN260" s="21">
        <f>100*(AN126-AN125)</f>
        <v/>
      </c>
      <c r="AO260" s="21">
        <f>100*(AO126-AO125)</f>
        <v/>
      </c>
      <c r="AP260" s="21">
        <f>100*(AP126-AP125)</f>
        <v/>
      </c>
      <c r="AQ260" s="21">
        <f>100*(AQ126-AQ125)</f>
        <v/>
      </c>
      <c r="AR260" s="21">
        <f>100*(AR126-AR125)</f>
        <v/>
      </c>
      <c r="AS260" s="21">
        <f>100*(AS126-AS125)</f>
        <v/>
      </c>
      <c r="AT260" s="21">
        <f>100*(AT126-AT125)</f>
        <v/>
      </c>
      <c r="AU260" s="21">
        <f>100*(AU126-AU125)</f>
        <v/>
      </c>
      <c r="AV260" s="21">
        <f>100*(AV126-AV125)</f>
        <v/>
      </c>
      <c r="AW260" s="21">
        <f>100*(AW126-AW125)</f>
        <v/>
      </c>
      <c r="AX260" s="21">
        <f>100*(AX126-AX125)</f>
        <v/>
      </c>
      <c r="AY260" s="21">
        <f>100*(AY126-AY125)</f>
        <v/>
      </c>
      <c r="AZ260" s="21">
        <f>100*(AZ126-AZ125)</f>
        <v/>
      </c>
      <c r="BA260" s="21">
        <f>100*(BA126-BA125)</f>
        <v/>
      </c>
      <c r="BB260" s="21">
        <f>100*(BB126-BB125)</f>
        <v/>
      </c>
      <c r="BC260" s="21">
        <f>100*(BC126-BC125)</f>
        <v/>
      </c>
      <c r="BD260" s="21">
        <f>100*(BD126-BD125)</f>
        <v/>
      </c>
      <c r="BE260" s="21">
        <f>100*(BE126-BE125)</f>
        <v/>
      </c>
      <c r="BF260" s="21">
        <f>100*(BF126-BF125)</f>
        <v/>
      </c>
      <c r="BG260" s="21">
        <f>100*(BG126-BG125)</f>
        <v/>
      </c>
      <c r="BH260" s="21">
        <f>AVERAGE(C260:BG260)</f>
        <v/>
      </c>
    </row>
    <row r="261">
      <c r="A261" s="19">
        <f>A127</f>
        <v/>
      </c>
      <c r="B261" s="20">
        <f>B127</f>
        <v/>
      </c>
      <c r="C261" s="21">
        <f>100*(C127-C126)</f>
        <v/>
      </c>
      <c r="D261" s="21">
        <f>100*(D127-D126)</f>
        <v/>
      </c>
      <c r="E261" s="21">
        <f>100*(E127-E126)</f>
        <v/>
      </c>
      <c r="F261" s="21">
        <f>100*(F127-F126)</f>
        <v/>
      </c>
      <c r="G261" s="21">
        <f>100*(G127-G126)</f>
        <v/>
      </c>
      <c r="H261" s="21">
        <f>100*(H127-H126)</f>
        <v/>
      </c>
      <c r="I261" s="21">
        <f>100*(I127-I126)</f>
        <v/>
      </c>
      <c r="J261" s="21">
        <f>100*(J127-J126)</f>
        <v/>
      </c>
      <c r="K261" s="21">
        <f>100*(K127-K126)</f>
        <v/>
      </c>
      <c r="L261" s="21">
        <f>100*(L127-L126)</f>
        <v/>
      </c>
      <c r="M261" s="21">
        <f>100*(M127-M126)</f>
        <v/>
      </c>
      <c r="N261" s="21">
        <f>100*(N127-N126)</f>
        <v/>
      </c>
      <c r="O261" s="21">
        <f>100*(O127-O126)</f>
        <v/>
      </c>
      <c r="P261" s="21">
        <f>100*(P127-P126)</f>
        <v/>
      </c>
      <c r="Q261" s="21">
        <f>100*(Q127-Q126)</f>
        <v/>
      </c>
      <c r="R261" s="21">
        <f>100*(R127-R126)</f>
        <v/>
      </c>
      <c r="S261" s="21">
        <f>100*(S127-S126)</f>
        <v/>
      </c>
      <c r="T261" s="21">
        <f>100*(T127-T126)</f>
        <v/>
      </c>
      <c r="U261" s="21">
        <f>100*(U127-U126)</f>
        <v/>
      </c>
      <c r="V261" s="21">
        <f>100*(V127-V126)</f>
        <v/>
      </c>
      <c r="W261" s="21">
        <f>100*(W127-W126)</f>
        <v/>
      </c>
      <c r="X261" s="21">
        <f>100*(X127-X126)</f>
        <v/>
      </c>
      <c r="Y261" s="21">
        <f>100*(Y127-Y126)</f>
        <v/>
      </c>
      <c r="Z261" s="21">
        <f>100*(Z127-Z126)</f>
        <v/>
      </c>
      <c r="AA261" s="21">
        <f>100*(AA127-AA126)</f>
        <v/>
      </c>
      <c r="AB261" s="21">
        <f>100*(AB127-AB126)</f>
        <v/>
      </c>
      <c r="AC261" s="21">
        <f>100*(AC127-AC126)</f>
        <v/>
      </c>
      <c r="AD261" s="21">
        <f>100*(AD127-AD126)</f>
        <v/>
      </c>
      <c r="AE261" s="21">
        <f>100*(AE127-AE126)</f>
        <v/>
      </c>
      <c r="AF261" s="21">
        <f>100*(AF127-AF126)</f>
        <v/>
      </c>
      <c r="AG261" s="21">
        <f>100*(AG127-AG126)</f>
        <v/>
      </c>
      <c r="AH261" s="21">
        <f>100*(AH127-AH126)</f>
        <v/>
      </c>
      <c r="AI261" s="21">
        <f>100*(AI127-AI126)</f>
        <v/>
      </c>
      <c r="AJ261" s="21">
        <f>100*(AJ127-AJ126)</f>
        <v/>
      </c>
      <c r="AK261" s="21">
        <f>100*(AK127-AK126)</f>
        <v/>
      </c>
      <c r="AL261" s="21">
        <f>100*(AL127-AL126)</f>
        <v/>
      </c>
      <c r="AM261" s="21">
        <f>100*(AM127-AM126)</f>
        <v/>
      </c>
      <c r="AN261" s="21">
        <f>100*(AN127-AN126)</f>
        <v/>
      </c>
      <c r="AO261" s="21">
        <f>100*(AO127-AO126)</f>
        <v/>
      </c>
      <c r="AP261" s="21">
        <f>100*(AP127-AP126)</f>
        <v/>
      </c>
      <c r="AQ261" s="21">
        <f>100*(AQ127-AQ126)</f>
        <v/>
      </c>
      <c r="AR261" s="21">
        <f>100*(AR127-AR126)</f>
        <v/>
      </c>
      <c r="AS261" s="21">
        <f>100*(AS127-AS126)</f>
        <v/>
      </c>
      <c r="AT261" s="21">
        <f>100*(AT127-AT126)</f>
        <v/>
      </c>
      <c r="AU261" s="21">
        <f>100*(AU127-AU126)</f>
        <v/>
      </c>
      <c r="AV261" s="21">
        <f>100*(AV127-AV126)</f>
        <v/>
      </c>
      <c r="AW261" s="21">
        <f>100*(AW127-AW126)</f>
        <v/>
      </c>
      <c r="AX261" s="21">
        <f>100*(AX127-AX126)</f>
        <v/>
      </c>
      <c r="AY261" s="21">
        <f>100*(AY127-AY126)</f>
        <v/>
      </c>
      <c r="AZ261" s="21">
        <f>100*(AZ127-AZ126)</f>
        <v/>
      </c>
      <c r="BA261" s="21">
        <f>100*(BA127-BA126)</f>
        <v/>
      </c>
      <c r="BB261" s="21">
        <f>100*(BB127-BB126)</f>
        <v/>
      </c>
      <c r="BC261" s="21">
        <f>100*(BC127-BC126)</f>
        <v/>
      </c>
      <c r="BD261" s="21">
        <f>100*(BD127-BD126)</f>
        <v/>
      </c>
      <c r="BE261" s="21">
        <f>100*(BE127-BE126)</f>
        <v/>
      </c>
      <c r="BF261" s="21">
        <f>100*(BF127-BF126)</f>
        <v/>
      </c>
      <c r="BG261" s="21">
        <f>100*(BG127-BG126)</f>
        <v/>
      </c>
      <c r="BH261" s="21">
        <f>AVERAGE(C261:BG261)</f>
        <v/>
      </c>
    </row>
    <row r="262">
      <c r="A262" s="19">
        <f>A128</f>
        <v/>
      </c>
      <c r="B262" s="20">
        <f>B128</f>
        <v/>
      </c>
      <c r="C262" s="21">
        <f>100*(C128-C127)</f>
        <v/>
      </c>
      <c r="D262" s="21">
        <f>100*(D128-D127)</f>
        <v/>
      </c>
      <c r="E262" s="21">
        <f>100*(E128-E127)</f>
        <v/>
      </c>
      <c r="F262" s="21">
        <f>100*(F128-F127)</f>
        <v/>
      </c>
      <c r="G262" s="21">
        <f>100*(G128-G127)</f>
        <v/>
      </c>
      <c r="H262" s="21">
        <f>100*(H128-H127)</f>
        <v/>
      </c>
      <c r="I262" s="21">
        <f>100*(I128-I127)</f>
        <v/>
      </c>
      <c r="J262" s="21">
        <f>100*(J128-J127)</f>
        <v/>
      </c>
      <c r="K262" s="21">
        <f>100*(K128-K127)</f>
        <v/>
      </c>
      <c r="L262" s="21">
        <f>100*(L128-L127)</f>
        <v/>
      </c>
      <c r="M262" s="21">
        <f>100*(M128-M127)</f>
        <v/>
      </c>
      <c r="N262" s="21">
        <f>100*(N128-N127)</f>
        <v/>
      </c>
      <c r="O262" s="21">
        <f>100*(O128-O127)</f>
        <v/>
      </c>
      <c r="P262" s="21">
        <f>100*(P128-P127)</f>
        <v/>
      </c>
      <c r="Q262" s="21">
        <f>100*(Q128-Q127)</f>
        <v/>
      </c>
      <c r="R262" s="21">
        <f>100*(R128-R127)</f>
        <v/>
      </c>
      <c r="S262" s="21">
        <f>100*(S128-S127)</f>
        <v/>
      </c>
      <c r="T262" s="21">
        <f>100*(T128-T127)</f>
        <v/>
      </c>
      <c r="U262" s="21">
        <f>100*(U128-U127)</f>
        <v/>
      </c>
      <c r="V262" s="21">
        <f>100*(V128-V127)</f>
        <v/>
      </c>
      <c r="W262" s="21">
        <f>100*(W128-W127)</f>
        <v/>
      </c>
      <c r="X262" s="21">
        <f>100*(X128-X127)</f>
        <v/>
      </c>
      <c r="Y262" s="21">
        <f>100*(Y128-Y127)</f>
        <v/>
      </c>
      <c r="Z262" s="21">
        <f>100*(Z128-Z127)</f>
        <v/>
      </c>
      <c r="AA262" s="21">
        <f>100*(AA128-AA127)</f>
        <v/>
      </c>
      <c r="AB262" s="21">
        <f>100*(AB128-AB127)</f>
        <v/>
      </c>
      <c r="AC262" s="21">
        <f>100*(AC128-AC127)</f>
        <v/>
      </c>
      <c r="AD262" s="21">
        <f>100*(AD128-AD127)</f>
        <v/>
      </c>
      <c r="AE262" s="21">
        <f>100*(AE128-AE127)</f>
        <v/>
      </c>
      <c r="AF262" s="21">
        <f>100*(AF128-AF127)</f>
        <v/>
      </c>
      <c r="AG262" s="21">
        <f>100*(AG128-AG127)</f>
        <v/>
      </c>
      <c r="AH262" s="21">
        <f>100*(AH128-AH127)</f>
        <v/>
      </c>
      <c r="AI262" s="21">
        <f>100*(AI128-AI127)</f>
        <v/>
      </c>
      <c r="AJ262" s="21">
        <f>100*(AJ128-AJ127)</f>
        <v/>
      </c>
      <c r="AK262" s="21">
        <f>100*(AK128-AK127)</f>
        <v/>
      </c>
      <c r="AL262" s="21">
        <f>100*(AL128-AL127)</f>
        <v/>
      </c>
      <c r="AM262" s="21">
        <f>100*(AM128-AM127)</f>
        <v/>
      </c>
      <c r="AN262" s="21">
        <f>100*(AN128-AN127)</f>
        <v/>
      </c>
      <c r="AO262" s="21">
        <f>100*(AO128-AO127)</f>
        <v/>
      </c>
      <c r="AP262" s="21">
        <f>100*(AP128-AP127)</f>
        <v/>
      </c>
      <c r="AQ262" s="21">
        <f>100*(AQ128-AQ127)</f>
        <v/>
      </c>
      <c r="AR262" s="21">
        <f>100*(AR128-AR127)</f>
        <v/>
      </c>
      <c r="AS262" s="21">
        <f>100*(AS128-AS127)</f>
        <v/>
      </c>
      <c r="AT262" s="21">
        <f>100*(AT128-AT127)</f>
        <v/>
      </c>
      <c r="AU262" s="21">
        <f>100*(AU128-AU127)</f>
        <v/>
      </c>
      <c r="AV262" s="21">
        <f>100*(AV128-AV127)</f>
        <v/>
      </c>
      <c r="AW262" s="21">
        <f>100*(AW128-AW127)</f>
        <v/>
      </c>
      <c r="AX262" s="21">
        <f>100*(AX128-AX127)</f>
        <v/>
      </c>
      <c r="AY262" s="21">
        <f>100*(AY128-AY127)</f>
        <v/>
      </c>
      <c r="AZ262" s="21">
        <f>100*(AZ128-AZ127)</f>
        <v/>
      </c>
      <c r="BA262" s="21">
        <f>100*(BA128-BA127)</f>
        <v/>
      </c>
      <c r="BB262" s="21">
        <f>100*(BB128-BB127)</f>
        <v/>
      </c>
      <c r="BC262" s="21">
        <f>100*(BC128-BC127)</f>
        <v/>
      </c>
      <c r="BD262" s="21">
        <f>100*(BD128-BD127)</f>
        <v/>
      </c>
      <c r="BE262" s="21">
        <f>100*(BE128-BE127)</f>
        <v/>
      </c>
      <c r="BF262" s="21">
        <f>100*(BF128-BF127)</f>
        <v/>
      </c>
      <c r="BG262" s="21">
        <f>100*(BG128-BG127)</f>
        <v/>
      </c>
      <c r="BH262" s="21">
        <f>AVERAGE(C262:BG262)</f>
        <v/>
      </c>
    </row>
    <row r="263">
      <c r="A263" s="19">
        <f>A129</f>
        <v/>
      </c>
      <c r="B263" s="20">
        <f>B129</f>
        <v/>
      </c>
      <c r="C263" s="21">
        <f>100*(C129-C128)</f>
        <v/>
      </c>
      <c r="D263" s="21">
        <f>100*(D129-D128)</f>
        <v/>
      </c>
      <c r="E263" s="21">
        <f>100*(E129-E128)</f>
        <v/>
      </c>
      <c r="F263" s="21">
        <f>100*(F129-F128)</f>
        <v/>
      </c>
      <c r="G263" s="21">
        <f>100*(G129-G128)</f>
        <v/>
      </c>
      <c r="H263" s="21">
        <f>100*(H129-H128)</f>
        <v/>
      </c>
      <c r="I263" s="21">
        <f>100*(I129-I128)</f>
        <v/>
      </c>
      <c r="J263" s="21">
        <f>100*(J129-J128)</f>
        <v/>
      </c>
      <c r="K263" s="21">
        <f>100*(K129-K128)</f>
        <v/>
      </c>
      <c r="L263" s="21">
        <f>100*(L129-L128)</f>
        <v/>
      </c>
      <c r="M263" s="21">
        <f>100*(M129-M128)</f>
        <v/>
      </c>
      <c r="N263" s="21">
        <f>100*(N129-N128)</f>
        <v/>
      </c>
      <c r="O263" s="21">
        <f>100*(O129-O128)</f>
        <v/>
      </c>
      <c r="P263" s="21">
        <f>100*(P129-P128)</f>
        <v/>
      </c>
      <c r="Q263" s="21">
        <f>100*(Q129-Q128)</f>
        <v/>
      </c>
      <c r="R263" s="21">
        <f>100*(R129-R128)</f>
        <v/>
      </c>
      <c r="S263" s="21">
        <f>100*(S129-S128)</f>
        <v/>
      </c>
      <c r="T263" s="21">
        <f>100*(T129-T128)</f>
        <v/>
      </c>
      <c r="U263" s="21">
        <f>100*(U129-U128)</f>
        <v/>
      </c>
      <c r="V263" s="21">
        <f>100*(V129-V128)</f>
        <v/>
      </c>
      <c r="W263" s="21">
        <f>100*(W129-W128)</f>
        <v/>
      </c>
      <c r="X263" s="21">
        <f>100*(X129-X128)</f>
        <v/>
      </c>
      <c r="Y263" s="21">
        <f>100*(Y129-Y128)</f>
        <v/>
      </c>
      <c r="Z263" s="21">
        <f>100*(Z129-Z128)</f>
        <v/>
      </c>
      <c r="AA263" s="21">
        <f>100*(AA129-AA128)</f>
        <v/>
      </c>
      <c r="AB263" s="21">
        <f>100*(AB129-AB128)</f>
        <v/>
      </c>
      <c r="AC263" s="21">
        <f>100*(AC129-AC128)</f>
        <v/>
      </c>
      <c r="AD263" s="21">
        <f>100*(AD129-AD128)</f>
        <v/>
      </c>
      <c r="AE263" s="21">
        <f>100*(AE129-AE128)</f>
        <v/>
      </c>
      <c r="AF263" s="21">
        <f>100*(AF129-AF128)</f>
        <v/>
      </c>
      <c r="AG263" s="21">
        <f>100*(AG129-AG128)</f>
        <v/>
      </c>
      <c r="AH263" s="21">
        <f>100*(AH129-AH128)</f>
        <v/>
      </c>
      <c r="AI263" s="21">
        <f>100*(AI129-AI128)</f>
        <v/>
      </c>
      <c r="AJ263" s="21">
        <f>100*(AJ129-AJ128)</f>
        <v/>
      </c>
      <c r="AK263" s="21">
        <f>100*(AK129-AK128)</f>
        <v/>
      </c>
      <c r="AL263" s="21">
        <f>100*(AL129-AL128)</f>
        <v/>
      </c>
      <c r="AM263" s="21">
        <f>100*(AM129-AM128)</f>
        <v/>
      </c>
      <c r="AN263" s="21">
        <f>100*(AN129-AN128)</f>
        <v/>
      </c>
      <c r="AO263" s="21">
        <f>100*(AO129-AO128)</f>
        <v/>
      </c>
      <c r="AP263" s="21">
        <f>100*(AP129-AP128)</f>
        <v/>
      </c>
      <c r="AQ263" s="21">
        <f>100*(AQ129-AQ128)</f>
        <v/>
      </c>
      <c r="AR263" s="21">
        <f>100*(AR129-AR128)</f>
        <v/>
      </c>
      <c r="AS263" s="21">
        <f>100*(AS129-AS128)</f>
        <v/>
      </c>
      <c r="AT263" s="21">
        <f>100*(AT129-AT128)</f>
        <v/>
      </c>
      <c r="AU263" s="21">
        <f>100*(AU129-AU128)</f>
        <v/>
      </c>
      <c r="AV263" s="21">
        <f>100*(AV129-AV128)</f>
        <v/>
      </c>
      <c r="AW263" s="21">
        <f>100*(AW129-AW128)</f>
        <v/>
      </c>
      <c r="AX263" s="21">
        <f>100*(AX129-AX128)</f>
        <v/>
      </c>
      <c r="AY263" s="21">
        <f>100*(AY129-AY128)</f>
        <v/>
      </c>
      <c r="AZ263" s="21">
        <f>100*(AZ129-AZ128)</f>
        <v/>
      </c>
      <c r="BA263" s="21">
        <f>100*(BA129-BA128)</f>
        <v/>
      </c>
      <c r="BB263" s="21">
        <f>100*(BB129-BB128)</f>
        <v/>
      </c>
      <c r="BC263" s="21">
        <f>100*(BC129-BC128)</f>
        <v/>
      </c>
      <c r="BD263" s="21">
        <f>100*(BD129-BD128)</f>
        <v/>
      </c>
      <c r="BE263" s="21">
        <f>100*(BE129-BE128)</f>
        <v/>
      </c>
      <c r="BF263" s="21">
        <f>100*(BF129-BF128)</f>
        <v/>
      </c>
      <c r="BG263" s="21">
        <f>100*(BG129-BG128)</f>
        <v/>
      </c>
      <c r="BH263" s="21">
        <f>AVERAGE(C263:BG263)</f>
        <v/>
      </c>
    </row>
    <row r="264">
      <c r="A264" s="19">
        <f>A130</f>
        <v/>
      </c>
      <c r="B264" s="20">
        <f>B130</f>
        <v/>
      </c>
      <c r="C264" s="21">
        <f>100*(C130-C129)</f>
        <v/>
      </c>
      <c r="D264" s="21">
        <f>100*(D130-D129)</f>
        <v/>
      </c>
      <c r="E264" s="21">
        <f>100*(E130-E129)</f>
        <v/>
      </c>
      <c r="F264" s="21">
        <f>100*(F130-F129)</f>
        <v/>
      </c>
      <c r="G264" s="21">
        <f>100*(G130-G129)</f>
        <v/>
      </c>
      <c r="H264" s="21">
        <f>100*(H130-H129)</f>
        <v/>
      </c>
      <c r="I264" s="21">
        <f>100*(I130-I129)</f>
        <v/>
      </c>
      <c r="J264" s="21">
        <f>100*(J130-J129)</f>
        <v/>
      </c>
      <c r="K264" s="21">
        <f>100*(K130-K129)</f>
        <v/>
      </c>
      <c r="L264" s="21">
        <f>100*(L130-L129)</f>
        <v/>
      </c>
      <c r="M264" s="21">
        <f>100*(M130-M129)</f>
        <v/>
      </c>
      <c r="N264" s="21">
        <f>100*(N130-N129)</f>
        <v/>
      </c>
      <c r="O264" s="21">
        <f>100*(O130-O129)</f>
        <v/>
      </c>
      <c r="P264" s="21">
        <f>100*(P130-P129)</f>
        <v/>
      </c>
      <c r="Q264" s="21">
        <f>100*(Q130-Q129)</f>
        <v/>
      </c>
      <c r="R264" s="21">
        <f>100*(R130-R129)</f>
        <v/>
      </c>
      <c r="S264" s="21">
        <f>100*(S130-S129)</f>
        <v/>
      </c>
      <c r="T264" s="21">
        <f>100*(T130-T129)</f>
        <v/>
      </c>
      <c r="U264" s="21">
        <f>100*(U130-U129)</f>
        <v/>
      </c>
      <c r="V264" s="21">
        <f>100*(V130-V129)</f>
        <v/>
      </c>
      <c r="W264" s="21">
        <f>100*(W130-W129)</f>
        <v/>
      </c>
      <c r="X264" s="21">
        <f>100*(X130-X129)</f>
        <v/>
      </c>
      <c r="Y264" s="21">
        <f>100*(Y130-Y129)</f>
        <v/>
      </c>
      <c r="Z264" s="21">
        <f>100*(Z130-Z129)</f>
        <v/>
      </c>
      <c r="AA264" s="21">
        <f>100*(AA130-AA129)</f>
        <v/>
      </c>
      <c r="AB264" s="21">
        <f>100*(AB130-AB129)</f>
        <v/>
      </c>
      <c r="AC264" s="21">
        <f>100*(AC130-AC129)</f>
        <v/>
      </c>
      <c r="AD264" s="21">
        <f>100*(AD130-AD129)</f>
        <v/>
      </c>
      <c r="AE264" s="21">
        <f>100*(AE130-AE129)</f>
        <v/>
      </c>
      <c r="AF264" s="21">
        <f>100*(AF130-AF129)</f>
        <v/>
      </c>
      <c r="AG264" s="21">
        <f>100*(AG130-AG129)</f>
        <v/>
      </c>
      <c r="AH264" s="21">
        <f>100*(AH130-AH129)</f>
        <v/>
      </c>
      <c r="AI264" s="21">
        <f>100*(AI130-AI129)</f>
        <v/>
      </c>
      <c r="AJ264" s="21">
        <f>100*(AJ130-AJ129)</f>
        <v/>
      </c>
      <c r="AK264" s="21">
        <f>100*(AK130-AK129)</f>
        <v/>
      </c>
      <c r="AL264" s="21">
        <f>100*(AL130-AL129)</f>
        <v/>
      </c>
      <c r="AM264" s="21">
        <f>100*(AM130-AM129)</f>
        <v/>
      </c>
      <c r="AN264" s="21">
        <f>100*(AN130-AN129)</f>
        <v/>
      </c>
      <c r="AO264" s="21">
        <f>100*(AO130-AO129)</f>
        <v/>
      </c>
      <c r="AP264" s="21">
        <f>100*(AP130-AP129)</f>
        <v/>
      </c>
      <c r="AQ264" s="21">
        <f>100*(AQ130-AQ129)</f>
        <v/>
      </c>
      <c r="AR264" s="21">
        <f>100*(AR130-AR129)</f>
        <v/>
      </c>
      <c r="AS264" s="21">
        <f>100*(AS130-AS129)</f>
        <v/>
      </c>
      <c r="AT264" s="21">
        <f>100*(AT130-AT129)</f>
        <v/>
      </c>
      <c r="AU264" s="21">
        <f>100*(AU130-AU129)</f>
        <v/>
      </c>
      <c r="AV264" s="21">
        <f>100*(AV130-AV129)</f>
        <v/>
      </c>
      <c r="AW264" s="21">
        <f>100*(AW130-AW129)</f>
        <v/>
      </c>
      <c r="AX264" s="21">
        <f>100*(AX130-AX129)</f>
        <v/>
      </c>
      <c r="AY264" s="21">
        <f>100*(AY130-AY129)</f>
        <v/>
      </c>
      <c r="AZ264" s="21">
        <f>100*(AZ130-AZ129)</f>
        <v/>
      </c>
      <c r="BA264" s="21">
        <f>100*(BA130-BA129)</f>
        <v/>
      </c>
      <c r="BB264" s="21">
        <f>100*(BB130-BB129)</f>
        <v/>
      </c>
      <c r="BC264" s="21">
        <f>100*(BC130-BC129)</f>
        <v/>
      </c>
      <c r="BD264" s="21">
        <f>100*(BD130-BD129)</f>
        <v/>
      </c>
      <c r="BE264" s="21">
        <f>100*(BE130-BE129)</f>
        <v/>
      </c>
      <c r="BF264" s="21">
        <f>100*(BF130-BF129)</f>
        <v/>
      </c>
      <c r="BG264" s="21">
        <f>100*(BG130-BG129)</f>
        <v/>
      </c>
      <c r="BH264" s="21">
        <f>AVERAGE(C264:BG264)</f>
        <v/>
      </c>
    </row>
    <row r="265">
      <c r="A265" s="19">
        <f>A131</f>
        <v/>
      </c>
      <c r="B265" s="20">
        <f>B131</f>
        <v/>
      </c>
      <c r="C265" s="21">
        <f>100*(C131-C130)</f>
        <v/>
      </c>
      <c r="D265" s="21">
        <f>100*(D131-D130)</f>
        <v/>
      </c>
      <c r="E265" s="21">
        <f>100*(E131-E130)</f>
        <v/>
      </c>
      <c r="F265" s="21">
        <f>100*(F131-F130)</f>
        <v/>
      </c>
      <c r="G265" s="21">
        <f>100*(G131-G130)</f>
        <v/>
      </c>
      <c r="H265" s="21">
        <f>100*(H131-H130)</f>
        <v/>
      </c>
      <c r="I265" s="21">
        <f>100*(I131-I130)</f>
        <v/>
      </c>
      <c r="J265" s="21">
        <f>100*(J131-J130)</f>
        <v/>
      </c>
      <c r="K265" s="21">
        <f>100*(K131-K130)</f>
        <v/>
      </c>
      <c r="L265" s="21">
        <f>100*(L131-L130)</f>
        <v/>
      </c>
      <c r="M265" s="21">
        <f>100*(M131-M130)</f>
        <v/>
      </c>
      <c r="N265" s="21">
        <f>100*(N131-N130)</f>
        <v/>
      </c>
      <c r="O265" s="21">
        <f>100*(O131-O130)</f>
        <v/>
      </c>
      <c r="P265" s="21">
        <f>100*(P131-P130)</f>
        <v/>
      </c>
      <c r="Q265" s="21">
        <f>100*(Q131-Q130)</f>
        <v/>
      </c>
      <c r="R265" s="21">
        <f>100*(R131-R130)</f>
        <v/>
      </c>
      <c r="S265" s="21">
        <f>100*(S131-S130)</f>
        <v/>
      </c>
      <c r="T265" s="21">
        <f>100*(T131-T130)</f>
        <v/>
      </c>
      <c r="U265" s="21">
        <f>100*(U131-U130)</f>
        <v/>
      </c>
      <c r="V265" s="21">
        <f>100*(V131-V130)</f>
        <v/>
      </c>
      <c r="W265" s="21">
        <f>100*(W131-W130)</f>
        <v/>
      </c>
      <c r="X265" s="21">
        <f>100*(X131-X130)</f>
        <v/>
      </c>
      <c r="Y265" s="21">
        <f>100*(Y131-Y130)</f>
        <v/>
      </c>
      <c r="Z265" s="21">
        <f>100*(Z131-Z130)</f>
        <v/>
      </c>
      <c r="AA265" s="21">
        <f>100*(AA131-AA130)</f>
        <v/>
      </c>
      <c r="AB265" s="21">
        <f>100*(AB131-AB130)</f>
        <v/>
      </c>
      <c r="AC265" s="21">
        <f>100*(AC131-AC130)</f>
        <v/>
      </c>
      <c r="AD265" s="21">
        <f>100*(AD131-AD130)</f>
        <v/>
      </c>
      <c r="AE265" s="21">
        <f>100*(AE131-AE130)</f>
        <v/>
      </c>
      <c r="AF265" s="21">
        <f>100*(AF131-AF130)</f>
        <v/>
      </c>
      <c r="AG265" s="21">
        <f>100*(AG131-AG130)</f>
        <v/>
      </c>
      <c r="AH265" s="21">
        <f>100*(AH131-AH130)</f>
        <v/>
      </c>
      <c r="AI265" s="21">
        <f>100*(AI131-AI130)</f>
        <v/>
      </c>
      <c r="AJ265" s="21">
        <f>100*(AJ131-AJ130)</f>
        <v/>
      </c>
      <c r="AK265" s="21">
        <f>100*(AK131-AK130)</f>
        <v/>
      </c>
      <c r="AL265" s="21">
        <f>100*(AL131-AL130)</f>
        <v/>
      </c>
      <c r="AM265" s="21">
        <f>100*(AM131-AM130)</f>
        <v/>
      </c>
      <c r="AN265" s="21">
        <f>100*(AN131-AN130)</f>
        <v/>
      </c>
      <c r="AO265" s="21">
        <f>100*(AO131-AO130)</f>
        <v/>
      </c>
      <c r="AP265" s="21">
        <f>100*(AP131-AP130)</f>
        <v/>
      </c>
      <c r="AQ265" s="21">
        <f>100*(AQ131-AQ130)</f>
        <v/>
      </c>
      <c r="AR265" s="21">
        <f>100*(AR131-AR130)</f>
        <v/>
      </c>
      <c r="AS265" s="21">
        <f>100*(AS131-AS130)</f>
        <v/>
      </c>
      <c r="AT265" s="21">
        <f>100*(AT131-AT130)</f>
        <v/>
      </c>
      <c r="AU265" s="21">
        <f>100*(AU131-AU130)</f>
        <v/>
      </c>
      <c r="AV265" s="21">
        <f>100*(AV131-AV130)</f>
        <v/>
      </c>
      <c r="AW265" s="21">
        <f>100*(AW131-AW130)</f>
        <v/>
      </c>
      <c r="AX265" s="21">
        <f>100*(AX131-AX130)</f>
        <v/>
      </c>
      <c r="AY265" s="21">
        <f>100*(AY131-AY130)</f>
        <v/>
      </c>
      <c r="AZ265" s="21">
        <f>100*(AZ131-AZ130)</f>
        <v/>
      </c>
      <c r="BA265" s="21">
        <f>100*(BA131-BA130)</f>
        <v/>
      </c>
      <c r="BB265" s="21">
        <f>100*(BB131-BB130)</f>
        <v/>
      </c>
      <c r="BC265" s="21">
        <f>100*(BC131-BC130)</f>
        <v/>
      </c>
      <c r="BD265" s="21">
        <f>100*(BD131-BD130)</f>
        <v/>
      </c>
      <c r="BE265" s="21">
        <f>100*(BE131-BE130)</f>
        <v/>
      </c>
      <c r="BF265" s="21">
        <f>100*(BF131-BF130)</f>
        <v/>
      </c>
      <c r="BG265" s="21">
        <f>100*(BG131-BG130)</f>
        <v/>
      </c>
      <c r="BH265" s="21">
        <f>AVERAGE(C265:BG265)</f>
        <v/>
      </c>
    </row>
    <row r="266">
      <c r="A266" s="19">
        <f>A132</f>
        <v/>
      </c>
      <c r="B266" s="20">
        <f>B132</f>
        <v/>
      </c>
      <c r="C266" s="21">
        <f>100*(C132-C131)</f>
        <v/>
      </c>
      <c r="D266" s="21">
        <f>100*(D132-D131)</f>
        <v/>
      </c>
      <c r="E266" s="21">
        <f>100*(E132-E131)</f>
        <v/>
      </c>
      <c r="F266" s="21">
        <f>100*(F132-F131)</f>
        <v/>
      </c>
      <c r="G266" s="21">
        <f>100*(G132-G131)</f>
        <v/>
      </c>
      <c r="H266" s="21">
        <f>100*(H132-H131)</f>
        <v/>
      </c>
      <c r="I266" s="21">
        <f>100*(I132-I131)</f>
        <v/>
      </c>
      <c r="J266" s="21">
        <f>100*(J132-J131)</f>
        <v/>
      </c>
      <c r="K266" s="21">
        <f>100*(K132-K131)</f>
        <v/>
      </c>
      <c r="L266" s="21">
        <f>100*(L132-L131)</f>
        <v/>
      </c>
      <c r="M266" s="21">
        <f>100*(M132-M131)</f>
        <v/>
      </c>
      <c r="N266" s="21">
        <f>100*(N132-N131)</f>
        <v/>
      </c>
      <c r="O266" s="21">
        <f>100*(O132-O131)</f>
        <v/>
      </c>
      <c r="P266" s="21">
        <f>100*(P132-P131)</f>
        <v/>
      </c>
      <c r="Q266" s="21">
        <f>100*(Q132-Q131)</f>
        <v/>
      </c>
      <c r="R266" s="21">
        <f>100*(R132-R131)</f>
        <v/>
      </c>
      <c r="S266" s="21">
        <f>100*(S132-S131)</f>
        <v/>
      </c>
      <c r="T266" s="21">
        <f>100*(T132-T131)</f>
        <v/>
      </c>
      <c r="U266" s="21">
        <f>100*(U132-U131)</f>
        <v/>
      </c>
      <c r="V266" s="21">
        <f>100*(V132-V131)</f>
        <v/>
      </c>
      <c r="W266" s="21">
        <f>100*(W132-W131)</f>
        <v/>
      </c>
      <c r="X266" s="21">
        <f>100*(X132-X131)</f>
        <v/>
      </c>
      <c r="Y266" s="21">
        <f>100*(Y132-Y131)</f>
        <v/>
      </c>
      <c r="Z266" s="21">
        <f>100*(Z132-Z131)</f>
        <v/>
      </c>
      <c r="AA266" s="21">
        <f>100*(AA132-AA131)</f>
        <v/>
      </c>
      <c r="AB266" s="21">
        <f>100*(AB132-AB131)</f>
        <v/>
      </c>
      <c r="AC266" s="21">
        <f>100*(AC132-AC131)</f>
        <v/>
      </c>
      <c r="AD266" s="21">
        <f>100*(AD132-AD131)</f>
        <v/>
      </c>
      <c r="AE266" s="21">
        <f>100*(AE132-AE131)</f>
        <v/>
      </c>
      <c r="AF266" s="21">
        <f>100*(AF132-AF131)</f>
        <v/>
      </c>
      <c r="AG266" s="21">
        <f>100*(AG132-AG131)</f>
        <v/>
      </c>
      <c r="AH266" s="21">
        <f>100*(AH132-AH131)</f>
        <v/>
      </c>
      <c r="AI266" s="21">
        <f>100*(AI132-AI131)</f>
        <v/>
      </c>
      <c r="AJ266" s="21">
        <f>100*(AJ132-AJ131)</f>
        <v/>
      </c>
      <c r="AK266" s="21">
        <f>100*(AK132-AK131)</f>
        <v/>
      </c>
      <c r="AL266" s="21">
        <f>100*(AL132-AL131)</f>
        <v/>
      </c>
      <c r="AM266" s="21">
        <f>100*(AM132-AM131)</f>
        <v/>
      </c>
      <c r="AN266" s="21">
        <f>100*(AN132-AN131)</f>
        <v/>
      </c>
      <c r="AO266" s="21">
        <f>100*(AO132-AO131)</f>
        <v/>
      </c>
      <c r="AP266" s="21">
        <f>100*(AP132-AP131)</f>
        <v/>
      </c>
      <c r="AQ266" s="21">
        <f>100*(AQ132-AQ131)</f>
        <v/>
      </c>
      <c r="AR266" s="21">
        <f>100*(AR132-AR131)</f>
        <v/>
      </c>
      <c r="AS266" s="21">
        <f>100*(AS132-AS131)</f>
        <v/>
      </c>
      <c r="AT266" s="21">
        <f>100*(AT132-AT131)</f>
        <v/>
      </c>
      <c r="AU266" s="21">
        <f>100*(AU132-AU131)</f>
        <v/>
      </c>
      <c r="AV266" s="21">
        <f>100*(AV132-AV131)</f>
        <v/>
      </c>
      <c r="AW266" s="21">
        <f>100*(AW132-AW131)</f>
        <v/>
      </c>
      <c r="AX266" s="21">
        <f>100*(AX132-AX131)</f>
        <v/>
      </c>
      <c r="AY266" s="21">
        <f>100*(AY132-AY131)</f>
        <v/>
      </c>
      <c r="AZ266" s="21">
        <f>100*(AZ132-AZ131)</f>
        <v/>
      </c>
      <c r="BA266" s="21">
        <f>100*(BA132-BA131)</f>
        <v/>
      </c>
      <c r="BB266" s="21">
        <f>100*(BB132-BB131)</f>
        <v/>
      </c>
      <c r="BC266" s="21">
        <f>100*(BC132-BC131)</f>
        <v/>
      </c>
      <c r="BD266" s="21">
        <f>100*(BD132-BD131)</f>
        <v/>
      </c>
      <c r="BE266" s="21">
        <f>100*(BE132-BE131)</f>
        <v/>
      </c>
      <c r="BF266" s="21">
        <f>100*(BF132-BF131)</f>
        <v/>
      </c>
      <c r="BG266" s="21">
        <f>100*(BG132-BG131)</f>
        <v/>
      </c>
      <c r="BH266" s="21">
        <f>AVERAGE(C266:BG266)</f>
        <v/>
      </c>
    </row>
    <row r="267">
      <c r="A267" s="19">
        <f>A133</f>
        <v/>
      </c>
      <c r="B267" s="20">
        <f>B133</f>
        <v/>
      </c>
      <c r="C267" s="21">
        <f>100*(C133-C132)</f>
        <v/>
      </c>
      <c r="D267" s="21">
        <f>100*(D133-D132)</f>
        <v/>
      </c>
      <c r="E267" s="21">
        <f>100*(E133-E132)</f>
        <v/>
      </c>
      <c r="F267" s="21">
        <f>100*(F133-F132)</f>
        <v/>
      </c>
      <c r="G267" s="21">
        <f>100*(G133-G132)</f>
        <v/>
      </c>
      <c r="H267" s="21">
        <f>100*(H133-H132)</f>
        <v/>
      </c>
      <c r="I267" s="21">
        <f>100*(I133-I132)</f>
        <v/>
      </c>
      <c r="J267" s="21">
        <f>100*(J133-J132)</f>
        <v/>
      </c>
      <c r="K267" s="21">
        <f>100*(K133-K132)</f>
        <v/>
      </c>
      <c r="L267" s="21">
        <f>100*(L133-L132)</f>
        <v/>
      </c>
      <c r="M267" s="21">
        <f>100*(M133-M132)</f>
        <v/>
      </c>
      <c r="N267" s="21">
        <f>100*(N133-N132)</f>
        <v/>
      </c>
      <c r="O267" s="21">
        <f>100*(O133-O132)</f>
        <v/>
      </c>
      <c r="P267" s="21">
        <f>100*(P133-P132)</f>
        <v/>
      </c>
      <c r="Q267" s="21">
        <f>100*(Q133-Q132)</f>
        <v/>
      </c>
      <c r="R267" s="21">
        <f>100*(R133-R132)</f>
        <v/>
      </c>
      <c r="S267" s="21">
        <f>100*(S133-S132)</f>
        <v/>
      </c>
      <c r="T267" s="21">
        <f>100*(T133-T132)</f>
        <v/>
      </c>
      <c r="U267" s="21">
        <f>100*(U133-U132)</f>
        <v/>
      </c>
      <c r="V267" s="21">
        <f>100*(V133-V132)</f>
        <v/>
      </c>
      <c r="W267" s="21">
        <f>100*(W133-W132)</f>
        <v/>
      </c>
      <c r="X267" s="21">
        <f>100*(X133-X132)</f>
        <v/>
      </c>
      <c r="Y267" s="21">
        <f>100*(Y133-Y132)</f>
        <v/>
      </c>
      <c r="Z267" s="21">
        <f>100*(Z133-Z132)</f>
        <v/>
      </c>
      <c r="AA267" s="21">
        <f>100*(AA133-AA132)</f>
        <v/>
      </c>
      <c r="AB267" s="21">
        <f>100*(AB133-AB132)</f>
        <v/>
      </c>
      <c r="AC267" s="21">
        <f>100*(AC133-AC132)</f>
        <v/>
      </c>
      <c r="AD267" s="21">
        <f>100*(AD133-AD132)</f>
        <v/>
      </c>
      <c r="AE267" s="21">
        <f>100*(AE133-AE132)</f>
        <v/>
      </c>
      <c r="AF267" s="21">
        <f>100*(AF133-AF132)</f>
        <v/>
      </c>
      <c r="AG267" s="21">
        <f>100*(AG133-AG132)</f>
        <v/>
      </c>
      <c r="AH267" s="21">
        <f>100*(AH133-AH132)</f>
        <v/>
      </c>
      <c r="AI267" s="21">
        <f>100*(AI133-AI132)</f>
        <v/>
      </c>
      <c r="AJ267" s="21">
        <f>100*(AJ133-AJ132)</f>
        <v/>
      </c>
      <c r="AK267" s="21">
        <f>100*(AK133-AK132)</f>
        <v/>
      </c>
      <c r="AL267" s="21">
        <f>100*(AL133-AL132)</f>
        <v/>
      </c>
      <c r="AM267" s="21">
        <f>100*(AM133-AM132)</f>
        <v/>
      </c>
      <c r="AN267" s="21">
        <f>100*(AN133-AN132)</f>
        <v/>
      </c>
      <c r="AO267" s="21">
        <f>100*(AO133-AO132)</f>
        <v/>
      </c>
      <c r="AP267" s="21">
        <f>100*(AP133-AP132)</f>
        <v/>
      </c>
      <c r="AQ267" s="21">
        <f>100*(AQ133-AQ132)</f>
        <v/>
      </c>
      <c r="AR267" s="21">
        <f>100*(AR133-AR132)</f>
        <v/>
      </c>
      <c r="AS267" s="21">
        <f>100*(AS133-AS132)</f>
        <v/>
      </c>
      <c r="AT267" s="21">
        <f>100*(AT133-AT132)</f>
        <v/>
      </c>
      <c r="AU267" s="21">
        <f>100*(AU133-AU132)</f>
        <v/>
      </c>
      <c r="AV267" s="21">
        <f>100*(AV133-AV132)</f>
        <v/>
      </c>
      <c r="AW267" s="21">
        <f>100*(AW133-AW132)</f>
        <v/>
      </c>
      <c r="AX267" s="21">
        <f>100*(AX133-AX132)</f>
        <v/>
      </c>
      <c r="AY267" s="21">
        <f>100*(AY133-AY132)</f>
        <v/>
      </c>
      <c r="AZ267" s="21">
        <f>100*(AZ133-AZ132)</f>
        <v/>
      </c>
      <c r="BA267" s="21">
        <f>100*(BA133-BA132)</f>
        <v/>
      </c>
      <c r="BB267" s="21">
        <f>100*(BB133-BB132)</f>
        <v/>
      </c>
      <c r="BC267" s="21">
        <f>100*(BC133-BC132)</f>
        <v/>
      </c>
      <c r="BD267" s="21">
        <f>100*(BD133-BD132)</f>
        <v/>
      </c>
      <c r="BE267" s="21">
        <f>100*(BE133-BE132)</f>
        <v/>
      </c>
      <c r="BF267" s="21">
        <f>100*(BF133-BF132)</f>
        <v/>
      </c>
      <c r="BG267" s="21">
        <f>100*(BG133-BG132)</f>
        <v/>
      </c>
      <c r="BH267" s="21">
        <f>AVERAGE(C267:BG267)</f>
        <v/>
      </c>
    </row>
    <row r="268">
      <c r="A268" s="19">
        <f>A134</f>
        <v/>
      </c>
      <c r="B268" s="20">
        <f>B134</f>
        <v/>
      </c>
      <c r="C268" s="21">
        <f>100*(C134-C133)</f>
        <v/>
      </c>
      <c r="D268" s="21">
        <f>100*(D134-D133)</f>
        <v/>
      </c>
      <c r="E268" s="21">
        <f>100*(E134-E133)</f>
        <v/>
      </c>
      <c r="F268" s="21">
        <f>100*(F134-F133)</f>
        <v/>
      </c>
      <c r="G268" s="21">
        <f>100*(G134-G133)</f>
        <v/>
      </c>
      <c r="H268" s="21">
        <f>100*(H134-H133)</f>
        <v/>
      </c>
      <c r="I268" s="21">
        <f>100*(I134-I133)</f>
        <v/>
      </c>
      <c r="J268" s="21">
        <f>100*(J134-J133)</f>
        <v/>
      </c>
      <c r="K268" s="21">
        <f>100*(K134-K133)</f>
        <v/>
      </c>
      <c r="L268" s="21">
        <f>100*(L134-L133)</f>
        <v/>
      </c>
      <c r="M268" s="21">
        <f>100*(M134-M133)</f>
        <v/>
      </c>
      <c r="N268" s="21">
        <f>100*(N134-N133)</f>
        <v/>
      </c>
      <c r="O268" s="21">
        <f>100*(O134-O133)</f>
        <v/>
      </c>
      <c r="P268" s="21">
        <f>100*(P134-P133)</f>
        <v/>
      </c>
      <c r="Q268" s="21">
        <f>100*(Q134-Q133)</f>
        <v/>
      </c>
      <c r="R268" s="21">
        <f>100*(R134-R133)</f>
        <v/>
      </c>
      <c r="S268" s="21">
        <f>100*(S134-S133)</f>
        <v/>
      </c>
      <c r="T268" s="21">
        <f>100*(T134-T133)</f>
        <v/>
      </c>
      <c r="U268" s="21">
        <f>100*(U134-U133)</f>
        <v/>
      </c>
      <c r="V268" s="21">
        <f>100*(V134-V133)</f>
        <v/>
      </c>
      <c r="W268" s="21">
        <f>100*(W134-W133)</f>
        <v/>
      </c>
      <c r="X268" s="21">
        <f>100*(X134-X133)</f>
        <v/>
      </c>
      <c r="Y268" s="21">
        <f>100*(Y134-Y133)</f>
        <v/>
      </c>
      <c r="Z268" s="21">
        <f>100*(Z134-Z133)</f>
        <v/>
      </c>
      <c r="AA268" s="21">
        <f>100*(AA134-AA133)</f>
        <v/>
      </c>
      <c r="AB268" s="21">
        <f>100*(AB134-AB133)</f>
        <v/>
      </c>
      <c r="AC268" s="21">
        <f>100*(AC134-AC133)</f>
        <v/>
      </c>
      <c r="AD268" s="21">
        <f>100*(AD134-AD133)</f>
        <v/>
      </c>
      <c r="AE268" s="21">
        <f>100*(AE134-AE133)</f>
        <v/>
      </c>
      <c r="AF268" s="21">
        <f>100*(AF134-AF133)</f>
        <v/>
      </c>
      <c r="AG268" s="21">
        <f>100*(AG134-AG133)</f>
        <v/>
      </c>
      <c r="AH268" s="21">
        <f>100*(AH134-AH133)</f>
        <v/>
      </c>
      <c r="AI268" s="21">
        <f>100*(AI134-AI133)</f>
        <v/>
      </c>
      <c r="AJ268" s="21">
        <f>100*(AJ134-AJ133)</f>
        <v/>
      </c>
      <c r="AK268" s="21">
        <f>100*(AK134-AK133)</f>
        <v/>
      </c>
      <c r="AL268" s="21">
        <f>100*(AL134-AL133)</f>
        <v/>
      </c>
      <c r="AM268" s="21">
        <f>100*(AM134-AM133)</f>
        <v/>
      </c>
      <c r="AN268" s="21">
        <f>100*(AN134-AN133)</f>
        <v/>
      </c>
      <c r="AO268" s="21">
        <f>100*(AO134-AO133)</f>
        <v/>
      </c>
      <c r="AP268" s="21">
        <f>100*(AP134-AP133)</f>
        <v/>
      </c>
      <c r="AQ268" s="21">
        <f>100*(AQ134-AQ133)</f>
        <v/>
      </c>
      <c r="AR268" s="21">
        <f>100*(AR134-AR133)</f>
        <v/>
      </c>
      <c r="AS268" s="21">
        <f>100*(AS134-AS133)</f>
        <v/>
      </c>
      <c r="AT268" s="21">
        <f>100*(AT134-AT133)</f>
        <v/>
      </c>
      <c r="AU268" s="21">
        <f>100*(AU134-AU133)</f>
        <v/>
      </c>
      <c r="AV268" s="21">
        <f>100*(AV134-AV133)</f>
        <v/>
      </c>
      <c r="AW268" s="21">
        <f>100*(AW134-AW133)</f>
        <v/>
      </c>
      <c r="AX268" s="21">
        <f>100*(AX134-AX133)</f>
        <v/>
      </c>
      <c r="AY268" s="21">
        <f>100*(AY134-AY133)</f>
        <v/>
      </c>
      <c r="AZ268" s="21">
        <f>100*(AZ134-AZ133)</f>
        <v/>
      </c>
      <c r="BA268" s="21">
        <f>100*(BA134-BA133)</f>
        <v/>
      </c>
      <c r="BB268" s="21">
        <f>100*(BB134-BB133)</f>
        <v/>
      </c>
      <c r="BC268" s="21">
        <f>100*(BC134-BC133)</f>
        <v/>
      </c>
      <c r="BD268" s="21">
        <f>100*(BD134-BD133)</f>
        <v/>
      </c>
      <c r="BE268" s="21">
        <f>100*(BE134-BE133)</f>
        <v/>
      </c>
      <c r="BF268" s="21">
        <f>100*(BF134-BF133)</f>
        <v/>
      </c>
      <c r="BG268" s="21">
        <f>100*(BG134-BG133)</f>
        <v/>
      </c>
      <c r="BH268" s="21">
        <f>AVERAGE(C268:BG268)</f>
        <v/>
      </c>
    </row>
    <row r="269">
      <c r="A269" s="19">
        <f>A135</f>
        <v/>
      </c>
      <c r="B269" s="20">
        <f>B135</f>
        <v/>
      </c>
      <c r="C269" s="21">
        <f>100*(C135-C134)</f>
        <v/>
      </c>
      <c r="D269" s="21">
        <f>100*(D135-D134)</f>
        <v/>
      </c>
      <c r="E269" s="21">
        <f>100*(E135-E134)</f>
        <v/>
      </c>
      <c r="F269" s="21">
        <f>100*(F135-F134)</f>
        <v/>
      </c>
      <c r="G269" s="21">
        <f>100*(G135-G134)</f>
        <v/>
      </c>
      <c r="H269" s="21">
        <f>100*(H135-H134)</f>
        <v/>
      </c>
      <c r="I269" s="21">
        <f>100*(I135-I134)</f>
        <v/>
      </c>
      <c r="J269" s="21">
        <f>100*(J135-J134)</f>
        <v/>
      </c>
      <c r="K269" s="21">
        <f>100*(K135-K134)</f>
        <v/>
      </c>
      <c r="L269" s="21">
        <f>100*(L135-L134)</f>
        <v/>
      </c>
      <c r="M269" s="21">
        <f>100*(M135-M134)</f>
        <v/>
      </c>
      <c r="N269" s="21">
        <f>100*(N135-N134)</f>
        <v/>
      </c>
      <c r="O269" s="21">
        <f>100*(O135-O134)</f>
        <v/>
      </c>
      <c r="P269" s="21">
        <f>100*(P135-P134)</f>
        <v/>
      </c>
      <c r="Q269" s="21">
        <f>100*(Q135-Q134)</f>
        <v/>
      </c>
      <c r="R269" s="21">
        <f>100*(R135-R134)</f>
        <v/>
      </c>
      <c r="S269" s="21">
        <f>100*(S135-S134)</f>
        <v/>
      </c>
      <c r="T269" s="21">
        <f>100*(T135-T134)</f>
        <v/>
      </c>
      <c r="U269" s="21">
        <f>100*(U135-U134)</f>
        <v/>
      </c>
      <c r="V269" s="21">
        <f>100*(V135-V134)</f>
        <v/>
      </c>
      <c r="W269" s="21">
        <f>100*(W135-W134)</f>
        <v/>
      </c>
      <c r="X269" s="21">
        <f>100*(X135-X134)</f>
        <v/>
      </c>
      <c r="Y269" s="21">
        <f>100*(Y135-Y134)</f>
        <v/>
      </c>
      <c r="Z269" s="21">
        <f>100*(Z135-Z134)</f>
        <v/>
      </c>
      <c r="AA269" s="21">
        <f>100*(AA135-AA134)</f>
        <v/>
      </c>
      <c r="AB269" s="21">
        <f>100*(AB135-AB134)</f>
        <v/>
      </c>
      <c r="AC269" s="21">
        <f>100*(AC135-AC134)</f>
        <v/>
      </c>
      <c r="AD269" s="21">
        <f>100*(AD135-AD134)</f>
        <v/>
      </c>
      <c r="AE269" s="21">
        <f>100*(AE135-AE134)</f>
        <v/>
      </c>
      <c r="AF269" s="21">
        <f>100*(AF135-AF134)</f>
        <v/>
      </c>
      <c r="AG269" s="21">
        <f>100*(AG135-AG134)</f>
        <v/>
      </c>
      <c r="AH269" s="21">
        <f>100*(AH135-AH134)</f>
        <v/>
      </c>
      <c r="AI269" s="21">
        <f>100*(AI135-AI134)</f>
        <v/>
      </c>
      <c r="AJ269" s="21">
        <f>100*(AJ135-AJ134)</f>
        <v/>
      </c>
      <c r="AK269" s="21">
        <f>100*(AK135-AK134)</f>
        <v/>
      </c>
      <c r="AL269" s="21">
        <f>100*(AL135-AL134)</f>
        <v/>
      </c>
      <c r="AM269" s="21">
        <f>100*(AM135-AM134)</f>
        <v/>
      </c>
      <c r="AN269" s="21">
        <f>100*(AN135-AN134)</f>
        <v/>
      </c>
      <c r="AO269" s="21">
        <f>100*(AO135-AO134)</f>
        <v/>
      </c>
      <c r="AP269" s="21">
        <f>100*(AP135-AP134)</f>
        <v/>
      </c>
      <c r="AQ269" s="21">
        <f>100*(AQ135-AQ134)</f>
        <v/>
      </c>
      <c r="AR269" s="21">
        <f>100*(AR135-AR134)</f>
        <v/>
      </c>
      <c r="AS269" s="21">
        <f>100*(AS135-AS134)</f>
        <v/>
      </c>
      <c r="AT269" s="21">
        <f>100*(AT135-AT134)</f>
        <v/>
      </c>
      <c r="AU269" s="21">
        <f>100*(AU135-AU134)</f>
        <v/>
      </c>
      <c r="AV269" s="21">
        <f>100*(AV135-AV134)</f>
        <v/>
      </c>
      <c r="AW269" s="21">
        <f>100*(AW135-AW134)</f>
        <v/>
      </c>
      <c r="AX269" s="21">
        <f>100*(AX135-AX134)</f>
        <v/>
      </c>
      <c r="AY269" s="21">
        <f>100*(AY135-AY134)</f>
        <v/>
      </c>
      <c r="AZ269" s="21">
        <f>100*(AZ135-AZ134)</f>
        <v/>
      </c>
      <c r="BA269" s="21">
        <f>100*(BA135-BA134)</f>
        <v/>
      </c>
      <c r="BB269" s="21">
        <f>100*(BB135-BB134)</f>
        <v/>
      </c>
      <c r="BC269" s="21">
        <f>100*(BC135-BC134)</f>
        <v/>
      </c>
      <c r="BD269" s="21">
        <f>100*(BD135-BD134)</f>
        <v/>
      </c>
      <c r="BE269" s="21">
        <f>100*(BE135-BE134)</f>
        <v/>
      </c>
      <c r="BF269" s="21">
        <f>100*(BF135-BF134)</f>
        <v/>
      </c>
      <c r="BG269" s="21">
        <f>100*(BG135-BG134)</f>
        <v/>
      </c>
      <c r="BH269" s="21">
        <f>AVERAGE(C269:BG269)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5" t="inlineStr">
        <is>
          <t>A5: 0½% Treasury Gilt 2061, auction 04 Oct 2022 - M2 with control B-β (decision #13)</t>
        </is>
      </c>
    </row>
    <row r="3">
      <c r="A3" s="3" t="inlineStr">
        <is>
          <t>k</t>
        </is>
      </c>
      <c r="B3" s="3" t="inlineStr">
        <is>
          <t>Date</t>
        </is>
      </c>
      <c r="C3" s="3" t="inlineStr">
        <is>
          <t>Model yield y (%)</t>
        </is>
      </c>
      <c r="D3" s="3" t="inlineStr">
        <is>
          <t>Δy (bp)</t>
        </is>
      </c>
      <c r="E3" s="3" t="inlineStr">
        <is>
          <t>Δc (bp), from control sheet</t>
        </is>
      </c>
      <c r="F3" s="3" t="inlineStr">
        <is>
          <t>In β window (1/0)</t>
        </is>
      </c>
      <c r="G3" s="3" t="inlineStr">
        <is>
          <t>AR B-β = Δy - β·Δc</t>
        </is>
      </c>
      <c r="H3" s="3" t="inlineStr">
        <is>
          <t>CAR B-β (base T-6)</t>
        </is>
      </c>
      <c r="I3" s="3" t="inlineStr">
        <is>
          <t>AR B (β = 1)</t>
        </is>
      </c>
      <c r="J3" s="3" t="inlineStr">
        <is>
          <t>CAR B</t>
        </is>
      </c>
      <c r="K3" s="3" t="inlineStr">
        <is>
          <t>Raw cumulative Δy</t>
        </is>
      </c>
    </row>
    <row r="4">
      <c r="A4" s="9" t="n">
        <v>-121</v>
      </c>
      <c r="B4" s="7" t="n">
        <v>44658</v>
      </c>
      <c r="C4" s="14" t="n">
        <v>1.67784709122</v>
      </c>
      <c r="F4" s="9" t="n">
        <v>0</v>
      </c>
    </row>
    <row r="5">
      <c r="A5" s="9" t="n">
        <v>-120</v>
      </c>
      <c r="B5" s="7" t="n">
        <v>44659</v>
      </c>
      <c r="C5" s="14" t="n">
        <v>1.72394643746</v>
      </c>
      <c r="D5" s="21">
        <f>100*(C5-C4)</f>
        <v/>
      </c>
      <c r="E5" s="22">
        <f>'A5 control'!BH139</f>
        <v/>
      </c>
      <c r="F5" s="9" t="n">
        <v>1</v>
      </c>
    </row>
    <row r="6">
      <c r="A6" s="9" t="n">
        <v>-119</v>
      </c>
      <c r="B6" s="7" t="n">
        <v>44662</v>
      </c>
      <c r="C6" s="14" t="n">
        <v>1.8006627363</v>
      </c>
      <c r="D6" s="21">
        <f>100*(C6-C5)</f>
        <v/>
      </c>
      <c r="E6" s="22">
        <f>'A5 control'!BH140</f>
        <v/>
      </c>
      <c r="F6" s="9" t="n">
        <v>1</v>
      </c>
    </row>
    <row r="7">
      <c r="A7" s="9" t="n">
        <v>-118</v>
      </c>
      <c r="B7" s="7" t="n">
        <v>44663</v>
      </c>
      <c r="C7" s="14" t="n">
        <v>1.76909154703</v>
      </c>
      <c r="D7" s="21">
        <f>100*(C7-C6)</f>
        <v/>
      </c>
      <c r="E7" s="22">
        <f>'A5 control'!BH141</f>
        <v/>
      </c>
      <c r="F7" s="9" t="n">
        <v>1</v>
      </c>
    </row>
    <row r="8">
      <c r="A8" s="9" t="n">
        <v>-117</v>
      </c>
      <c r="B8" s="7" t="n">
        <v>44664</v>
      </c>
      <c r="C8" s="14" t="n">
        <v>1.77374223796</v>
      </c>
      <c r="D8" s="21">
        <f>100*(C8-C7)</f>
        <v/>
      </c>
      <c r="E8" s="22">
        <f>'A5 control'!BH142</f>
        <v/>
      </c>
      <c r="F8" s="9" t="n">
        <v>1</v>
      </c>
    </row>
    <row r="9">
      <c r="A9" s="9" t="n">
        <v>-116</v>
      </c>
      <c r="B9" s="7" t="n">
        <v>44665</v>
      </c>
      <c r="C9" s="14" t="n">
        <v>1.8716501859</v>
      </c>
      <c r="D9" s="21">
        <f>100*(C9-C8)</f>
        <v/>
      </c>
      <c r="E9" s="22">
        <f>'A5 control'!BH143</f>
        <v/>
      </c>
      <c r="F9" s="9" t="n">
        <v>1</v>
      </c>
    </row>
    <row r="10">
      <c r="A10" s="9" t="n">
        <v>-115</v>
      </c>
      <c r="B10" s="7" t="n">
        <v>44670</v>
      </c>
      <c r="C10" s="14" t="n">
        <v>1.97373308818</v>
      </c>
      <c r="D10" s="21">
        <f>100*(C10-C9)</f>
        <v/>
      </c>
      <c r="E10" s="22">
        <f>'A5 control'!BH144</f>
        <v/>
      </c>
      <c r="F10" s="9" t="n">
        <v>1</v>
      </c>
    </row>
    <row r="11">
      <c r="A11" s="9" t="n">
        <v>-114</v>
      </c>
      <c r="B11" s="7" t="n">
        <v>44671</v>
      </c>
      <c r="C11" s="14" t="n">
        <v>1.88638910584</v>
      </c>
      <c r="D11" s="21">
        <f>100*(C11-C10)</f>
        <v/>
      </c>
      <c r="E11" s="22">
        <f>'A5 control'!BH145</f>
        <v/>
      </c>
      <c r="F11" s="9" t="n">
        <v>1</v>
      </c>
    </row>
    <row r="12">
      <c r="A12" s="9" t="n">
        <v>-113</v>
      </c>
      <c r="B12" s="7" t="n">
        <v>44672</v>
      </c>
      <c r="C12" s="14" t="n">
        <v>1.88812802867</v>
      </c>
      <c r="D12" s="21">
        <f>100*(C12-C11)</f>
        <v/>
      </c>
      <c r="E12" s="22">
        <f>'A5 control'!BH146</f>
        <v/>
      </c>
      <c r="F12" s="9" t="n">
        <v>1</v>
      </c>
    </row>
    <row r="13">
      <c r="A13" s="9" t="n">
        <v>-112</v>
      </c>
      <c r="B13" s="7" t="n">
        <v>44673</v>
      </c>
      <c r="C13" s="14" t="n">
        <v>1.81895241716</v>
      </c>
      <c r="D13" s="21">
        <f>100*(C13-C12)</f>
        <v/>
      </c>
      <c r="E13" s="22">
        <f>'A5 control'!BH147</f>
        <v/>
      </c>
      <c r="F13" s="9" t="n">
        <v>1</v>
      </c>
    </row>
    <row r="14">
      <c r="A14" s="9" t="n">
        <v>-111</v>
      </c>
      <c r="B14" s="7" t="n">
        <v>44676</v>
      </c>
      <c r="C14" s="14" t="n">
        <v>1.74150587417</v>
      </c>
      <c r="D14" s="21">
        <f>100*(C14-C13)</f>
        <v/>
      </c>
      <c r="E14" s="22">
        <f>'A5 control'!BH148</f>
        <v/>
      </c>
      <c r="F14" s="9" t="n">
        <v>1</v>
      </c>
    </row>
    <row r="15">
      <c r="A15" s="9" t="n">
        <v>-110</v>
      </c>
      <c r="B15" s="7" t="n">
        <v>44677</v>
      </c>
      <c r="C15" s="14" t="n">
        <v>1.68856086981</v>
      </c>
      <c r="D15" s="21">
        <f>100*(C15-C14)</f>
        <v/>
      </c>
      <c r="E15" s="22">
        <f>'A5 control'!BH149</f>
        <v/>
      </c>
      <c r="F15" s="9" t="n">
        <v>1</v>
      </c>
    </row>
    <row r="16">
      <c r="A16" s="9" t="n">
        <v>-109</v>
      </c>
      <c r="B16" s="7" t="n">
        <v>44678</v>
      </c>
      <c r="C16" s="14" t="n">
        <v>1.7405688236</v>
      </c>
      <c r="D16" s="21">
        <f>100*(C16-C15)</f>
        <v/>
      </c>
      <c r="E16" s="22">
        <f>'A5 control'!BH150</f>
        <v/>
      </c>
      <c r="F16" s="9" t="n">
        <v>1</v>
      </c>
    </row>
    <row r="17">
      <c r="A17" s="9" t="n">
        <v>-108</v>
      </c>
      <c r="B17" s="7" t="n">
        <v>44679</v>
      </c>
      <c r="C17" s="14" t="n">
        <v>1.81718747108</v>
      </c>
      <c r="D17" s="21">
        <f>100*(C17-C16)</f>
        <v/>
      </c>
      <c r="E17" s="22">
        <f>'A5 control'!BH151</f>
        <v/>
      </c>
      <c r="F17" s="9" t="n">
        <v>1</v>
      </c>
    </row>
    <row r="18">
      <c r="A18" s="9" t="n">
        <v>-107</v>
      </c>
      <c r="B18" s="7" t="n">
        <v>44680</v>
      </c>
      <c r="C18" s="14" t="n">
        <v>1.8528530116</v>
      </c>
      <c r="D18" s="21">
        <f>100*(C18-C17)</f>
        <v/>
      </c>
      <c r="E18" s="22">
        <f>'A5 control'!BH152</f>
        <v/>
      </c>
      <c r="F18" s="9" t="n">
        <v>1</v>
      </c>
    </row>
    <row r="19">
      <c r="A19" s="9" t="n">
        <v>-106</v>
      </c>
      <c r="B19" s="7" t="n">
        <v>44684</v>
      </c>
      <c r="C19" s="14" t="n">
        <v>1.88107601697</v>
      </c>
      <c r="D19" s="21">
        <f>100*(C19-C18)</f>
        <v/>
      </c>
      <c r="E19" s="22">
        <f>'A5 control'!BH153</f>
        <v/>
      </c>
      <c r="F19" s="9" t="n">
        <v>1</v>
      </c>
    </row>
    <row r="20">
      <c r="A20" s="9" t="n">
        <v>-105</v>
      </c>
      <c r="B20" s="7" t="n">
        <v>44685</v>
      </c>
      <c r="C20" s="14" t="n">
        <v>1.89171945213</v>
      </c>
      <c r="D20" s="21">
        <f>100*(C20-C19)</f>
        <v/>
      </c>
      <c r="E20" s="22">
        <f>'A5 control'!BH154</f>
        <v/>
      </c>
      <c r="F20" s="9" t="n">
        <v>1</v>
      </c>
    </row>
    <row r="21">
      <c r="A21" s="9" t="n">
        <v>-104</v>
      </c>
      <c r="B21" s="7" t="n">
        <v>44686</v>
      </c>
      <c r="C21" s="14" t="n">
        <v>1.92706577702</v>
      </c>
      <c r="D21" s="21">
        <f>100*(C21-C20)</f>
        <v/>
      </c>
      <c r="E21" s="22">
        <f>'A5 control'!BH155</f>
        <v/>
      </c>
      <c r="F21" s="9" t="n">
        <v>1</v>
      </c>
    </row>
    <row r="22">
      <c r="A22" s="9" t="n">
        <v>-103</v>
      </c>
      <c r="B22" s="7" t="n">
        <v>44687</v>
      </c>
      <c r="C22" s="14" t="n">
        <v>2.01196846742</v>
      </c>
      <c r="D22" s="21">
        <f>100*(C22-C21)</f>
        <v/>
      </c>
      <c r="E22" s="22">
        <f>'A5 control'!BH156</f>
        <v/>
      </c>
      <c r="F22" s="9" t="n">
        <v>1</v>
      </c>
    </row>
    <row r="23">
      <c r="A23" s="9" t="n">
        <v>-102</v>
      </c>
      <c r="B23" s="7" t="n">
        <v>44690</v>
      </c>
      <c r="C23" s="14" t="n">
        <v>1.97685914046</v>
      </c>
      <c r="D23" s="21">
        <f>100*(C23-C22)</f>
        <v/>
      </c>
      <c r="E23" s="22">
        <f>'A5 control'!BH157</f>
        <v/>
      </c>
      <c r="F23" s="9" t="n">
        <v>1</v>
      </c>
    </row>
    <row r="24">
      <c r="A24" s="9" t="n">
        <v>-101</v>
      </c>
      <c r="B24" s="7" t="n">
        <v>44691</v>
      </c>
      <c r="C24" s="14" t="n">
        <v>1.88275137738</v>
      </c>
      <c r="D24" s="21">
        <f>100*(C24-C23)</f>
        <v/>
      </c>
      <c r="E24" s="22">
        <f>'A5 control'!BH158</f>
        <v/>
      </c>
      <c r="F24" s="9" t="n">
        <v>1</v>
      </c>
    </row>
    <row r="25">
      <c r="A25" s="9" t="n">
        <v>-100</v>
      </c>
      <c r="B25" s="7" t="n">
        <v>44692</v>
      </c>
      <c r="C25" s="14" t="n">
        <v>1.94647492223</v>
      </c>
      <c r="D25" s="21">
        <f>100*(C25-C24)</f>
        <v/>
      </c>
      <c r="E25" s="22">
        <f>'A5 control'!BH159</f>
        <v/>
      </c>
      <c r="F25" s="9" t="n">
        <v>1</v>
      </c>
    </row>
    <row r="26">
      <c r="A26" s="9" t="n">
        <v>-99</v>
      </c>
      <c r="B26" s="7" t="n">
        <v>44693</v>
      </c>
      <c r="C26" s="14" t="n">
        <v>1.80752472519</v>
      </c>
      <c r="D26" s="21">
        <f>100*(C26-C25)</f>
        <v/>
      </c>
      <c r="E26" s="22">
        <f>'A5 control'!BH160</f>
        <v/>
      </c>
      <c r="F26" s="9" t="n">
        <v>1</v>
      </c>
    </row>
    <row r="27">
      <c r="A27" s="9" t="n">
        <v>-98</v>
      </c>
      <c r="B27" s="7" t="n">
        <v>44694</v>
      </c>
      <c r="C27" s="14" t="n">
        <v>1.83761939441</v>
      </c>
      <c r="D27" s="21">
        <f>100*(C27-C26)</f>
        <v/>
      </c>
      <c r="E27" s="22">
        <f>'A5 control'!BH161</f>
        <v/>
      </c>
      <c r="F27" s="9" t="n">
        <v>1</v>
      </c>
    </row>
    <row r="28">
      <c r="A28" s="9" t="n">
        <v>-97</v>
      </c>
      <c r="B28" s="7" t="n">
        <v>44697</v>
      </c>
      <c r="C28" s="14" t="n">
        <v>1.81217717227</v>
      </c>
      <c r="D28" s="21">
        <f>100*(C28-C27)</f>
        <v/>
      </c>
      <c r="E28" s="22">
        <f>'A5 control'!BH162</f>
        <v/>
      </c>
      <c r="F28" s="9" t="n">
        <v>1</v>
      </c>
    </row>
    <row r="29">
      <c r="A29" s="9" t="n">
        <v>-96</v>
      </c>
      <c r="B29" s="7" t="n">
        <v>44698</v>
      </c>
      <c r="C29" s="14" t="n">
        <v>1.90625437147</v>
      </c>
      <c r="D29" s="21">
        <f>100*(C29-C28)</f>
        <v/>
      </c>
      <c r="E29" s="22">
        <f>'A5 control'!BH163</f>
        <v/>
      </c>
      <c r="F29" s="9" t="n">
        <v>1</v>
      </c>
    </row>
    <row r="30">
      <c r="A30" s="9" t="n">
        <v>-95</v>
      </c>
      <c r="B30" s="7" t="n">
        <v>44699</v>
      </c>
      <c r="C30" s="14" t="n">
        <v>1.88869487146</v>
      </c>
      <c r="D30" s="21">
        <f>100*(C30-C29)</f>
        <v/>
      </c>
      <c r="E30" s="22">
        <f>'A5 control'!BH164</f>
        <v/>
      </c>
      <c r="F30" s="9" t="n">
        <v>1</v>
      </c>
    </row>
    <row r="31">
      <c r="A31" s="9" t="n">
        <v>-94</v>
      </c>
      <c r="B31" s="7" t="n">
        <v>44700</v>
      </c>
      <c r="C31" s="14" t="n">
        <v>1.90250582994</v>
      </c>
      <c r="D31" s="21">
        <f>100*(C31-C30)</f>
        <v/>
      </c>
      <c r="E31" s="22">
        <f>'A5 control'!BH165</f>
        <v/>
      </c>
      <c r="F31" s="9" t="n">
        <v>1</v>
      </c>
    </row>
    <row r="32">
      <c r="A32" s="9" t="n">
        <v>-93</v>
      </c>
      <c r="B32" s="7" t="n">
        <v>44701</v>
      </c>
      <c r="C32" s="14" t="n">
        <v>1.93202075899</v>
      </c>
      <c r="D32" s="21">
        <f>100*(C32-C31)</f>
        <v/>
      </c>
      <c r="E32" s="22">
        <f>'A5 control'!BH166</f>
        <v/>
      </c>
      <c r="F32" s="9" t="n">
        <v>1</v>
      </c>
    </row>
    <row r="33">
      <c r="A33" s="9" t="n">
        <v>-92</v>
      </c>
      <c r="B33" s="7" t="n">
        <v>44704</v>
      </c>
      <c r="C33" s="14" t="n">
        <v>1.99604813292</v>
      </c>
      <c r="D33" s="21">
        <f>100*(C33-C32)</f>
        <v/>
      </c>
      <c r="E33" s="22">
        <f>'A5 control'!BH167</f>
        <v/>
      </c>
      <c r="F33" s="9" t="n">
        <v>1</v>
      </c>
    </row>
    <row r="34">
      <c r="A34" s="9" t="n">
        <v>-91</v>
      </c>
      <c r="B34" s="7" t="n">
        <v>44705</v>
      </c>
      <c r="C34" s="14" t="n">
        <v>1.92266698537</v>
      </c>
      <c r="D34" s="21">
        <f>100*(C34-C33)</f>
        <v/>
      </c>
      <c r="E34" s="22">
        <f>'A5 control'!BH168</f>
        <v/>
      </c>
      <c r="F34" s="9" t="n">
        <v>1</v>
      </c>
    </row>
    <row r="35">
      <c r="A35" s="9" t="n">
        <v>-90</v>
      </c>
      <c r="B35" s="7" t="n">
        <v>44706</v>
      </c>
      <c r="C35" s="14" t="n">
        <v>1.98704087137</v>
      </c>
      <c r="D35" s="21">
        <f>100*(C35-C34)</f>
        <v/>
      </c>
      <c r="E35" s="22">
        <f>'A5 control'!BH169</f>
        <v/>
      </c>
      <c r="F35" s="9" t="n">
        <v>1</v>
      </c>
    </row>
    <row r="36">
      <c r="A36" s="9" t="n">
        <v>-89</v>
      </c>
      <c r="B36" s="7" t="n">
        <v>44707</v>
      </c>
      <c r="C36" s="14" t="n">
        <v>2.07072841758</v>
      </c>
      <c r="D36" s="21">
        <f>100*(C36-C35)</f>
        <v/>
      </c>
      <c r="E36" s="22">
        <f>'A5 control'!BH170</f>
        <v/>
      </c>
      <c r="F36" s="9" t="n">
        <v>1</v>
      </c>
    </row>
    <row r="37">
      <c r="A37" s="9" t="n">
        <v>-88</v>
      </c>
      <c r="B37" s="7" t="n">
        <v>44708</v>
      </c>
      <c r="C37" s="14" t="n">
        <v>2.0521065354</v>
      </c>
      <c r="D37" s="21">
        <f>100*(C37-C36)</f>
        <v/>
      </c>
      <c r="E37" s="22">
        <f>'A5 control'!BH171</f>
        <v/>
      </c>
      <c r="F37" s="9" t="n">
        <v>1</v>
      </c>
    </row>
    <row r="38">
      <c r="A38" s="9" t="n">
        <v>-87</v>
      </c>
      <c r="B38" s="7" t="n">
        <v>44711</v>
      </c>
      <c r="C38" s="14" t="n">
        <v>2.09552811709</v>
      </c>
      <c r="D38" s="21">
        <f>100*(C38-C37)</f>
        <v/>
      </c>
      <c r="E38" s="22">
        <f>'A5 control'!BH172</f>
        <v/>
      </c>
      <c r="F38" s="9" t="n">
        <v>1</v>
      </c>
    </row>
    <row r="39">
      <c r="A39" s="9" t="n">
        <v>-86</v>
      </c>
      <c r="B39" s="7" t="n">
        <v>44712</v>
      </c>
      <c r="C39" s="14" t="n">
        <v>2.25390282091</v>
      </c>
      <c r="D39" s="21">
        <f>100*(C39-C38)</f>
        <v/>
      </c>
      <c r="E39" s="22">
        <f>'A5 control'!BH173</f>
        <v/>
      </c>
      <c r="F39" s="9" t="n">
        <v>1</v>
      </c>
    </row>
    <row r="40">
      <c r="A40" s="9" t="n">
        <v>-85</v>
      </c>
      <c r="B40" s="7" t="n">
        <v>44713</v>
      </c>
      <c r="C40" s="14" t="n">
        <v>2.25170326277</v>
      </c>
      <c r="D40" s="21">
        <f>100*(C40-C39)</f>
        <v/>
      </c>
      <c r="E40" s="22">
        <f>'A5 control'!BH174</f>
        <v/>
      </c>
      <c r="F40" s="9" t="n">
        <v>1</v>
      </c>
    </row>
    <row r="41">
      <c r="A41" s="9" t="n">
        <v>-84</v>
      </c>
      <c r="B41" s="7" t="n">
        <v>44718</v>
      </c>
      <c r="C41" s="14" t="n">
        <v>2.33448364345</v>
      </c>
      <c r="D41" s="21">
        <f>100*(C41-C40)</f>
        <v/>
      </c>
      <c r="E41" s="22">
        <f>'A5 control'!BH175</f>
        <v/>
      </c>
      <c r="F41" s="9" t="n">
        <v>1</v>
      </c>
    </row>
    <row r="42">
      <c r="A42" s="9" t="n">
        <v>-83</v>
      </c>
      <c r="B42" s="7" t="n">
        <v>44719</v>
      </c>
      <c r="C42" s="14" t="n">
        <v>2.25253780806</v>
      </c>
      <c r="D42" s="21">
        <f>100*(C42-C41)</f>
        <v/>
      </c>
      <c r="E42" s="22">
        <f>'A5 control'!BH176</f>
        <v/>
      </c>
      <c r="F42" s="9" t="n">
        <v>1</v>
      </c>
    </row>
    <row r="43">
      <c r="A43" s="9" t="n">
        <v>-82</v>
      </c>
      <c r="B43" s="7" t="n">
        <v>44720</v>
      </c>
      <c r="C43" s="14" t="n">
        <v>2.29587924242</v>
      </c>
      <c r="D43" s="21">
        <f>100*(C43-C42)</f>
        <v/>
      </c>
      <c r="E43" s="22">
        <f>'A5 control'!BH177</f>
        <v/>
      </c>
      <c r="F43" s="9" t="n">
        <v>1</v>
      </c>
    </row>
    <row r="44">
      <c r="A44" s="9" t="n">
        <v>-81</v>
      </c>
      <c r="B44" s="7" t="n">
        <v>44721</v>
      </c>
      <c r="C44" s="14" t="n">
        <v>2.30668632977</v>
      </c>
      <c r="D44" s="21">
        <f>100*(C44-C43)</f>
        <v/>
      </c>
      <c r="E44" s="22">
        <f>'A5 control'!BH178</f>
        <v/>
      </c>
      <c r="F44" s="9" t="n">
        <v>1</v>
      </c>
    </row>
    <row r="45">
      <c r="A45" s="9" t="n">
        <v>-80</v>
      </c>
      <c r="B45" s="7" t="n">
        <v>44722</v>
      </c>
      <c r="C45" s="14" t="n">
        <v>2.36436252587</v>
      </c>
      <c r="D45" s="21">
        <f>100*(C45-C44)</f>
        <v/>
      </c>
      <c r="E45" s="22">
        <f>'A5 control'!BH179</f>
        <v/>
      </c>
      <c r="F45" s="9" t="n">
        <v>1</v>
      </c>
    </row>
    <row r="46">
      <c r="A46" s="9" t="n">
        <v>-79</v>
      </c>
      <c r="B46" s="7" t="n">
        <v>44725</v>
      </c>
      <c r="C46" s="14" t="n">
        <v>2.42978950501</v>
      </c>
      <c r="D46" s="21">
        <f>100*(C46-C45)</f>
        <v/>
      </c>
      <c r="E46" s="22">
        <f>'A5 control'!BH180</f>
        <v/>
      </c>
      <c r="F46" s="9" t="n">
        <v>1</v>
      </c>
    </row>
    <row r="47">
      <c r="A47" s="9" t="n">
        <v>-78</v>
      </c>
      <c r="B47" s="7" t="n">
        <v>44726</v>
      </c>
      <c r="C47" s="14" t="n">
        <v>2.50696159522</v>
      </c>
      <c r="D47" s="21">
        <f>100*(C47-C46)</f>
        <v/>
      </c>
      <c r="E47" s="22">
        <f>'A5 control'!BH181</f>
        <v/>
      </c>
      <c r="F47" s="9" t="n">
        <v>1</v>
      </c>
    </row>
    <row r="48">
      <c r="A48" s="9" t="n">
        <v>-77</v>
      </c>
      <c r="B48" s="7" t="n">
        <v>44727</v>
      </c>
      <c r="C48" s="14" t="n">
        <v>2.44543018744</v>
      </c>
      <c r="D48" s="21">
        <f>100*(C48-C47)</f>
        <v/>
      </c>
      <c r="E48" s="22">
        <f>'A5 control'!BH182</f>
        <v/>
      </c>
      <c r="F48" s="9" t="n">
        <v>1</v>
      </c>
    </row>
    <row r="49">
      <c r="A49" s="9" t="n">
        <v>-76</v>
      </c>
      <c r="B49" s="7" t="n">
        <v>44728</v>
      </c>
      <c r="C49" s="14" t="n">
        <v>2.48198844498</v>
      </c>
      <c r="D49" s="21">
        <f>100*(C49-C48)</f>
        <v/>
      </c>
      <c r="E49" s="22">
        <f>'A5 control'!BH183</f>
        <v/>
      </c>
      <c r="F49" s="9" t="n">
        <v>1</v>
      </c>
    </row>
    <row r="50">
      <c r="A50" s="9" t="n">
        <v>-75</v>
      </c>
      <c r="B50" s="7" t="n">
        <v>44729</v>
      </c>
      <c r="C50" s="14" t="n">
        <v>2.47610851977</v>
      </c>
      <c r="D50" s="21">
        <f>100*(C50-C49)</f>
        <v/>
      </c>
      <c r="E50" s="22">
        <f>'A5 control'!BH184</f>
        <v/>
      </c>
      <c r="F50" s="9" t="n">
        <v>1</v>
      </c>
    </row>
    <row r="51">
      <c r="A51" s="9" t="n">
        <v>-74</v>
      </c>
      <c r="B51" s="7" t="n">
        <v>44732</v>
      </c>
      <c r="C51" s="14" t="n">
        <v>2.61381674175</v>
      </c>
      <c r="D51" s="21">
        <f>100*(C51-C50)</f>
        <v/>
      </c>
      <c r="E51" s="22">
        <f>'A5 control'!BH185</f>
        <v/>
      </c>
      <c r="F51" s="9" t="n">
        <v>1</v>
      </c>
    </row>
    <row r="52">
      <c r="A52" s="9" t="n">
        <v>-73</v>
      </c>
      <c r="B52" s="7" t="n">
        <v>44733</v>
      </c>
      <c r="C52" s="14" t="n">
        <v>2.71141126414</v>
      </c>
      <c r="D52" s="21">
        <f>100*(C52-C51)</f>
        <v/>
      </c>
      <c r="E52" s="22">
        <f>'A5 control'!BH186</f>
        <v/>
      </c>
      <c r="F52" s="9" t="n">
        <v>1</v>
      </c>
    </row>
    <row r="53">
      <c r="A53" s="9" t="n">
        <v>-72</v>
      </c>
      <c r="B53" s="7" t="n">
        <v>44734</v>
      </c>
      <c r="C53" s="14" t="n">
        <v>2.55928832178</v>
      </c>
      <c r="D53" s="21">
        <f>100*(C53-C52)</f>
        <v/>
      </c>
      <c r="E53" s="22">
        <f>'A5 control'!BH187</f>
        <v/>
      </c>
      <c r="F53" s="9" t="n">
        <v>1</v>
      </c>
    </row>
    <row r="54">
      <c r="A54" s="9" t="n">
        <v>-71</v>
      </c>
      <c r="B54" s="7" t="n">
        <v>44735</v>
      </c>
      <c r="C54" s="14" t="n">
        <v>2.38939853677</v>
      </c>
      <c r="D54" s="21">
        <f>100*(C54-C53)</f>
        <v/>
      </c>
      <c r="E54" s="22">
        <f>'A5 control'!BH188</f>
        <v/>
      </c>
      <c r="F54" s="9" t="n">
        <v>1</v>
      </c>
    </row>
    <row r="55">
      <c r="A55" s="9" t="n">
        <v>-70</v>
      </c>
      <c r="B55" s="7" t="n">
        <v>44736</v>
      </c>
      <c r="C55" s="14" t="n">
        <v>2.37802798264</v>
      </c>
      <c r="D55" s="21">
        <f>100*(C55-C54)</f>
        <v/>
      </c>
      <c r="E55" s="22">
        <f>'A5 control'!BH189</f>
        <v/>
      </c>
      <c r="F55" s="9" t="n">
        <v>1</v>
      </c>
    </row>
    <row r="56">
      <c r="A56" s="9" t="n">
        <v>-69</v>
      </c>
      <c r="B56" s="7" t="n">
        <v>44739</v>
      </c>
      <c r="C56" s="14" t="n">
        <v>2.46742497212</v>
      </c>
      <c r="D56" s="21">
        <f>100*(C56-C55)</f>
        <v/>
      </c>
      <c r="E56" s="22">
        <f>'A5 control'!BH190</f>
        <v/>
      </c>
      <c r="F56" s="9" t="n">
        <v>1</v>
      </c>
    </row>
    <row r="57">
      <c r="A57" s="9" t="n">
        <v>-68</v>
      </c>
      <c r="B57" s="7" t="n">
        <v>44740</v>
      </c>
      <c r="C57" s="14" t="n">
        <v>2.54121578933</v>
      </c>
      <c r="D57" s="21">
        <f>100*(C57-C56)</f>
        <v/>
      </c>
      <c r="E57" s="22">
        <f>'A5 control'!BH191</f>
        <v/>
      </c>
      <c r="F57" s="9" t="n">
        <v>1</v>
      </c>
    </row>
    <row r="58">
      <c r="A58" s="9" t="n">
        <v>-67</v>
      </c>
      <c r="B58" s="7" t="n">
        <v>44741</v>
      </c>
      <c r="C58" s="14" t="n">
        <v>2.48824745445</v>
      </c>
      <c r="D58" s="21">
        <f>100*(C58-C57)</f>
        <v/>
      </c>
      <c r="E58" s="22">
        <f>'A5 control'!BH192</f>
        <v/>
      </c>
      <c r="F58" s="9" t="n">
        <v>1</v>
      </c>
    </row>
    <row r="59">
      <c r="A59" s="9" t="n">
        <v>-66</v>
      </c>
      <c r="B59" s="7" t="n">
        <v>44742</v>
      </c>
      <c r="C59" s="14" t="n">
        <v>2.42340772279</v>
      </c>
      <c r="D59" s="21">
        <f>100*(C59-C58)</f>
        <v/>
      </c>
      <c r="E59" s="22">
        <f>'A5 control'!BH193</f>
        <v/>
      </c>
      <c r="F59" s="9" t="n">
        <v>1</v>
      </c>
    </row>
    <row r="60">
      <c r="A60" s="9" t="n">
        <v>-65</v>
      </c>
      <c r="B60" s="7" t="n">
        <v>44743</v>
      </c>
      <c r="C60" s="14" t="n">
        <v>2.29578610929</v>
      </c>
      <c r="D60" s="21">
        <f>100*(C60-C59)</f>
        <v/>
      </c>
      <c r="E60" s="22">
        <f>'A5 control'!BH194</f>
        <v/>
      </c>
      <c r="F60" s="9" t="n">
        <v>1</v>
      </c>
    </row>
    <row r="61">
      <c r="A61" s="9" t="n">
        <v>-64</v>
      </c>
      <c r="B61" s="7" t="n">
        <v>44746</v>
      </c>
      <c r="C61" s="14" t="n">
        <v>2.4380921639</v>
      </c>
      <c r="D61" s="21">
        <f>100*(C61-C60)</f>
        <v/>
      </c>
      <c r="E61" s="22">
        <f>'A5 control'!BH195</f>
        <v/>
      </c>
      <c r="F61" s="9" t="n">
        <v>1</v>
      </c>
    </row>
    <row r="62">
      <c r="A62" s="9" t="n">
        <v>-63</v>
      </c>
      <c r="B62" s="7" t="n">
        <v>44747</v>
      </c>
      <c r="C62" s="14" t="n">
        <v>2.35685841076</v>
      </c>
      <c r="D62" s="21">
        <f>100*(C62-C61)</f>
        <v/>
      </c>
      <c r="E62" s="22">
        <f>'A5 control'!BH196</f>
        <v/>
      </c>
      <c r="F62" s="9" t="n">
        <v>1</v>
      </c>
    </row>
    <row r="63">
      <c r="A63" s="9" t="n">
        <v>-62</v>
      </c>
      <c r="B63" s="7" t="n">
        <v>44748</v>
      </c>
      <c r="C63" s="14" t="n">
        <v>2.39875058901</v>
      </c>
      <c r="D63" s="21">
        <f>100*(C63-C62)</f>
        <v/>
      </c>
      <c r="E63" s="22">
        <f>'A5 control'!BH197</f>
        <v/>
      </c>
      <c r="F63" s="9" t="n">
        <v>1</v>
      </c>
    </row>
    <row r="64">
      <c r="A64" s="9" t="n">
        <v>-61</v>
      </c>
      <c r="B64" s="7" t="n">
        <v>44749</v>
      </c>
      <c r="C64" s="14" t="n">
        <v>2.4023244621</v>
      </c>
      <c r="D64" s="21">
        <f>100*(C64-C63)</f>
        <v/>
      </c>
      <c r="E64" s="22">
        <f>'A5 control'!BH198</f>
        <v/>
      </c>
      <c r="F64" s="9" t="n">
        <v>1</v>
      </c>
    </row>
    <row r="65">
      <c r="A65" s="9" t="n">
        <v>-60</v>
      </c>
      <c r="B65" s="7" t="n">
        <v>44750</v>
      </c>
      <c r="C65" s="14" t="n">
        <v>2.49088285901</v>
      </c>
      <c r="D65" s="21">
        <f>100*(C65-C64)</f>
        <v/>
      </c>
      <c r="E65" s="22">
        <f>'A5 control'!BH199</f>
        <v/>
      </c>
      <c r="F65" s="9" t="n">
        <v>1</v>
      </c>
    </row>
    <row r="66">
      <c r="A66" s="9" t="n">
        <v>-59</v>
      </c>
      <c r="B66" s="7" t="n">
        <v>44753</v>
      </c>
      <c r="C66" s="14" t="n">
        <v>2.47747688125</v>
      </c>
      <c r="D66" s="21">
        <f>100*(C66-C65)</f>
        <v/>
      </c>
      <c r="E66" s="22">
        <f>'A5 control'!BH200</f>
        <v/>
      </c>
      <c r="F66" s="9" t="n">
        <v>1</v>
      </c>
    </row>
    <row r="67">
      <c r="A67" s="9" t="n">
        <v>-58</v>
      </c>
      <c r="B67" s="7" t="n">
        <v>44754</v>
      </c>
      <c r="C67" s="14" t="n">
        <v>2.4918961471</v>
      </c>
      <c r="D67" s="21">
        <f>100*(C67-C66)</f>
        <v/>
      </c>
      <c r="E67" s="22">
        <f>'A5 control'!BH201</f>
        <v/>
      </c>
      <c r="F67" s="9" t="n">
        <v>1</v>
      </c>
    </row>
    <row r="68">
      <c r="A68" s="9" t="n">
        <v>-57</v>
      </c>
      <c r="B68" s="7" t="n">
        <v>44755</v>
      </c>
      <c r="C68" s="14" t="n">
        <v>2.44803577814</v>
      </c>
      <c r="D68" s="21">
        <f>100*(C68-C67)</f>
        <v/>
      </c>
      <c r="E68" s="22">
        <f>'A5 control'!BH202</f>
        <v/>
      </c>
      <c r="F68" s="9" t="n">
        <v>1</v>
      </c>
    </row>
    <row r="69">
      <c r="A69" s="9" t="n">
        <v>-56</v>
      </c>
      <c r="B69" s="7" t="n">
        <v>44756</v>
      </c>
      <c r="C69" s="14" t="n">
        <v>2.45711200334</v>
      </c>
      <c r="D69" s="21">
        <f>100*(C69-C68)</f>
        <v/>
      </c>
      <c r="E69" s="22">
        <f>'A5 control'!BH203</f>
        <v/>
      </c>
      <c r="F69" s="9" t="n">
        <v>1</v>
      </c>
    </row>
    <row r="70">
      <c r="A70" s="9" t="n">
        <v>-55</v>
      </c>
      <c r="B70" s="7" t="n">
        <v>44757</v>
      </c>
      <c r="C70" s="14" t="n">
        <v>2.51846730072</v>
      </c>
      <c r="D70" s="21">
        <f>100*(C70-C69)</f>
        <v/>
      </c>
      <c r="E70" s="22">
        <f>'A5 control'!BH204</f>
        <v/>
      </c>
      <c r="F70" s="9" t="n">
        <v>1</v>
      </c>
    </row>
    <row r="71">
      <c r="A71" s="9" t="n">
        <v>-54</v>
      </c>
      <c r="B71" s="7" t="n">
        <v>44760</v>
      </c>
      <c r="C71" s="14" t="n">
        <v>2.54475109853</v>
      </c>
      <c r="D71" s="21">
        <f>100*(C71-C70)</f>
        <v/>
      </c>
      <c r="E71" s="22">
        <f>'A5 control'!BH205</f>
        <v/>
      </c>
      <c r="F71" s="9" t="n">
        <v>1</v>
      </c>
    </row>
    <row r="72">
      <c r="A72" s="9" t="n">
        <v>-53</v>
      </c>
      <c r="B72" s="7" t="n">
        <v>44761</v>
      </c>
      <c r="C72" s="14" t="n">
        <v>2.58770675957</v>
      </c>
      <c r="D72" s="21">
        <f>100*(C72-C71)</f>
        <v/>
      </c>
      <c r="E72" s="22">
        <f>'A5 control'!BH206</f>
        <v/>
      </c>
      <c r="F72" s="9" t="n">
        <v>1</v>
      </c>
    </row>
    <row r="73">
      <c r="A73" s="9" t="n">
        <v>-52</v>
      </c>
      <c r="B73" s="7" t="n">
        <v>44762</v>
      </c>
      <c r="C73" s="14" t="n">
        <v>2.5387459093</v>
      </c>
      <c r="D73" s="21">
        <f>100*(C73-C72)</f>
        <v/>
      </c>
      <c r="E73" s="22">
        <f>'A5 control'!BH207</f>
        <v/>
      </c>
      <c r="F73" s="9" t="n">
        <v>1</v>
      </c>
    </row>
    <row r="74">
      <c r="A74" s="9" t="n">
        <v>-51</v>
      </c>
      <c r="B74" s="7" t="n">
        <v>44763</v>
      </c>
      <c r="C74" s="14" t="n">
        <v>2.35886924019</v>
      </c>
      <c r="D74" s="21">
        <f>100*(C74-C73)</f>
        <v/>
      </c>
      <c r="E74" s="22">
        <f>'A5 control'!BH208</f>
        <v/>
      </c>
      <c r="F74" s="9" t="n">
        <v>1</v>
      </c>
    </row>
    <row r="75">
      <c r="A75" s="9" t="n">
        <v>-50</v>
      </c>
      <c r="B75" s="7" t="n">
        <v>44764</v>
      </c>
      <c r="C75" s="14" t="n">
        <v>2.30265405467</v>
      </c>
      <c r="D75" s="21">
        <f>100*(C75-C74)</f>
        <v/>
      </c>
      <c r="E75" s="22">
        <f>'A5 control'!BH209</f>
        <v/>
      </c>
      <c r="F75" s="9" t="n">
        <v>1</v>
      </c>
    </row>
    <row r="76">
      <c r="A76" s="9" t="n">
        <v>-49</v>
      </c>
      <c r="B76" s="7" t="n">
        <v>44767</v>
      </c>
      <c r="C76" s="14" t="n">
        <v>2.38143166614</v>
      </c>
      <c r="D76" s="21">
        <f>100*(C76-C75)</f>
        <v/>
      </c>
      <c r="E76" s="22">
        <f>'A5 control'!BH210</f>
        <v/>
      </c>
      <c r="F76" s="9" t="n">
        <v>1</v>
      </c>
    </row>
    <row r="77">
      <c r="A77" s="9" t="n">
        <v>-48</v>
      </c>
      <c r="B77" s="7" t="n">
        <v>44768</v>
      </c>
      <c r="C77" s="14" t="n">
        <v>2.36393745811</v>
      </c>
      <c r="D77" s="21">
        <f>100*(C77-C76)</f>
        <v/>
      </c>
      <c r="E77" s="22">
        <f>'A5 control'!BH211</f>
        <v/>
      </c>
      <c r="F77" s="9" t="n">
        <v>1</v>
      </c>
    </row>
    <row r="78">
      <c r="A78" s="9" t="n">
        <v>-47</v>
      </c>
      <c r="B78" s="7" t="n">
        <v>44769</v>
      </c>
      <c r="C78" s="14" t="n">
        <v>2.42701937573</v>
      </c>
      <c r="D78" s="21">
        <f>100*(C78-C77)</f>
        <v/>
      </c>
      <c r="E78" s="22">
        <f>'A5 control'!BH212</f>
        <v/>
      </c>
      <c r="F78" s="9" t="n">
        <v>1</v>
      </c>
    </row>
    <row r="79">
      <c r="A79" s="9" t="n">
        <v>-46</v>
      </c>
      <c r="B79" s="7" t="n">
        <v>44770</v>
      </c>
      <c r="C79" s="14" t="n">
        <v>2.3093207143</v>
      </c>
      <c r="D79" s="21">
        <f>100*(C79-C78)</f>
        <v/>
      </c>
      <c r="E79" s="22">
        <f>'A5 control'!BH213</f>
        <v/>
      </c>
      <c r="F79" s="9" t="n">
        <v>1</v>
      </c>
    </row>
    <row r="80">
      <c r="A80" s="9" t="n">
        <v>-45</v>
      </c>
      <c r="B80" s="7" t="n">
        <v>44771</v>
      </c>
      <c r="C80" s="14" t="n">
        <v>2.26396161833</v>
      </c>
      <c r="D80" s="21">
        <f>100*(C80-C79)</f>
        <v/>
      </c>
      <c r="E80" s="22">
        <f>'A5 control'!BH214</f>
        <v/>
      </c>
      <c r="F80" s="9" t="n">
        <v>1</v>
      </c>
    </row>
    <row r="81">
      <c r="A81" s="9" t="n">
        <v>-44</v>
      </c>
      <c r="B81" s="7" t="n">
        <v>44774</v>
      </c>
      <c r="C81" s="14" t="n">
        <v>2.12354086026</v>
      </c>
      <c r="D81" s="21">
        <f>100*(C81-C80)</f>
        <v/>
      </c>
      <c r="E81" s="22">
        <f>'A5 control'!BH215</f>
        <v/>
      </c>
      <c r="F81" s="9" t="n">
        <v>1</v>
      </c>
    </row>
    <row r="82">
      <c r="A82" s="9" t="n">
        <v>-43</v>
      </c>
      <c r="B82" s="7" t="n">
        <v>44775</v>
      </c>
      <c r="C82" s="14" t="n">
        <v>2.09530124283</v>
      </c>
      <c r="D82" s="21">
        <f>100*(C82-C81)</f>
        <v/>
      </c>
      <c r="E82" s="22">
        <f>'A5 control'!BH216</f>
        <v/>
      </c>
      <c r="F82" s="9" t="n">
        <v>1</v>
      </c>
    </row>
    <row r="83">
      <c r="A83" s="9" t="n">
        <v>-42</v>
      </c>
      <c r="B83" s="7" t="n">
        <v>44776</v>
      </c>
      <c r="C83" s="14" t="n">
        <v>2.150256362</v>
      </c>
      <c r="D83" s="21">
        <f>100*(C83-C82)</f>
        <v/>
      </c>
      <c r="E83" s="22">
        <f>'A5 control'!BH217</f>
        <v/>
      </c>
      <c r="F83" s="9" t="n">
        <v>1</v>
      </c>
    </row>
    <row r="84">
      <c r="A84" s="9" t="n">
        <v>-41</v>
      </c>
      <c r="B84" s="7" t="n">
        <v>44777</v>
      </c>
      <c r="C84" s="14" t="n">
        <v>2.10111678318</v>
      </c>
      <c r="D84" s="21">
        <f>100*(C84-C83)</f>
        <v/>
      </c>
      <c r="E84" s="22">
        <f>'A5 control'!BH218</f>
        <v/>
      </c>
      <c r="F84" s="9" t="n">
        <v>1</v>
      </c>
    </row>
    <row r="85">
      <c r="A85" s="9" t="n">
        <v>-40</v>
      </c>
      <c r="B85" s="7" t="n">
        <v>44778</v>
      </c>
      <c r="C85" s="14" t="n">
        <v>2.25787774275</v>
      </c>
      <c r="D85" s="21">
        <f>100*(C85-C84)</f>
        <v/>
      </c>
      <c r="E85" s="22">
        <f>'A5 control'!BH219</f>
        <v/>
      </c>
      <c r="F85" s="9" t="n">
        <v>1</v>
      </c>
    </row>
    <row r="86">
      <c r="A86" s="9" t="n">
        <v>-39</v>
      </c>
      <c r="B86" s="7" t="n">
        <v>44781</v>
      </c>
      <c r="C86" s="14" t="n">
        <v>2.19043655134</v>
      </c>
      <c r="D86" s="21">
        <f>100*(C86-C85)</f>
        <v/>
      </c>
      <c r="E86" s="22">
        <f>'A5 control'!BH220</f>
        <v/>
      </c>
      <c r="F86" s="9" t="n">
        <v>1</v>
      </c>
    </row>
    <row r="87">
      <c r="A87" s="9" t="n">
        <v>-38</v>
      </c>
      <c r="B87" s="7" t="n">
        <v>44782</v>
      </c>
      <c r="C87" s="14" t="n">
        <v>2.20346189942</v>
      </c>
      <c r="D87" s="21">
        <f>100*(C87-C86)</f>
        <v/>
      </c>
      <c r="E87" s="22">
        <f>'A5 control'!BH221</f>
        <v/>
      </c>
      <c r="F87" s="9" t="n">
        <v>1</v>
      </c>
    </row>
    <row r="88">
      <c r="A88" s="9" t="n">
        <v>-37</v>
      </c>
      <c r="B88" s="7" t="n">
        <v>44783</v>
      </c>
      <c r="C88" s="14" t="n">
        <v>2.18247679142</v>
      </c>
      <c r="D88" s="21">
        <f>100*(C88-C87)</f>
        <v/>
      </c>
      <c r="E88" s="22">
        <f>'A5 control'!BH222</f>
        <v/>
      </c>
      <c r="F88" s="9" t="n">
        <v>1</v>
      </c>
    </row>
    <row r="89">
      <c r="A89" s="9" t="n">
        <v>-36</v>
      </c>
      <c r="B89" s="7" t="n">
        <v>44784</v>
      </c>
      <c r="C89" s="14" t="n">
        <v>2.32023401334</v>
      </c>
      <c r="D89" s="21">
        <f>100*(C89-C88)</f>
        <v/>
      </c>
      <c r="E89" s="22">
        <f>'A5 control'!BH223</f>
        <v/>
      </c>
      <c r="F89" s="9" t="n">
        <v>1</v>
      </c>
    </row>
    <row r="90">
      <c r="A90" s="9" t="n">
        <v>-35</v>
      </c>
      <c r="B90" s="7" t="n">
        <v>44785</v>
      </c>
      <c r="C90" s="14" t="n">
        <v>2.41357877094</v>
      </c>
      <c r="D90" s="21">
        <f>100*(C90-C89)</f>
        <v/>
      </c>
      <c r="E90" s="22">
        <f>'A5 control'!BH224</f>
        <v/>
      </c>
      <c r="F90" s="9" t="n">
        <v>1</v>
      </c>
    </row>
    <row r="91">
      <c r="A91" s="9" t="n">
        <v>-34</v>
      </c>
      <c r="B91" s="7" t="n">
        <v>44788</v>
      </c>
      <c r="C91" s="14" t="n">
        <v>2.30484015911</v>
      </c>
      <c r="D91" s="21">
        <f>100*(C91-C90)</f>
        <v/>
      </c>
      <c r="E91" s="22">
        <f>'A5 control'!BH225</f>
        <v/>
      </c>
      <c r="F91" s="9" t="n">
        <v>1</v>
      </c>
    </row>
    <row r="92">
      <c r="A92" s="9" t="n">
        <v>-33</v>
      </c>
      <c r="B92" s="7" t="n">
        <v>44789</v>
      </c>
      <c r="C92" s="14" t="n">
        <v>2.39140266549</v>
      </c>
      <c r="D92" s="21">
        <f>100*(C92-C91)</f>
        <v/>
      </c>
      <c r="E92" s="22">
        <f>'A5 control'!BH226</f>
        <v/>
      </c>
      <c r="F92" s="9" t="n">
        <v>1</v>
      </c>
    </row>
    <row r="93">
      <c r="A93" s="9" t="n">
        <v>-32</v>
      </c>
      <c r="B93" s="7" t="n">
        <v>44790</v>
      </c>
      <c r="C93" s="14" t="n">
        <v>2.46196277809</v>
      </c>
      <c r="D93" s="21">
        <f>100*(C93-C92)</f>
        <v/>
      </c>
      <c r="E93" s="22">
        <f>'A5 control'!BH227</f>
        <v/>
      </c>
      <c r="F93" s="9" t="n">
        <v>1</v>
      </c>
    </row>
    <row r="94">
      <c r="A94" s="9" t="n">
        <v>-31</v>
      </c>
      <c r="B94" s="7" t="n">
        <v>44791</v>
      </c>
      <c r="C94" s="14" t="n">
        <v>2.41835936772</v>
      </c>
      <c r="D94" s="21">
        <f>100*(C94-C93)</f>
        <v/>
      </c>
      <c r="E94" s="22">
        <f>'A5 control'!BH228</f>
        <v/>
      </c>
      <c r="F94" s="9" t="n">
        <v>1</v>
      </c>
    </row>
    <row r="95">
      <c r="A95" s="9" t="n">
        <v>-30</v>
      </c>
      <c r="B95" s="7" t="n">
        <v>44792</v>
      </c>
      <c r="C95" s="14" t="n">
        <v>2.52633833706</v>
      </c>
      <c r="D95" s="21">
        <f>100*(C95-C94)</f>
        <v/>
      </c>
      <c r="E95" s="22">
        <f>'A5 control'!BH229</f>
        <v/>
      </c>
      <c r="F95" s="9" t="n">
        <v>1</v>
      </c>
    </row>
    <row r="96">
      <c r="A96" s="9" t="n">
        <v>-29</v>
      </c>
      <c r="B96" s="7" t="n">
        <v>44795</v>
      </c>
      <c r="C96" s="14" t="n">
        <v>2.63855226369</v>
      </c>
      <c r="D96" s="21">
        <f>100*(C96-C95)</f>
        <v/>
      </c>
      <c r="E96" s="22">
        <f>'A5 control'!BH230</f>
        <v/>
      </c>
      <c r="F96" s="9" t="n">
        <v>1</v>
      </c>
    </row>
    <row r="97">
      <c r="A97" s="9" t="n">
        <v>-28</v>
      </c>
      <c r="B97" s="7" t="n">
        <v>44796</v>
      </c>
      <c r="C97" s="14" t="n">
        <v>2.67063772104</v>
      </c>
      <c r="D97" s="21">
        <f>100*(C97-C96)</f>
        <v/>
      </c>
      <c r="E97" s="22">
        <f>'A5 control'!BH231</f>
        <v/>
      </c>
      <c r="F97" s="9" t="n">
        <v>1</v>
      </c>
    </row>
    <row r="98">
      <c r="A98" s="9" t="n">
        <v>-27</v>
      </c>
      <c r="B98" s="7" t="n">
        <v>44797</v>
      </c>
      <c r="C98" s="14" t="n">
        <v>2.70710223979</v>
      </c>
      <c r="D98" s="21">
        <f>100*(C98-C97)</f>
        <v/>
      </c>
      <c r="E98" s="22">
        <f>'A5 control'!BH232</f>
        <v/>
      </c>
      <c r="F98" s="9" t="n">
        <v>1</v>
      </c>
    </row>
    <row r="99">
      <c r="A99" s="9" t="n">
        <v>-26</v>
      </c>
      <c r="B99" s="7" t="n">
        <v>44798</v>
      </c>
      <c r="C99" s="14" t="n">
        <v>2.66476317321</v>
      </c>
      <c r="D99" s="21">
        <f>100*(C99-C98)</f>
        <v/>
      </c>
      <c r="E99" s="22">
        <f>'A5 control'!BH233</f>
        <v/>
      </c>
      <c r="F99" s="9" t="n">
        <v>1</v>
      </c>
    </row>
    <row r="100">
      <c r="A100" s="9" t="n">
        <v>-25</v>
      </c>
      <c r="B100" s="7" t="n">
        <v>44799</v>
      </c>
      <c r="C100" s="14" t="n">
        <v>2.61719936006</v>
      </c>
      <c r="D100" s="21">
        <f>100*(C100-C99)</f>
        <v/>
      </c>
      <c r="E100" s="22">
        <f>'A5 control'!BH234</f>
        <v/>
      </c>
      <c r="F100" s="9" t="n">
        <v>1</v>
      </c>
    </row>
    <row r="101">
      <c r="A101" s="9" t="n">
        <v>-24</v>
      </c>
      <c r="B101" s="7" t="n">
        <v>44803</v>
      </c>
      <c r="C101" s="14" t="n">
        <v>2.73607481078</v>
      </c>
      <c r="D101" s="21">
        <f>100*(C101-C100)</f>
        <v/>
      </c>
      <c r="E101" s="22">
        <f>'A5 control'!BH235</f>
        <v/>
      </c>
      <c r="F101" s="9" t="n">
        <v>1</v>
      </c>
    </row>
    <row r="102">
      <c r="A102" s="9" t="n">
        <v>-23</v>
      </c>
      <c r="B102" s="7" t="n">
        <v>44804</v>
      </c>
      <c r="C102" s="14" t="n">
        <v>2.82460050395</v>
      </c>
      <c r="D102" s="21">
        <f>100*(C102-C101)</f>
        <v/>
      </c>
      <c r="E102" s="22">
        <f>'A5 control'!BH236</f>
        <v/>
      </c>
      <c r="F102" s="9" t="n">
        <v>1</v>
      </c>
    </row>
    <row r="103">
      <c r="A103" s="9" t="n">
        <v>-22</v>
      </c>
      <c r="B103" s="7" t="n">
        <v>44805</v>
      </c>
      <c r="C103" s="14" t="n">
        <v>2.96803894418</v>
      </c>
      <c r="D103" s="21">
        <f>100*(C103-C102)</f>
        <v/>
      </c>
      <c r="E103" s="22">
        <f>'A5 control'!BH237</f>
        <v/>
      </c>
      <c r="F103" s="9" t="n">
        <v>1</v>
      </c>
    </row>
    <row r="104">
      <c r="A104" s="9" t="n">
        <v>-21</v>
      </c>
      <c r="B104" s="7" t="n">
        <v>44806</v>
      </c>
      <c r="C104" s="14" t="n">
        <v>3.01932951343</v>
      </c>
      <c r="D104" s="21">
        <f>100*(C104-C103)</f>
        <v/>
      </c>
      <c r="E104" s="22">
        <f>'A5 control'!BH238</f>
        <v/>
      </c>
      <c r="F104" s="9" t="n">
        <v>1</v>
      </c>
    </row>
    <row r="105">
      <c r="A105" s="9" t="n">
        <v>-20</v>
      </c>
      <c r="B105" s="7" t="n">
        <v>44809</v>
      </c>
      <c r="C105" s="14" t="n">
        <v>2.95478179912</v>
      </c>
      <c r="D105" s="21">
        <f>100*(C105-C104)</f>
        <v/>
      </c>
      <c r="E105" s="22">
        <f>'A5 control'!BH239</f>
        <v/>
      </c>
      <c r="F105" s="9" t="n">
        <v>0</v>
      </c>
    </row>
    <row r="106">
      <c r="A106" s="9" t="n">
        <v>-19</v>
      </c>
      <c r="B106" s="7" t="n">
        <v>44810</v>
      </c>
      <c r="C106" s="14" t="n">
        <v>3.1131737773</v>
      </c>
      <c r="D106" s="21">
        <f>100*(C106-C105)</f>
        <v/>
      </c>
      <c r="E106" s="22">
        <f>'A5 control'!BH240</f>
        <v/>
      </c>
      <c r="F106" s="9" t="n">
        <v>0</v>
      </c>
    </row>
    <row r="107">
      <c r="A107" s="9" t="n">
        <v>-18</v>
      </c>
      <c r="B107" s="7" t="n">
        <v>44811</v>
      </c>
      <c r="C107" s="14" t="n">
        <v>3.12655093822</v>
      </c>
      <c r="D107" s="21">
        <f>100*(C107-C106)</f>
        <v/>
      </c>
      <c r="E107" s="22">
        <f>'A5 control'!BH241</f>
        <v/>
      </c>
      <c r="F107" s="9" t="n">
        <v>0</v>
      </c>
    </row>
    <row r="108">
      <c r="A108" s="9" t="n">
        <v>-17</v>
      </c>
      <c r="B108" s="7" t="n">
        <v>44812</v>
      </c>
      <c r="C108" s="14" t="n">
        <v>3.26412955841</v>
      </c>
      <c r="D108" s="21">
        <f>100*(C108-C107)</f>
        <v/>
      </c>
      <c r="E108" s="22">
        <f>'A5 control'!BH242</f>
        <v/>
      </c>
      <c r="F108" s="9" t="n">
        <v>0</v>
      </c>
    </row>
    <row r="109">
      <c r="A109" s="9" t="n">
        <v>-16</v>
      </c>
      <c r="B109" s="7" t="n">
        <v>44813</v>
      </c>
      <c r="C109" s="14" t="n">
        <v>3.26173471674</v>
      </c>
      <c r="D109" s="21">
        <f>100*(C109-C108)</f>
        <v/>
      </c>
      <c r="E109" s="22">
        <f>'A5 control'!BH243</f>
        <v/>
      </c>
      <c r="F109" s="9" t="n">
        <v>0</v>
      </c>
    </row>
    <row r="110">
      <c r="A110" s="9" t="n">
        <v>-15</v>
      </c>
      <c r="B110" s="7" t="n">
        <v>44816</v>
      </c>
      <c r="C110" s="14" t="n">
        <v>3.19119347513</v>
      </c>
      <c r="D110" s="21">
        <f>100*(C110-C109)</f>
        <v/>
      </c>
      <c r="E110" s="22">
        <f>'A5 control'!BH244</f>
        <v/>
      </c>
      <c r="F110" s="9" t="n">
        <v>0</v>
      </c>
    </row>
    <row r="111">
      <c r="A111" s="9" t="n">
        <v>-14</v>
      </c>
      <c r="B111" s="7" t="n">
        <v>44817</v>
      </c>
      <c r="C111" s="14" t="n">
        <v>3.21550884205</v>
      </c>
      <c r="D111" s="21">
        <f>100*(C111-C110)</f>
        <v/>
      </c>
      <c r="E111" s="22">
        <f>'A5 control'!BH245</f>
        <v/>
      </c>
      <c r="F111" s="9" t="n">
        <v>0</v>
      </c>
    </row>
    <row r="112">
      <c r="A112" s="9" t="n">
        <v>-13</v>
      </c>
      <c r="B112" s="7" t="n">
        <v>44818</v>
      </c>
      <c r="C112" s="14" t="n">
        <v>3.18316000299</v>
      </c>
      <c r="D112" s="21">
        <f>100*(C112-C111)</f>
        <v/>
      </c>
      <c r="E112" s="22">
        <f>'A5 control'!BH246</f>
        <v/>
      </c>
      <c r="F112" s="9" t="n">
        <v>0</v>
      </c>
    </row>
    <row r="113">
      <c r="A113" s="9" t="n">
        <v>-12</v>
      </c>
      <c r="B113" s="7" t="n">
        <v>44819</v>
      </c>
      <c r="C113" s="14" t="n">
        <v>3.20483864944</v>
      </c>
      <c r="D113" s="21">
        <f>100*(C113-C112)</f>
        <v/>
      </c>
      <c r="E113" s="22">
        <f>'A5 control'!BH247</f>
        <v/>
      </c>
      <c r="F113" s="9" t="n">
        <v>0</v>
      </c>
    </row>
    <row r="114">
      <c r="A114" s="9" t="n">
        <v>-11</v>
      </c>
      <c r="B114" s="7" t="n">
        <v>44820</v>
      </c>
      <c r="C114" s="14" t="n">
        <v>3.21008438253</v>
      </c>
      <c r="D114" s="21">
        <f>100*(C114-C113)</f>
        <v/>
      </c>
      <c r="E114" s="22">
        <f>'A5 control'!BH248</f>
        <v/>
      </c>
      <c r="F114" s="9" t="n">
        <v>0</v>
      </c>
    </row>
    <row r="115">
      <c r="A115" s="9" t="n">
        <v>-10</v>
      </c>
      <c r="B115" s="7" t="n">
        <v>44824</v>
      </c>
      <c r="C115" s="14" t="n">
        <v>3.32254049084</v>
      </c>
      <c r="D115" s="21">
        <f>100*(C115-C114)</f>
        <v/>
      </c>
      <c r="E115" s="22">
        <f>'A5 control'!BH249</f>
        <v/>
      </c>
      <c r="F115" s="9" t="n">
        <v>0</v>
      </c>
      <c r="G115" s="21">
        <f>D115-$B$137*E115</f>
        <v/>
      </c>
      <c r="H115" s="21">
        <f>H116-G116</f>
        <v/>
      </c>
      <c r="I115" s="21">
        <f>D115-E115</f>
        <v/>
      </c>
      <c r="J115" s="21">
        <f>J116-I116</f>
        <v/>
      </c>
      <c r="K115" s="21">
        <f>K116-D116</f>
        <v/>
      </c>
    </row>
    <row r="116">
      <c r="A116" s="9" t="n">
        <v>-9</v>
      </c>
      <c r="B116" s="7" t="n">
        <v>44825</v>
      </c>
      <c r="C116" s="14" t="n">
        <v>3.31520213799</v>
      </c>
      <c r="D116" s="21">
        <f>100*(C116-C115)</f>
        <v/>
      </c>
      <c r="E116" s="22">
        <f>'A5 control'!BH250</f>
        <v/>
      </c>
      <c r="F116" s="9" t="n">
        <v>0</v>
      </c>
      <c r="G116" s="21">
        <f>D116-$B$137*E116</f>
        <v/>
      </c>
      <c r="H116" s="21">
        <f>H117-G117</f>
        <v/>
      </c>
      <c r="I116" s="21">
        <f>D116-E116</f>
        <v/>
      </c>
      <c r="J116" s="21">
        <f>J117-I117</f>
        <v/>
      </c>
      <c r="K116" s="21">
        <f>K117-D117</f>
        <v/>
      </c>
    </row>
    <row r="117">
      <c r="A117" s="9" t="n">
        <v>-8</v>
      </c>
      <c r="B117" s="7" t="n">
        <v>44826</v>
      </c>
      <c r="C117" s="14" t="n">
        <v>3.49761869995</v>
      </c>
      <c r="D117" s="21">
        <f>100*(C117-C116)</f>
        <v/>
      </c>
      <c r="E117" s="22">
        <f>'A5 control'!BH251</f>
        <v/>
      </c>
      <c r="F117" s="9" t="n">
        <v>0</v>
      </c>
      <c r="G117" s="21">
        <f>D117-$B$137*E117</f>
        <v/>
      </c>
      <c r="H117" s="21">
        <f>H118-G118</f>
        <v/>
      </c>
      <c r="I117" s="21">
        <f>D117-E117</f>
        <v/>
      </c>
      <c r="J117" s="21">
        <f>J118-I118</f>
        <v/>
      </c>
      <c r="K117" s="21">
        <f>K118-D118</f>
        <v/>
      </c>
    </row>
    <row r="118">
      <c r="A118" s="9" t="n">
        <v>-7</v>
      </c>
      <c r="B118" s="7" t="n">
        <v>44827</v>
      </c>
      <c r="C118" s="14" t="n">
        <v>3.71627629086</v>
      </c>
      <c r="D118" s="21">
        <f>100*(C118-C117)</f>
        <v/>
      </c>
      <c r="E118" s="22">
        <f>'A5 control'!BH252</f>
        <v/>
      </c>
      <c r="F118" s="9" t="n">
        <v>0</v>
      </c>
      <c r="G118" s="21">
        <f>D118-$B$137*E118</f>
        <v/>
      </c>
      <c r="H118" s="21">
        <f>H119-G119</f>
        <v/>
      </c>
      <c r="I118" s="21">
        <f>D118-E118</f>
        <v/>
      </c>
      <c r="J118" s="21">
        <f>J119-I119</f>
        <v/>
      </c>
      <c r="K118" s="21">
        <f>K119-D119</f>
        <v/>
      </c>
    </row>
    <row r="119">
      <c r="A119" s="9" t="n">
        <v>-6</v>
      </c>
      <c r="B119" s="7" t="n">
        <v>44830</v>
      </c>
      <c r="C119" s="14" t="n">
        <v>4.11418184185</v>
      </c>
      <c r="D119" s="21">
        <f>100*(C119-C118)</f>
        <v/>
      </c>
      <c r="E119" s="22">
        <f>'A5 control'!BH253</f>
        <v/>
      </c>
      <c r="F119" s="9" t="n">
        <v>0</v>
      </c>
      <c r="G119" s="21">
        <f>D119-$B$137*E119</f>
        <v/>
      </c>
      <c r="H119" s="21" t="n">
        <v>0</v>
      </c>
      <c r="I119" s="21">
        <f>D119-E119</f>
        <v/>
      </c>
      <c r="J119" s="21" t="n">
        <v>0</v>
      </c>
      <c r="K119" s="21" t="n">
        <v>0</v>
      </c>
    </row>
    <row r="120">
      <c r="A120" s="9" t="n">
        <v>-5</v>
      </c>
      <c r="B120" s="7" t="n">
        <v>44831</v>
      </c>
      <c r="C120" s="14" t="n">
        <v>4.6232710178</v>
      </c>
      <c r="D120" s="21">
        <f>100*(C120-C119)</f>
        <v/>
      </c>
      <c r="E120" s="22">
        <f>'A5 control'!BH254</f>
        <v/>
      </c>
      <c r="F120" s="9" t="n">
        <v>0</v>
      </c>
      <c r="G120" s="21">
        <f>D120-$B$137*E120</f>
        <v/>
      </c>
      <c r="H120" s="21">
        <f>H119+G120</f>
        <v/>
      </c>
      <c r="I120" s="21">
        <f>D120-E120</f>
        <v/>
      </c>
      <c r="J120" s="21">
        <f>J119+I120</f>
        <v/>
      </c>
      <c r="K120" s="21">
        <f>K119+D120</f>
        <v/>
      </c>
    </row>
    <row r="121">
      <c r="A121" s="9" t="n">
        <v>-4</v>
      </c>
      <c r="B121" s="7" t="n">
        <v>44832</v>
      </c>
      <c r="C121" s="14" t="n">
        <v>3.50247225206</v>
      </c>
      <c r="D121" s="21">
        <f>100*(C121-C120)</f>
        <v/>
      </c>
      <c r="E121" s="22">
        <f>'A5 control'!BH255</f>
        <v/>
      </c>
      <c r="F121" s="9" t="n">
        <v>0</v>
      </c>
      <c r="G121" s="21">
        <f>D121-$B$137*E121</f>
        <v/>
      </c>
      <c r="H121" s="21">
        <f>H120+G121</f>
        <v/>
      </c>
      <c r="I121" s="21">
        <f>D121-E121</f>
        <v/>
      </c>
      <c r="J121" s="21">
        <f>J120+I121</f>
        <v/>
      </c>
      <c r="K121" s="21">
        <f>K120+D121</f>
        <v/>
      </c>
    </row>
    <row r="122">
      <c r="A122" s="9" t="n">
        <v>-3</v>
      </c>
      <c r="B122" s="7" t="n">
        <v>44833</v>
      </c>
      <c r="C122" s="14" t="n">
        <v>3.40804847832</v>
      </c>
      <c r="D122" s="21">
        <f>100*(C122-C121)</f>
        <v/>
      </c>
      <c r="E122" s="22">
        <f>'A5 control'!BH256</f>
        <v/>
      </c>
      <c r="F122" s="9" t="n">
        <v>0</v>
      </c>
      <c r="G122" s="21">
        <f>D122-$B$137*E122</f>
        <v/>
      </c>
      <c r="H122" s="21">
        <f>H121+G122</f>
        <v/>
      </c>
      <c r="I122" s="21">
        <f>D122-E122</f>
        <v/>
      </c>
      <c r="J122" s="21">
        <f>J121+I122</f>
        <v/>
      </c>
      <c r="K122" s="21">
        <f>K121+D122</f>
        <v/>
      </c>
    </row>
    <row r="123">
      <c r="A123" s="9" t="n">
        <v>-2</v>
      </c>
      <c r="B123" s="7" t="n">
        <v>44834</v>
      </c>
      <c r="C123" s="14" t="n">
        <v>3.22689316387</v>
      </c>
      <c r="D123" s="21">
        <f>100*(C123-C122)</f>
        <v/>
      </c>
      <c r="E123" s="22">
        <f>'A5 control'!BH257</f>
        <v/>
      </c>
      <c r="F123" s="9" t="n">
        <v>0</v>
      </c>
      <c r="G123" s="21">
        <f>D123-$B$137*E123</f>
        <v/>
      </c>
      <c r="H123" s="21">
        <f>H122+G123</f>
        <v/>
      </c>
      <c r="I123" s="21">
        <f>D123-E123</f>
        <v/>
      </c>
      <c r="J123" s="21">
        <f>J122+I123</f>
        <v/>
      </c>
      <c r="K123" s="21">
        <f>K122+D123</f>
        <v/>
      </c>
    </row>
    <row r="124">
      <c r="A124" s="9" t="n">
        <v>-1</v>
      </c>
      <c r="B124" s="7" t="n">
        <v>44837</v>
      </c>
      <c r="C124" s="14" t="n">
        <v>3.34374227438</v>
      </c>
      <c r="D124" s="21">
        <f>100*(C124-C123)</f>
        <v/>
      </c>
      <c r="E124" s="22">
        <f>'A5 control'!BH258</f>
        <v/>
      </c>
      <c r="F124" s="9" t="n">
        <v>0</v>
      </c>
      <c r="G124" s="21">
        <f>D124-$B$137*E124</f>
        <v/>
      </c>
      <c r="H124" s="21">
        <f>H123+G124</f>
        <v/>
      </c>
      <c r="I124" s="21">
        <f>D124-E124</f>
        <v/>
      </c>
      <c r="J124" s="21">
        <f>J123+I124</f>
        <v/>
      </c>
      <c r="K124" s="21">
        <f>K123+D124</f>
        <v/>
      </c>
    </row>
    <row r="125">
      <c r="A125" s="9" t="n">
        <v>0</v>
      </c>
      <c r="B125" s="7" t="n">
        <v>44838</v>
      </c>
      <c r="C125" s="14" t="n">
        <v>3.56100803334</v>
      </c>
      <c r="D125" s="21">
        <f>100*(C125-C124)</f>
        <v/>
      </c>
      <c r="E125" s="22">
        <f>'A5 control'!BH259</f>
        <v/>
      </c>
      <c r="F125" s="9" t="n">
        <v>0</v>
      </c>
      <c r="G125" s="21">
        <f>D125-$B$137*E125</f>
        <v/>
      </c>
      <c r="H125" s="21">
        <f>H124+G125</f>
        <v/>
      </c>
      <c r="I125" s="21">
        <f>D125-E125</f>
        <v/>
      </c>
      <c r="J125" s="21">
        <f>J124+I125</f>
        <v/>
      </c>
      <c r="K125" s="21">
        <f>K124+D125</f>
        <v/>
      </c>
    </row>
    <row r="126">
      <c r="A126" s="9" t="n">
        <v>1</v>
      </c>
      <c r="B126" s="7" t="n">
        <v>44839</v>
      </c>
      <c r="C126" s="14" t="n">
        <v>3.80482368734</v>
      </c>
      <c r="D126" s="21">
        <f>100*(C126-C125)</f>
        <v/>
      </c>
      <c r="E126" s="22">
        <f>'A5 control'!BH260</f>
        <v/>
      </c>
      <c r="F126" s="9" t="n">
        <v>0</v>
      </c>
      <c r="G126" s="21">
        <f>D126-$B$137*E126</f>
        <v/>
      </c>
      <c r="H126" s="21">
        <f>H125+G126</f>
        <v/>
      </c>
      <c r="I126" s="21">
        <f>D126-E126</f>
        <v/>
      </c>
      <c r="J126" s="21">
        <f>J125+I126</f>
        <v/>
      </c>
      <c r="K126" s="21">
        <f>K125+D126</f>
        <v/>
      </c>
    </row>
    <row r="127">
      <c r="A127" s="9" t="n">
        <v>2</v>
      </c>
      <c r="B127" s="7" t="n">
        <v>44840</v>
      </c>
      <c r="C127" s="14" t="n">
        <v>3.96161403274</v>
      </c>
      <c r="D127" s="21">
        <f>100*(C127-C126)</f>
        <v/>
      </c>
      <c r="E127" s="22">
        <f>'A5 control'!BH261</f>
        <v/>
      </c>
      <c r="F127" s="9" t="n">
        <v>0</v>
      </c>
      <c r="G127" s="21">
        <f>D127-$B$137*E127</f>
        <v/>
      </c>
      <c r="H127" s="21">
        <f>H126+G127</f>
        <v/>
      </c>
      <c r="I127" s="21">
        <f>D127-E127</f>
        <v/>
      </c>
      <c r="J127" s="21">
        <f>J126+I127</f>
        <v/>
      </c>
      <c r="K127" s="21">
        <f>K126+D127</f>
        <v/>
      </c>
    </row>
    <row r="128">
      <c r="A128" s="9" t="n">
        <v>3</v>
      </c>
      <c r="B128" s="7" t="n">
        <v>44841</v>
      </c>
      <c r="C128" s="14" t="n">
        <v>4.01346341332</v>
      </c>
      <c r="D128" s="21">
        <f>100*(C128-C127)</f>
        <v/>
      </c>
      <c r="E128" s="22">
        <f>'A5 control'!BH262</f>
        <v/>
      </c>
      <c r="F128" s="9" t="n">
        <v>0</v>
      </c>
      <c r="G128" s="21">
        <f>D128-$B$137*E128</f>
        <v/>
      </c>
      <c r="H128" s="21">
        <f>H127+G128</f>
        <v/>
      </c>
      <c r="I128" s="21">
        <f>D128-E128</f>
        <v/>
      </c>
      <c r="J128" s="21">
        <f>J127+I128</f>
        <v/>
      </c>
      <c r="K128" s="21">
        <f>K127+D128</f>
        <v/>
      </c>
    </row>
    <row r="129">
      <c r="A129" s="9" t="n">
        <v>4</v>
      </c>
      <c r="B129" s="7" t="n">
        <v>44844</v>
      </c>
      <c r="C129" s="14" t="n">
        <v>4.33801818663</v>
      </c>
      <c r="D129" s="21">
        <f>100*(C129-C128)</f>
        <v/>
      </c>
      <c r="E129" s="22">
        <f>'A5 control'!BH263</f>
        <v/>
      </c>
      <c r="F129" s="9" t="n">
        <v>0</v>
      </c>
      <c r="G129" s="21">
        <f>D129-$B$137*E129</f>
        <v/>
      </c>
      <c r="H129" s="21">
        <f>H128+G129</f>
        <v/>
      </c>
      <c r="I129" s="21">
        <f>D129-E129</f>
        <v/>
      </c>
      <c r="J129" s="21">
        <f>J128+I129</f>
        <v/>
      </c>
      <c r="K129" s="21">
        <f>K128+D129</f>
        <v/>
      </c>
    </row>
    <row r="130">
      <c r="A130" s="9" t="n">
        <v>5</v>
      </c>
      <c r="B130" s="7" t="n">
        <v>44845</v>
      </c>
      <c r="C130" s="14" t="n">
        <v>4.38187832995</v>
      </c>
      <c r="D130" s="21">
        <f>100*(C130-C129)</f>
        <v/>
      </c>
      <c r="E130" s="22">
        <f>'A5 control'!BH264</f>
        <v/>
      </c>
      <c r="F130" s="9" t="n">
        <v>0</v>
      </c>
      <c r="G130" s="21">
        <f>D130-$B$137*E130</f>
        <v/>
      </c>
      <c r="H130" s="21">
        <f>H129+G130</f>
        <v/>
      </c>
      <c r="I130" s="21">
        <f>D130-E130</f>
        <v/>
      </c>
      <c r="J130" s="21">
        <f>J129+I130</f>
        <v/>
      </c>
      <c r="K130" s="21">
        <f>K129+D130</f>
        <v/>
      </c>
    </row>
    <row r="131">
      <c r="A131" s="9" t="n">
        <v>6</v>
      </c>
      <c r="B131" s="7" t="n">
        <v>44846</v>
      </c>
      <c r="C131" s="14" t="n">
        <v>4.47025638007</v>
      </c>
      <c r="D131" s="21">
        <f>100*(C131-C130)</f>
        <v/>
      </c>
      <c r="E131" s="22">
        <f>'A5 control'!BH265</f>
        <v/>
      </c>
      <c r="F131" s="9" t="n">
        <v>0</v>
      </c>
      <c r="G131" s="21">
        <f>D131-$B$137*E131</f>
        <v/>
      </c>
      <c r="H131" s="21">
        <f>H130+G131</f>
        <v/>
      </c>
      <c r="I131" s="21">
        <f>D131-E131</f>
        <v/>
      </c>
      <c r="J131" s="21">
        <f>J130+I131</f>
        <v/>
      </c>
      <c r="K131" s="21">
        <f>K130+D131</f>
        <v/>
      </c>
    </row>
    <row r="132">
      <c r="A132" s="9" t="n">
        <v>7</v>
      </c>
      <c r="B132" s="7" t="n">
        <v>44847</v>
      </c>
      <c r="C132" s="14" t="n">
        <v>4.27196362046</v>
      </c>
      <c r="D132" s="21">
        <f>100*(C132-C131)</f>
        <v/>
      </c>
      <c r="E132" s="22">
        <f>'A5 control'!BH266</f>
        <v/>
      </c>
      <c r="F132" s="9" t="n">
        <v>0</v>
      </c>
      <c r="G132" s="21">
        <f>D132-$B$137*E132</f>
        <v/>
      </c>
      <c r="H132" s="21">
        <f>H131+G132</f>
        <v/>
      </c>
      <c r="I132" s="21">
        <f>D132-E132</f>
        <v/>
      </c>
      <c r="J132" s="21">
        <f>J131+I132</f>
        <v/>
      </c>
      <c r="K132" s="21">
        <f>K131+D132</f>
        <v/>
      </c>
    </row>
    <row r="133">
      <c r="A133" s="9" t="n">
        <v>8</v>
      </c>
      <c r="B133" s="7" t="n">
        <v>44848</v>
      </c>
      <c r="C133" s="14" t="n">
        <v>4.51266503586</v>
      </c>
      <c r="D133" s="21">
        <f>100*(C133-C132)</f>
        <v/>
      </c>
      <c r="E133" s="22">
        <f>'A5 control'!BH267</f>
        <v/>
      </c>
      <c r="F133" s="9" t="n">
        <v>0</v>
      </c>
      <c r="G133" s="21">
        <f>D133-$B$137*E133</f>
        <v/>
      </c>
      <c r="H133" s="21">
        <f>H132+G133</f>
        <v/>
      </c>
      <c r="I133" s="21">
        <f>D133-E133</f>
        <v/>
      </c>
      <c r="J133" s="21">
        <f>J132+I133</f>
        <v/>
      </c>
      <c r="K133" s="21">
        <f>K132+D133</f>
        <v/>
      </c>
    </row>
    <row r="134">
      <c r="A134" s="9" t="n">
        <v>9</v>
      </c>
      <c r="B134" s="7" t="n">
        <v>44851</v>
      </c>
      <c r="C134" s="14" t="n">
        <v>4.08164898616</v>
      </c>
      <c r="D134" s="21">
        <f>100*(C134-C133)</f>
        <v/>
      </c>
      <c r="E134" s="22">
        <f>'A5 control'!BH268</f>
        <v/>
      </c>
      <c r="F134" s="9" t="n">
        <v>0</v>
      </c>
      <c r="G134" s="21">
        <f>D134-$B$137*E134</f>
        <v/>
      </c>
      <c r="H134" s="21">
        <f>H133+G134</f>
        <v/>
      </c>
      <c r="I134" s="21">
        <f>D134-E134</f>
        <v/>
      </c>
      <c r="J134" s="21">
        <f>J133+I134</f>
        <v/>
      </c>
      <c r="K134" s="21">
        <f>K133+D134</f>
        <v/>
      </c>
    </row>
    <row r="135">
      <c r="A135" s="9" t="n">
        <v>10</v>
      </c>
      <c r="B135" s="7" t="n">
        <v>44852</v>
      </c>
      <c r="C135" s="14" t="n">
        <v>3.93315208394</v>
      </c>
      <c r="D135" s="21">
        <f>100*(C135-C134)</f>
        <v/>
      </c>
      <c r="E135" s="22">
        <f>'A5 control'!BH269</f>
        <v/>
      </c>
      <c r="F135" s="9" t="n">
        <v>0</v>
      </c>
      <c r="G135" s="21">
        <f>D135-$B$137*E135</f>
        <v/>
      </c>
      <c r="H135" s="21">
        <f>H134+G135</f>
        <v/>
      </c>
      <c r="I135" s="21">
        <f>D135-E135</f>
        <v/>
      </c>
      <c r="J135" s="21">
        <f>J134+I135</f>
        <v/>
      </c>
      <c r="K135" s="21">
        <f>K134+D135</f>
        <v/>
      </c>
    </row>
    <row r="137">
      <c r="A137" s="6" t="inlineStr">
        <is>
          <t>β = SLOPE(Δy, Δc) over k = -120..-21</t>
        </is>
      </c>
      <c r="B137" s="23">
        <f>SLOPE(D5:D104,E5:E104)</f>
        <v/>
      </c>
    </row>
    <row r="138">
      <c r="A138" s="6" t="inlineStr">
        <is>
          <t>α (estimated, not subtracted)</t>
        </is>
      </c>
      <c r="B138" s="21">
        <f>INTERCEPT(D5:D104,E5:E104)</f>
        <v/>
      </c>
    </row>
    <row r="139">
      <c r="A139" s="6" t="inlineStr">
        <is>
          <t>R²</t>
        </is>
      </c>
      <c r="B139" s="17">
        <f>RSQ(D5:D104,E5:E104)</f>
        <v/>
      </c>
    </row>
    <row r="140">
      <c r="A140" s="6" t="inlineStr">
        <is>
          <t>Observations</t>
        </is>
      </c>
      <c r="B140" s="18">
        <f>COUNT(D5:D104)</f>
        <v/>
      </c>
    </row>
    <row r="141">
      <c r="A141" s="6" t="inlineStr">
        <is>
          <t>Python β, for comparison</t>
        </is>
      </c>
      <c r="B141" s="24" t="n">
        <v>0.959822249358809</v>
      </c>
    </row>
    <row r="143">
      <c r="A143" s="3" t="inlineStr">
        <is>
          <t>The PM's three numbers (bp)</t>
        </is>
      </c>
      <c r="B143" s="3" t="inlineStr">
        <is>
          <t>B-β (main)</t>
        </is>
      </c>
      <c r="C143" s="3" t="inlineStr">
        <is>
          <t>B (β = 1)</t>
        </is>
      </c>
      <c r="D143" s="3" t="inlineStr">
        <is>
          <t>Raw (no control)</t>
        </is>
      </c>
      <c r="E143" s="3" t="inlineStr">
        <is>
          <t>Python B-β</t>
        </is>
      </c>
    </row>
    <row r="144">
      <c r="A144" s="6" t="inlineStr">
        <is>
          <t>Pre-auction cheapening, CAR(T-1) - CAR(T-6)</t>
        </is>
      </c>
      <c r="B144" s="16">
        <f>H124-H119</f>
        <v/>
      </c>
      <c r="C144" s="17">
        <f>J124-J119</f>
        <v/>
      </c>
      <c r="D144" s="17">
        <f>K124-K119</f>
        <v/>
      </c>
      <c r="E144" s="8" t="n">
        <v>-39.49346202006311</v>
      </c>
    </row>
    <row r="145">
      <c r="A145" s="6" t="inlineStr">
        <is>
          <t>Auction day, CAR(T) - CAR(T-1)</t>
        </is>
      </c>
      <c r="B145" s="16">
        <f>H125-H124</f>
        <v/>
      </c>
      <c r="C145" s="17">
        <f>J125-J124</f>
        <v/>
      </c>
      <c r="D145" s="17">
        <f>K125-K124</f>
        <v/>
      </c>
      <c r="E145" s="8" t="n">
        <v>18.2733473289011</v>
      </c>
    </row>
    <row r="146">
      <c r="A146" s="6" t="inlineStr">
        <is>
          <t>Post-auction, CAR(T+5) - CAR(T)</t>
        </is>
      </c>
      <c r="B146" s="16">
        <f>H130-H125</f>
        <v/>
      </c>
      <c r="C146" s="17">
        <f>J130-J125</f>
        <v/>
      </c>
      <c r="D146" s="17">
        <f>K130-K125</f>
        <v/>
      </c>
      <c r="E146" s="8" t="n">
        <v>15.81403087390373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2026-10-22T21:56:47Z</dcterms:created>
  <dcterms:modified xsi:type="dcterms:W3CDTF">2026-10-22T21:56:49Z</dcterms:modified>
</cp:coreProperties>
</file>